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<sst xmlns="http://schemas.openxmlformats.org/spreadsheetml/2006/main" count="37" uniqueCount="23">
  <si>
    <t>Build-A-Bear Workshop, Inc.</t>
  </si>
  <si>
    <t>Revenue</t>
  </si>
  <si>
    <t>Operating Income</t>
  </si>
  <si>
    <t>Income Before Tax</t>
  </si>
  <si>
    <t>Income Tax Expense</t>
  </si>
  <si>
    <t>Net Income</t>
  </si>
  <si>
    <t>Cash</t>
  </si>
  <si>
    <t>Total Debt</t>
  </si>
  <si>
    <t>Shareholder Equity</t>
  </si>
  <si>
    <t>Operating Cash Flow</t>
  </si>
  <si>
    <t>Capital Expenditures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</si>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</sst>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10" xfId="0" applyFont="1" applyNumberFormat="1"/>
    <xf borderId="0" fillId="0" fontId="2" numFmtId="10" xfId="0" applyAlignment="1" applyFont="1" applyNumberFormat="1">
      <alignment horizontal="right"/>
    </xf>
    <xf borderId="0" fillId="0" fontId="2" numFmtId="3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3" numFmtId="9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2" numFmtId="165" xfId="0" applyAlignment="1" applyFont="1" applyNumberFormat="1">
      <alignment horizontal="right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Font="1"/>
    <xf borderId="0" fillId="0" fontId="5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63"/>
    <col customWidth="1" min="2" max="17" width="13.38"/>
  </cols>
  <sheetData>
    <row r="1">
      <c r="A1" s="1" t="s">
        <v>0</v>
      </c>
      <c r="B1" s="2">
        <v>2009.0</v>
      </c>
      <c r="C1" s="2">
        <v>2010.0</v>
      </c>
      <c r="D1" s="2">
        <v>2011.0</v>
      </c>
      <c r="E1" s="2">
        <v>2012.0</v>
      </c>
      <c r="F1" s="2">
        <v>2013.0</v>
      </c>
      <c r="G1" s="2">
        <v>2014.0</v>
      </c>
      <c r="H1" s="2">
        <v>2015.0</v>
      </c>
      <c r="I1" s="2">
        <v>2016.0</v>
      </c>
      <c r="J1" s="2">
        <v>2017.0</v>
      </c>
      <c r="K1" s="2">
        <v>2018.0</v>
      </c>
      <c r="L1" s="2">
        <v>2019.0</v>
      </c>
      <c r="M1" s="2">
        <v>2020.0</v>
      </c>
      <c r="N1" s="2">
        <v>2021.0</v>
      </c>
      <c r="O1" s="2">
        <v>2022.0</v>
      </c>
      <c r="P1" s="2">
        <v>2023.0</v>
      </c>
      <c r="Q1" s="2">
        <v>2024.0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4" t="s">
        <v>1</v>
      </c>
      <c r="B3" s="3">
        <v>3.88552E8</v>
      </c>
      <c r="C3" s="3">
        <v>3.87163E8</v>
      </c>
      <c r="D3" s="3">
        <v>3.94375E8</v>
      </c>
      <c r="E3" s="3">
        <v>3.80941E8</v>
      </c>
      <c r="F3" s="3">
        <v>3.73173E8</v>
      </c>
      <c r="G3" s="3">
        <v>3.87725E8</v>
      </c>
      <c r="H3" s="3">
        <v>3.72715E8</v>
      </c>
      <c r="I3" s="3">
        <v>3.57593E8</v>
      </c>
      <c r="J3" s="3">
        <v>3.57866E8</v>
      </c>
      <c r="K3" s="3">
        <v>3.36585E8</v>
      </c>
      <c r="L3" s="3">
        <v>3.38543E8</v>
      </c>
      <c r="M3" s="3">
        <v>2.5531E8</v>
      </c>
      <c r="N3" s="3">
        <v>4.11522E8</v>
      </c>
      <c r="O3" s="3">
        <v>4.67937E8</v>
      </c>
      <c r="P3" s="3">
        <v>4.86114E8</v>
      </c>
      <c r="Q3" s="3">
        <v>4.96404E8</v>
      </c>
    </row>
    <row r="4">
      <c r="A4" s="4" t="s">
        <v>2</v>
      </c>
      <c r="B4" s="3">
        <f>B3-247511000-161692000-90000-981000-9615000</f>
        <v>-31337000</v>
      </c>
      <c r="C4" s="3">
        <f>C3-239556000-163910000-708000</f>
        <v>-17011000</v>
      </c>
      <c r="D4" s="3">
        <f>D3-234227000-162881000</f>
        <v>-2733000</v>
      </c>
      <c r="E4" s="3">
        <f>E3-165516000-3367000-230181000</f>
        <v>-18123000</v>
      </c>
      <c r="F4" s="3">
        <f>F3-220738000-160708000</f>
        <v>-8273000</v>
      </c>
      <c r="G4" s="3">
        <f>G3-211832000-164445000</f>
        <v>11448000</v>
      </c>
      <c r="H4" s="3">
        <f>H3-197101000-1375000-159612000-1851000</f>
        <v>12776000</v>
      </c>
      <c r="I4" s="3">
        <f>I3-195914000-2253000-157174000-3549000</f>
        <v>-1297000</v>
      </c>
      <c r="J4" s="3">
        <f>J3-185460000-21000-2867000-545000-155149000</f>
        <v>13824000</v>
      </c>
      <c r="K4" s="3">
        <f>K3-197831000-157176000</f>
        <v>-18422000</v>
      </c>
      <c r="L4" s="3">
        <f>L3-184920000-152047000</f>
        <v>1576000</v>
      </c>
      <c r="M4" s="3">
        <f>M3-157901000-117585000</f>
        <v>-20176000</v>
      </c>
      <c r="N4" s="3">
        <f>N3-193567000-167250000</f>
        <v>50705000</v>
      </c>
      <c r="O4" s="3">
        <f>O3-222065000-183929000</f>
        <v>61943000</v>
      </c>
      <c r="P4" s="3">
        <f>P3-221722000-198992000</f>
        <v>65400000</v>
      </c>
      <c r="Q4" s="3">
        <f>Q3-223886000-206238000</f>
        <v>66280000</v>
      </c>
    </row>
    <row r="5">
      <c r="A5" s="4" t="s">
        <v>3</v>
      </c>
      <c r="B5" s="3">
        <v>-2.384E7</v>
      </c>
      <c r="C5" s="3">
        <v>-2472000.0</v>
      </c>
      <c r="D5" s="3">
        <v>-2652000.0</v>
      </c>
      <c r="E5" s="3">
        <v>-4.8429E7</v>
      </c>
      <c r="F5" s="3">
        <v>-2118000.0</v>
      </c>
      <c r="G5" s="3">
        <v>1.6024E7</v>
      </c>
      <c r="H5" s="3">
        <v>1.7898E7</v>
      </c>
      <c r="I5" s="3">
        <v>5309000.0</v>
      </c>
      <c r="J5" s="3">
        <v>1.3813E7</v>
      </c>
      <c r="K5" s="3">
        <v>-1.8507E7</v>
      </c>
      <c r="L5" s="3">
        <v>1561000.0</v>
      </c>
      <c r="M5" s="3">
        <v>-2.0186E7</v>
      </c>
      <c r="N5" s="3">
        <v>5.071E7</v>
      </c>
      <c r="O5" s="3">
        <v>6.1924E7</v>
      </c>
      <c r="P5" s="3">
        <v>6.6329E7</v>
      </c>
      <c r="Q5" s="3">
        <v>6.7141E7</v>
      </c>
    </row>
    <row r="6">
      <c r="A6" s="4" t="s">
        <v>4</v>
      </c>
      <c r="B6" s="3">
        <v>-1.1367E7</v>
      </c>
      <c r="C6" s="3">
        <v>-2576000.0</v>
      </c>
      <c r="D6" s="3">
        <v>1.441E7</v>
      </c>
      <c r="E6" s="3">
        <v>866000.0</v>
      </c>
      <c r="F6" s="3">
        <v>-6000.0</v>
      </c>
      <c r="G6" s="3">
        <v>1662000.0</v>
      </c>
      <c r="H6" s="3">
        <v>-9447000.0</v>
      </c>
      <c r="I6" s="3">
        <v>3932000.0</v>
      </c>
      <c r="J6" s="3">
        <v>5897000.0</v>
      </c>
      <c r="K6" s="3">
        <v>-574000.0</v>
      </c>
      <c r="L6" s="3">
        <v>1300000.0</v>
      </c>
      <c r="M6" s="3">
        <v>2797000.0</v>
      </c>
      <c r="N6" s="3">
        <v>3445000.0</v>
      </c>
      <c r="O6" s="3">
        <v>1.3939E7</v>
      </c>
      <c r="P6" s="3">
        <v>1.3524E7</v>
      </c>
      <c r="Q6" s="3">
        <v>1.5356E7</v>
      </c>
    </row>
    <row r="7">
      <c r="A7" s="4" t="s">
        <v>5</v>
      </c>
      <c r="B7" s="3">
        <v>-1.2473E7</v>
      </c>
      <c r="C7" s="3">
        <v>104000.0</v>
      </c>
      <c r="D7" s="3">
        <v>-1.7062E7</v>
      </c>
      <c r="E7" s="3">
        <v>-4.9295E7</v>
      </c>
      <c r="F7" s="3">
        <v>-2112000.0</v>
      </c>
      <c r="G7" s="3">
        <v>1.4362E7</v>
      </c>
      <c r="H7" s="3">
        <v>2.7345E7</v>
      </c>
      <c r="I7" s="3">
        <v>1377000.0</v>
      </c>
      <c r="J7" s="3">
        <v>7916000.0</v>
      </c>
      <c r="K7" s="3">
        <v>-1.7933E7</v>
      </c>
      <c r="L7" s="3">
        <v>201000.0</v>
      </c>
      <c r="M7" s="3">
        <v>-2.3584E7</v>
      </c>
      <c r="N7" s="3">
        <v>4.741E7</v>
      </c>
      <c r="O7" s="3">
        <v>4.8181E7</v>
      </c>
      <c r="P7" s="3">
        <v>5.2805E7</v>
      </c>
      <c r="Q7" s="3">
        <v>5.1785E7</v>
      </c>
    </row>
    <row r="8">
      <c r="B8" s="5"/>
      <c r="C8" s="5"/>
      <c r="D8" s="5"/>
      <c r="E8" s="5"/>
      <c r="F8" s="5"/>
      <c r="G8" s="5"/>
      <c r="H8" s="5"/>
      <c r="I8" s="5"/>
      <c r="J8" s="5"/>
      <c r="K8" s="5"/>
      <c r="L8" s="3"/>
      <c r="M8" s="3"/>
      <c r="N8" s="3"/>
      <c r="O8" s="3"/>
      <c r="P8" s="5"/>
      <c r="Q8" s="5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3"/>
      <c r="M9" s="3"/>
      <c r="N9" s="3"/>
      <c r="O9" s="3"/>
      <c r="P9" s="5"/>
      <c r="Q9" s="5"/>
    </row>
    <row r="10">
      <c r="A10" s="4" t="s">
        <v>6</v>
      </c>
      <c r="B10" s="3">
        <v>6.0399E7</v>
      </c>
      <c r="C10" s="3">
        <v>5.8755E7</v>
      </c>
      <c r="D10" s="3">
        <v>4.6367E7</v>
      </c>
      <c r="E10" s="3">
        <v>4.5171E7</v>
      </c>
      <c r="F10" s="3">
        <v>4.4665E7</v>
      </c>
      <c r="G10" s="3">
        <v>6.5389E7</v>
      </c>
      <c r="H10" s="3">
        <v>4.5196E7</v>
      </c>
      <c r="I10" s="3">
        <v>3.2483E7</v>
      </c>
      <c r="J10" s="3">
        <v>3.0445E7</v>
      </c>
      <c r="K10" s="3">
        <v>1.7894E7</v>
      </c>
      <c r="L10" s="3">
        <v>2.6726E7</v>
      </c>
      <c r="M10" s="3">
        <v>3.484E7</v>
      </c>
      <c r="N10" s="3">
        <v>3.2845E7</v>
      </c>
      <c r="O10" s="3">
        <v>4.2198E7</v>
      </c>
      <c r="P10" s="3">
        <v>4.4327E7</v>
      </c>
      <c r="Q10" s="3">
        <v>2.7758E7</v>
      </c>
    </row>
    <row r="11">
      <c r="A11" s="4" t="s">
        <v>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</row>
    <row r="12">
      <c r="A12" s="4" t="s">
        <v>8</v>
      </c>
      <c r="B12" s="3">
        <v>1.6478E8</v>
      </c>
      <c r="C12" s="3">
        <v>1.57713E8</v>
      </c>
      <c r="D12" s="3">
        <v>1.29243E8</v>
      </c>
      <c r="E12" s="3">
        <v>8.3137E7</v>
      </c>
      <c r="F12" s="3">
        <v>8.439E7</v>
      </c>
      <c r="G12" s="3">
        <v>9.7625E7</v>
      </c>
      <c r="H12" s="3">
        <v>9.9414E7</v>
      </c>
      <c r="I12" s="3">
        <v>9.9112E7</v>
      </c>
      <c r="J12" s="3">
        <v>1.07315E8</v>
      </c>
      <c r="K12" s="3">
        <v>9.4314E7</v>
      </c>
      <c r="L12" s="3">
        <v>8.8631E7</v>
      </c>
      <c r="M12" s="3">
        <v>6.7308E7</v>
      </c>
      <c r="N12" s="3">
        <v>9.3683E7</v>
      </c>
      <c r="O12" s="3">
        <v>1.19117E8</v>
      </c>
      <c r="P12" s="3">
        <v>1.29662E8</v>
      </c>
      <c r="Q12" s="3">
        <v>1.39082E8</v>
      </c>
    </row>
    <row r="13"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5"/>
      <c r="Q13" s="5"/>
    </row>
    <row r="14">
      <c r="A14" s="4" t="s">
        <v>9</v>
      </c>
      <c r="B14" s="3">
        <v>2.399E7</v>
      </c>
      <c r="C14" s="3">
        <v>2.2021E7</v>
      </c>
      <c r="D14" s="3">
        <v>1.601E7</v>
      </c>
      <c r="E14" s="3">
        <v>1.4864E7</v>
      </c>
      <c r="F14" s="3">
        <v>1.9058E7</v>
      </c>
      <c r="G14" s="3">
        <v>3.4884E7</v>
      </c>
      <c r="H14" s="3">
        <v>3.2047E7</v>
      </c>
      <c r="I14" s="3">
        <v>1.6014E7</v>
      </c>
      <c r="J14" s="3">
        <v>2.1088E7</v>
      </c>
      <c r="K14" s="3">
        <v>9683000.0</v>
      </c>
      <c r="L14" s="3">
        <v>2.1609E7</v>
      </c>
      <c r="M14" s="3">
        <v>1.3386E7</v>
      </c>
      <c r="N14" s="3">
        <v>2.8077E7</v>
      </c>
      <c r="O14" s="3">
        <v>4.7276E7</v>
      </c>
      <c r="P14" s="3">
        <v>6.431E7</v>
      </c>
      <c r="Q14" s="3">
        <v>4.7087E7</v>
      </c>
    </row>
    <row r="15">
      <c r="A15" s="4" t="s">
        <v>10</v>
      </c>
      <c r="B15" s="3">
        <v>5727000.0</v>
      </c>
      <c r="C15" s="3">
        <v>1.4086E7</v>
      </c>
      <c r="D15" s="3">
        <v>1.2035E7</v>
      </c>
      <c r="E15" s="3">
        <v>1.6633E7</v>
      </c>
      <c r="F15" s="3">
        <v>1.9055E7</v>
      </c>
      <c r="G15" s="3">
        <v>1.079E7</v>
      </c>
      <c r="H15" s="3">
        <v>2.2466E7</v>
      </c>
      <c r="I15" s="3">
        <v>2.7251E7</v>
      </c>
      <c r="J15" s="3">
        <v>1.7763E7</v>
      </c>
      <c r="K15" s="3">
        <v>1.1253E7</v>
      </c>
      <c r="L15" s="3">
        <v>1.2384E7</v>
      </c>
      <c r="M15" s="3">
        <v>5046000.0</v>
      </c>
      <c r="N15" s="3">
        <v>8130000.0</v>
      </c>
      <c r="O15" s="3">
        <v>1.3634E7</v>
      </c>
      <c r="P15" s="3">
        <v>1.8295E7</v>
      </c>
      <c r="Q15" s="3">
        <v>1.9317E7</v>
      </c>
      <c r="R15" s="6"/>
      <c r="S15" s="6"/>
      <c r="T15" s="6"/>
      <c r="U15" s="6"/>
      <c r="V15" s="6"/>
      <c r="W15" s="6"/>
    </row>
    <row r="16">
      <c r="B16" s="7"/>
      <c r="C16" s="7"/>
      <c r="D16" s="7"/>
      <c r="E16" s="7"/>
      <c r="F16" s="7"/>
      <c r="G16" s="7"/>
      <c r="H16" s="7"/>
      <c r="I16" s="7"/>
      <c r="J16" s="7"/>
      <c r="K16" s="7"/>
      <c r="L16" s="3"/>
      <c r="M16" s="3"/>
      <c r="N16" s="3"/>
      <c r="O16" s="3"/>
      <c r="P16" s="7"/>
      <c r="Q16" s="7"/>
    </row>
    <row r="17">
      <c r="A17" s="4" t="s">
        <v>11</v>
      </c>
      <c r="B17" s="8">
        <v>1.8874352E7</v>
      </c>
      <c r="C17" s="8">
        <v>1.9034048E7</v>
      </c>
      <c r="D17" s="8">
        <v>1.7371315E7</v>
      </c>
      <c r="E17" s="8">
        <v>1.6331672E7</v>
      </c>
      <c r="F17" s="8">
        <v>1.6465138E7</v>
      </c>
      <c r="G17" s="8">
        <v>1.7133811E7</v>
      </c>
      <c r="H17" s="8">
        <v>1.6867356E7</v>
      </c>
      <c r="I17" s="8">
        <v>1.5622273E7</v>
      </c>
      <c r="J17" s="8">
        <v>1.575706E7</v>
      </c>
      <c r="K17" s="8">
        <v>1.459127E7</v>
      </c>
      <c r="L17" s="8">
        <v>1.475981E7</v>
      </c>
      <c r="M17" s="8">
        <v>1.4923304E7</v>
      </c>
      <c r="N17" s="8">
        <v>1.6122583E7</v>
      </c>
      <c r="O17" s="8">
        <v>1.5249819E7</v>
      </c>
      <c r="P17" s="8">
        <v>1.4471875E7</v>
      </c>
      <c r="Q17" s="8">
        <v>1.3621075E7</v>
      </c>
    </row>
    <row r="18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>
      <c r="A19" s="4" t="s">
        <v>12</v>
      </c>
      <c r="B19" s="10">
        <v>0.25</v>
      </c>
      <c r="C19" s="10">
        <v>0.25</v>
      </c>
      <c r="D19" s="10">
        <v>0.25</v>
      </c>
      <c r="E19" s="10">
        <v>0.25</v>
      </c>
      <c r="F19" s="10">
        <v>0.25</v>
      </c>
      <c r="G19" s="10">
        <v>0.25</v>
      </c>
      <c r="H19" s="10">
        <v>0.25</v>
      </c>
      <c r="I19" s="10">
        <v>0.25</v>
      </c>
      <c r="J19" s="10">
        <v>0.25</v>
      </c>
      <c r="K19" s="10">
        <v>0.25</v>
      </c>
      <c r="L19" s="10">
        <v>0.25</v>
      </c>
      <c r="M19" s="10">
        <v>0.25</v>
      </c>
      <c r="N19" s="10">
        <v>0.25</v>
      </c>
      <c r="O19" s="10">
        <v>0.25</v>
      </c>
      <c r="P19" s="10">
        <v>0.25</v>
      </c>
      <c r="Q19" s="10">
        <v>0.25</v>
      </c>
      <c r="R19" s="11"/>
      <c r="S19" s="11"/>
      <c r="T19" s="11"/>
      <c r="U19" s="11"/>
      <c r="V19" s="11"/>
      <c r="W19" s="11"/>
    </row>
    <row r="20">
      <c r="A20" s="4" t="s">
        <v>13</v>
      </c>
      <c r="B20" s="12">
        <f t="shared" ref="B20:Q20" si="1">B4*(1-B19)</f>
        <v>-23502750</v>
      </c>
      <c r="C20" s="12">
        <f t="shared" si="1"/>
        <v>-12758250</v>
      </c>
      <c r="D20" s="12">
        <f t="shared" si="1"/>
        <v>-2049750</v>
      </c>
      <c r="E20" s="12">
        <f t="shared" si="1"/>
        <v>-13592250</v>
      </c>
      <c r="F20" s="12">
        <f t="shared" si="1"/>
        <v>-6204750</v>
      </c>
      <c r="G20" s="12">
        <f t="shared" si="1"/>
        <v>8586000</v>
      </c>
      <c r="H20" s="12">
        <f t="shared" si="1"/>
        <v>9582000</v>
      </c>
      <c r="I20" s="12">
        <f t="shared" si="1"/>
        <v>-972750</v>
      </c>
      <c r="J20" s="12">
        <f t="shared" si="1"/>
        <v>10368000</v>
      </c>
      <c r="K20" s="12">
        <f t="shared" si="1"/>
        <v>-13816500</v>
      </c>
      <c r="L20" s="12">
        <f t="shared" si="1"/>
        <v>1182000</v>
      </c>
      <c r="M20" s="12">
        <f t="shared" si="1"/>
        <v>-15132000</v>
      </c>
      <c r="N20" s="12">
        <f t="shared" si="1"/>
        <v>38028750</v>
      </c>
      <c r="O20" s="12">
        <f t="shared" si="1"/>
        <v>46457250</v>
      </c>
      <c r="P20" s="12">
        <f t="shared" si="1"/>
        <v>49050000</v>
      </c>
      <c r="Q20" s="12">
        <f t="shared" si="1"/>
        <v>49710000</v>
      </c>
      <c r="R20" s="13"/>
      <c r="S20" s="13"/>
      <c r="T20" s="13"/>
      <c r="U20" s="13"/>
      <c r="V20" s="13"/>
      <c r="W20" s="13"/>
    </row>
    <row r="21">
      <c r="A21" s="4" t="s">
        <v>14</v>
      </c>
      <c r="B21" s="12">
        <f t="shared" ref="B21:Q21" si="2">B11+B12-B10</f>
        <v>104381000</v>
      </c>
      <c r="C21" s="12">
        <f t="shared" si="2"/>
        <v>98958000</v>
      </c>
      <c r="D21" s="12">
        <f t="shared" si="2"/>
        <v>82876000</v>
      </c>
      <c r="E21" s="12">
        <f t="shared" si="2"/>
        <v>37966000</v>
      </c>
      <c r="F21" s="12">
        <f t="shared" si="2"/>
        <v>39725000</v>
      </c>
      <c r="G21" s="12">
        <f t="shared" si="2"/>
        <v>32236000</v>
      </c>
      <c r="H21" s="12">
        <f t="shared" si="2"/>
        <v>54218000</v>
      </c>
      <c r="I21" s="12">
        <f t="shared" si="2"/>
        <v>66629000</v>
      </c>
      <c r="J21" s="12">
        <f t="shared" si="2"/>
        <v>76870000</v>
      </c>
      <c r="K21" s="12">
        <f t="shared" si="2"/>
        <v>76420000</v>
      </c>
      <c r="L21" s="12">
        <f t="shared" si="2"/>
        <v>61905000</v>
      </c>
      <c r="M21" s="12">
        <f t="shared" si="2"/>
        <v>32468000</v>
      </c>
      <c r="N21" s="12">
        <f t="shared" si="2"/>
        <v>60838000</v>
      </c>
      <c r="O21" s="12">
        <f t="shared" si="2"/>
        <v>76919000</v>
      </c>
      <c r="P21" s="12">
        <f t="shared" si="2"/>
        <v>85335000</v>
      </c>
      <c r="Q21" s="12">
        <f t="shared" si="2"/>
        <v>111324000</v>
      </c>
      <c r="R21" s="12"/>
      <c r="S21" s="12"/>
      <c r="T21" s="12"/>
      <c r="U21" s="12"/>
      <c r="V21" s="12"/>
      <c r="W21" s="12"/>
    </row>
    <row r="22">
      <c r="A22" s="4" t="s">
        <v>15</v>
      </c>
      <c r="B22" s="12">
        <f t="shared" ref="B22:Q22" si="3">B14-B15</f>
        <v>18263000</v>
      </c>
      <c r="C22" s="12">
        <f t="shared" si="3"/>
        <v>7935000</v>
      </c>
      <c r="D22" s="12">
        <f t="shared" si="3"/>
        <v>3975000</v>
      </c>
      <c r="E22" s="12">
        <f t="shared" si="3"/>
        <v>-1769000</v>
      </c>
      <c r="F22" s="12">
        <f t="shared" si="3"/>
        <v>3000</v>
      </c>
      <c r="G22" s="12">
        <f t="shared" si="3"/>
        <v>24094000</v>
      </c>
      <c r="H22" s="12">
        <f t="shared" si="3"/>
        <v>9581000</v>
      </c>
      <c r="I22" s="12">
        <f t="shared" si="3"/>
        <v>-11237000</v>
      </c>
      <c r="J22" s="12">
        <f t="shared" si="3"/>
        <v>3325000</v>
      </c>
      <c r="K22" s="12">
        <f t="shared" si="3"/>
        <v>-1570000</v>
      </c>
      <c r="L22" s="12">
        <f t="shared" si="3"/>
        <v>9225000</v>
      </c>
      <c r="M22" s="12">
        <f t="shared" si="3"/>
        <v>8340000</v>
      </c>
      <c r="N22" s="12">
        <f t="shared" si="3"/>
        <v>19947000</v>
      </c>
      <c r="O22" s="12">
        <f t="shared" si="3"/>
        <v>33642000</v>
      </c>
      <c r="P22" s="12">
        <f t="shared" si="3"/>
        <v>46015000</v>
      </c>
      <c r="Q22" s="12">
        <f t="shared" si="3"/>
        <v>27770000</v>
      </c>
      <c r="R22" s="12"/>
      <c r="S22" s="12"/>
      <c r="T22" s="12"/>
      <c r="U22" s="12"/>
      <c r="V22" s="12"/>
      <c r="W22" s="12"/>
    </row>
    <row r="23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  <c r="S23" s="15"/>
      <c r="T23" s="15"/>
      <c r="U23" s="15"/>
      <c r="V23" s="15"/>
      <c r="W23" s="15"/>
    </row>
    <row r="24">
      <c r="A24" s="4" t="s">
        <v>16</v>
      </c>
      <c r="B24" s="16">
        <f t="shared" ref="B24:Q24" si="4">B20/B21</f>
        <v>-0.2251631044</v>
      </c>
      <c r="C24" s="16">
        <f t="shared" si="4"/>
        <v>-0.128925908</v>
      </c>
      <c r="D24" s="16">
        <f t="shared" si="4"/>
        <v>-0.02473273324</v>
      </c>
      <c r="E24" s="16">
        <f t="shared" si="4"/>
        <v>-0.3580111152</v>
      </c>
      <c r="F24" s="16">
        <f t="shared" si="4"/>
        <v>-0.1561925739</v>
      </c>
      <c r="G24" s="16">
        <f t="shared" si="4"/>
        <v>0.2663481822</v>
      </c>
      <c r="H24" s="16">
        <f t="shared" si="4"/>
        <v>0.176730975</v>
      </c>
      <c r="I24" s="16">
        <f t="shared" si="4"/>
        <v>-0.01459949872</v>
      </c>
      <c r="J24" s="16">
        <f t="shared" si="4"/>
        <v>0.1348770652</v>
      </c>
      <c r="K24" s="16">
        <f t="shared" si="4"/>
        <v>-0.1807969118</v>
      </c>
      <c r="L24" s="16">
        <f t="shared" si="4"/>
        <v>0.01909377272</v>
      </c>
      <c r="M24" s="16">
        <f t="shared" si="4"/>
        <v>-0.4660588888</v>
      </c>
      <c r="N24" s="16">
        <f t="shared" si="4"/>
        <v>0.6250821855</v>
      </c>
      <c r="O24" s="16">
        <f t="shared" si="4"/>
        <v>0.6039762607</v>
      </c>
      <c r="P24" s="16">
        <f t="shared" si="4"/>
        <v>0.5747934611</v>
      </c>
      <c r="Q24" s="16">
        <f t="shared" si="4"/>
        <v>0.44653444</v>
      </c>
      <c r="R24" s="11"/>
      <c r="S24" s="11"/>
      <c r="T24" s="11"/>
      <c r="U24" s="11"/>
      <c r="V24" s="11"/>
      <c r="W24" s="11"/>
    </row>
    <row r="25">
      <c r="A25" s="4" t="s">
        <v>17</v>
      </c>
      <c r="B25" s="16">
        <f t="shared" ref="B25:Q25" si="5">B4/B3</f>
        <v>-0.08065072371</v>
      </c>
      <c r="C25" s="16">
        <f t="shared" si="5"/>
        <v>-0.04393756635</v>
      </c>
      <c r="D25" s="16">
        <f t="shared" si="5"/>
        <v>-0.006929952456</v>
      </c>
      <c r="E25" s="16">
        <f t="shared" si="5"/>
        <v>-0.04757429628</v>
      </c>
      <c r="F25" s="16">
        <f t="shared" si="5"/>
        <v>-0.02216934237</v>
      </c>
      <c r="G25" s="16">
        <f t="shared" si="5"/>
        <v>0.02952608163</v>
      </c>
      <c r="H25" s="16">
        <f t="shared" si="5"/>
        <v>0.03427820184</v>
      </c>
      <c r="I25" s="16">
        <f t="shared" si="5"/>
        <v>-0.003627028493</v>
      </c>
      <c r="J25" s="16">
        <f t="shared" si="5"/>
        <v>0.03862898403</v>
      </c>
      <c r="K25" s="16">
        <f t="shared" si="5"/>
        <v>-0.05473208848</v>
      </c>
      <c r="L25" s="16">
        <f t="shared" si="5"/>
        <v>0.004655243204</v>
      </c>
      <c r="M25" s="16">
        <f t="shared" si="5"/>
        <v>-0.07902549841</v>
      </c>
      <c r="N25" s="16">
        <f t="shared" si="5"/>
        <v>0.1232133397</v>
      </c>
      <c r="O25" s="16">
        <f t="shared" si="5"/>
        <v>0.1323746573</v>
      </c>
      <c r="P25" s="16">
        <f t="shared" si="5"/>
        <v>0.1345363433</v>
      </c>
      <c r="Q25" s="16">
        <f t="shared" si="5"/>
        <v>0.1335202778</v>
      </c>
      <c r="R25" s="11"/>
      <c r="S25" s="11"/>
      <c r="T25" s="11"/>
      <c r="U25" s="11"/>
      <c r="V25" s="11"/>
      <c r="W25" s="11"/>
    </row>
    <row r="26">
      <c r="A26" s="4" t="s">
        <v>18</v>
      </c>
      <c r="B26" s="16">
        <f t="shared" ref="B26:Q26" si="6">B11/B12</f>
        <v>0</v>
      </c>
      <c r="C26" s="16">
        <f t="shared" si="6"/>
        <v>0</v>
      </c>
      <c r="D26" s="16">
        <f t="shared" si="6"/>
        <v>0</v>
      </c>
      <c r="E26" s="16">
        <f t="shared" si="6"/>
        <v>0</v>
      </c>
      <c r="F26" s="16">
        <f t="shared" si="6"/>
        <v>0</v>
      </c>
      <c r="G26" s="16">
        <f t="shared" si="6"/>
        <v>0</v>
      </c>
      <c r="H26" s="16">
        <f t="shared" si="6"/>
        <v>0</v>
      </c>
      <c r="I26" s="16">
        <f t="shared" si="6"/>
        <v>0</v>
      </c>
      <c r="J26" s="16">
        <f t="shared" si="6"/>
        <v>0</v>
      </c>
      <c r="K26" s="16">
        <f t="shared" si="6"/>
        <v>0</v>
      </c>
      <c r="L26" s="16">
        <f t="shared" si="6"/>
        <v>0</v>
      </c>
      <c r="M26" s="16">
        <f t="shared" si="6"/>
        <v>0</v>
      </c>
      <c r="N26" s="16">
        <f t="shared" si="6"/>
        <v>0</v>
      </c>
      <c r="O26" s="16">
        <f t="shared" si="6"/>
        <v>0</v>
      </c>
      <c r="P26" s="16">
        <f t="shared" si="6"/>
        <v>0</v>
      </c>
      <c r="Q26" s="16">
        <f t="shared" si="6"/>
        <v>0</v>
      </c>
      <c r="R26" s="11"/>
      <c r="S26" s="11"/>
      <c r="T26" s="11"/>
      <c r="U26" s="11"/>
      <c r="V26" s="11"/>
      <c r="W26" s="11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>
      <c r="A28" s="4" t="s">
        <v>19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>
      <c r="A30" s="17" t="s">
        <v>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>
      <c r="A31" s="1" t="s">
        <v>21</v>
      </c>
      <c r="B31" s="2">
        <v>2009.0</v>
      </c>
      <c r="C31" s="2">
        <v>2010.0</v>
      </c>
      <c r="D31" s="2">
        <v>2011.0</v>
      </c>
      <c r="E31" s="2">
        <v>2012.0</v>
      </c>
      <c r="F31" s="2">
        <v>2013.0</v>
      </c>
      <c r="G31" s="2">
        <v>2014.0</v>
      </c>
      <c r="H31" s="2">
        <v>2015.0</v>
      </c>
      <c r="I31" s="2">
        <v>2016.0</v>
      </c>
      <c r="J31" s="2">
        <v>2017.0</v>
      </c>
      <c r="K31" s="2">
        <v>2018.0</v>
      </c>
      <c r="L31" s="2">
        <v>2019.0</v>
      </c>
      <c r="M31" s="2">
        <v>2020.0</v>
      </c>
      <c r="N31" s="2">
        <v>2021.0</v>
      </c>
      <c r="O31" s="2">
        <v>2022.0</v>
      </c>
      <c r="P31" s="2">
        <v>2023.0</v>
      </c>
      <c r="Q31" s="2">
        <v>2024.0</v>
      </c>
    </row>
    <row r="32">
      <c r="A32" s="4" t="s">
        <v>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3"/>
      <c r="Q32" s="3"/>
    </row>
    <row r="33">
      <c r="A33" s="4" t="s">
        <v>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3"/>
      <c r="Q33" s="3"/>
    </row>
    <row r="34">
      <c r="A34" s="4" t="s">
        <v>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3"/>
      <c r="Q34" s="3"/>
    </row>
    <row r="35">
      <c r="A35" s="4" t="s">
        <v>6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3"/>
      <c r="Q35" s="3"/>
    </row>
    <row r="36">
      <c r="A36" s="4" t="s">
        <v>22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3"/>
      <c r="Q36" s="3"/>
    </row>
    <row r="37">
      <c r="A37" s="4" t="s">
        <v>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3"/>
      <c r="Q37" s="3"/>
    </row>
    <row r="38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>
      <c r="A39" s="4" t="s">
        <v>16</v>
      </c>
      <c r="B39" s="7" t="str">
        <f t="shared" ref="B39:Q39" si="7">(B32*(1-(B34/B33)))/(B36+B37-B35)</f>
        <v>#DIV/0!</v>
      </c>
      <c r="C39" s="7" t="str">
        <f t="shared" si="7"/>
        <v>#DIV/0!</v>
      </c>
      <c r="D39" s="7" t="str">
        <f t="shared" si="7"/>
        <v>#DIV/0!</v>
      </c>
      <c r="E39" s="7" t="str">
        <f t="shared" si="7"/>
        <v>#DIV/0!</v>
      </c>
      <c r="F39" s="7" t="str">
        <f t="shared" si="7"/>
        <v>#DIV/0!</v>
      </c>
      <c r="G39" s="7" t="str">
        <f t="shared" si="7"/>
        <v>#DIV/0!</v>
      </c>
      <c r="H39" s="7" t="str">
        <f t="shared" si="7"/>
        <v>#DIV/0!</v>
      </c>
      <c r="I39" s="7" t="str">
        <f t="shared" si="7"/>
        <v>#DIV/0!</v>
      </c>
      <c r="J39" s="7" t="str">
        <f t="shared" si="7"/>
        <v>#DIV/0!</v>
      </c>
      <c r="K39" s="7" t="str">
        <f t="shared" si="7"/>
        <v>#DIV/0!</v>
      </c>
      <c r="L39" s="7" t="str">
        <f t="shared" si="7"/>
        <v>#DIV/0!</v>
      </c>
      <c r="M39" s="7" t="str">
        <f t="shared" si="7"/>
        <v>#DIV/0!</v>
      </c>
      <c r="N39" s="7" t="str">
        <f t="shared" si="7"/>
        <v>#DIV/0!</v>
      </c>
      <c r="O39" s="7" t="str">
        <f t="shared" si="7"/>
        <v>#DIV/0!</v>
      </c>
      <c r="P39" s="7" t="str">
        <f t="shared" si="7"/>
        <v>#DIV/0!</v>
      </c>
      <c r="Q39" s="7" t="str">
        <f t="shared" si="7"/>
        <v>#DIV/0!</v>
      </c>
    </row>
    <row r="4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>
      <c r="A41" s="1" t="s">
        <v>21</v>
      </c>
      <c r="B41" s="2">
        <v>2009.0</v>
      </c>
      <c r="C41" s="2">
        <v>2010.0</v>
      </c>
      <c r="D41" s="2">
        <v>2011.0</v>
      </c>
      <c r="E41" s="2">
        <v>2012.0</v>
      </c>
      <c r="F41" s="2">
        <v>2013.0</v>
      </c>
      <c r="G41" s="2">
        <v>2014.0</v>
      </c>
      <c r="H41" s="2">
        <v>2015.0</v>
      </c>
      <c r="I41" s="2">
        <v>2016.0</v>
      </c>
      <c r="J41" s="2">
        <v>2017.0</v>
      </c>
      <c r="K41" s="2">
        <v>2018.0</v>
      </c>
      <c r="L41" s="2">
        <v>2019.0</v>
      </c>
      <c r="M41" s="2">
        <v>2020.0</v>
      </c>
      <c r="N41" s="2">
        <v>2021.0</v>
      </c>
      <c r="O41" s="2">
        <v>2022.0</v>
      </c>
      <c r="P41" s="2">
        <v>2023.0</v>
      </c>
      <c r="Q41" s="2">
        <v>2024.0</v>
      </c>
    </row>
    <row r="42">
      <c r="A42" s="4" t="s">
        <v>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3"/>
      <c r="P42" s="3"/>
      <c r="Q42" s="3"/>
    </row>
    <row r="43">
      <c r="A43" s="4" t="s">
        <v>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3"/>
      <c r="P43" s="3"/>
      <c r="Q43" s="3"/>
    </row>
    <row r="44">
      <c r="A44" s="4" t="s">
        <v>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3"/>
      <c r="P44" s="3"/>
      <c r="Q44" s="3"/>
    </row>
    <row r="45">
      <c r="A45" s="4" t="s">
        <v>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3"/>
      <c r="O45" s="3"/>
      <c r="P45" s="3"/>
      <c r="Q45" s="3"/>
    </row>
    <row r="46">
      <c r="A46" s="4" t="s">
        <v>22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3"/>
      <c r="O46" s="3"/>
      <c r="P46" s="3"/>
      <c r="Q46" s="3"/>
    </row>
    <row r="47">
      <c r="A47" s="19" t="s">
        <v>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/>
      <c r="O47" s="21"/>
      <c r="P47" s="21"/>
      <c r="Q47" s="21"/>
      <c r="R47" s="22"/>
      <c r="S47" s="22"/>
      <c r="T47" s="22"/>
      <c r="U47" s="22"/>
      <c r="V47" s="22"/>
      <c r="W47" s="22"/>
    </row>
    <row r="48">
      <c r="A48" s="22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2"/>
      <c r="S48" s="22"/>
      <c r="T48" s="22"/>
      <c r="U48" s="22"/>
      <c r="V48" s="22"/>
      <c r="W48" s="22"/>
    </row>
    <row r="49">
      <c r="A49" s="19" t="s">
        <v>16</v>
      </c>
      <c r="B49" s="23" t="str">
        <f t="shared" ref="B49:Q49" si="8">(B42*(1-(B44/B43)))/(B46+B47-B45)</f>
        <v>#DIV/0!</v>
      </c>
      <c r="C49" s="23" t="str">
        <f t="shared" si="8"/>
        <v>#DIV/0!</v>
      </c>
      <c r="D49" s="23" t="str">
        <f t="shared" si="8"/>
        <v>#DIV/0!</v>
      </c>
      <c r="E49" s="23" t="str">
        <f t="shared" si="8"/>
        <v>#DIV/0!</v>
      </c>
      <c r="F49" s="23" t="str">
        <f t="shared" si="8"/>
        <v>#DIV/0!</v>
      </c>
      <c r="G49" s="23" t="str">
        <f t="shared" si="8"/>
        <v>#DIV/0!</v>
      </c>
      <c r="H49" s="23" t="str">
        <f t="shared" si="8"/>
        <v>#DIV/0!</v>
      </c>
      <c r="I49" s="23" t="str">
        <f t="shared" si="8"/>
        <v>#DIV/0!</v>
      </c>
      <c r="J49" s="23" t="str">
        <f t="shared" si="8"/>
        <v>#DIV/0!</v>
      </c>
      <c r="K49" s="23" t="str">
        <f t="shared" si="8"/>
        <v>#DIV/0!</v>
      </c>
      <c r="L49" s="23" t="str">
        <f t="shared" si="8"/>
        <v>#DIV/0!</v>
      </c>
      <c r="M49" s="23" t="str">
        <f t="shared" si="8"/>
        <v>#DIV/0!</v>
      </c>
      <c r="N49" s="23" t="str">
        <f t="shared" si="8"/>
        <v>#DIV/0!</v>
      </c>
      <c r="O49" s="23" t="str">
        <f t="shared" si="8"/>
        <v>#DIV/0!</v>
      </c>
      <c r="P49" s="23" t="str">
        <f t="shared" si="8"/>
        <v>#DIV/0!</v>
      </c>
      <c r="Q49" s="23" t="str">
        <f t="shared" si="8"/>
        <v>#DIV/0!</v>
      </c>
      <c r="R49" s="22"/>
      <c r="S49" s="22"/>
      <c r="T49" s="22"/>
      <c r="U49" s="22"/>
      <c r="V49" s="22"/>
      <c r="W49" s="22"/>
    </row>
    <row r="5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7"/>
      <c r="O50" s="7"/>
      <c r="P50" s="7"/>
      <c r="Q50" s="7"/>
    </row>
    <row r="51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</row>
  </sheetData>
  <drawing r:id="rId1"/>
</worksheet>
</file>