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<sst xmlns="http://schemas.openxmlformats.org/spreadsheetml/2006/main" count="81" uniqueCount="24">
  <si>
    <t>Artesian Resources Corporation</t>
  </si>
  <si>
    <t>Revenue</t>
  </si>
  <si>
    <t>Operating Income</t>
  </si>
  <si>
    <t>Income Before Tax</t>
  </si>
  <si>
    <t>-</t>
  </si>
  <si>
    <t>Income Tax Expense</t>
  </si>
  <si>
    <t>Net Income</t>
  </si>
  <si>
    <t>Cash</t>
  </si>
  <si>
    <t>Total Debt</t>
  </si>
  <si>
    <t>Shareholder Equity</t>
  </si>
  <si>
    <t>Operating Cash Flow</t>
  </si>
  <si>
    <t>Capital Expenditures</t>
  </si>
  <si>
    <t>Shares Outstanding</t>
  </si>
  <si>
    <t>Tax Rate</t>
  </si>
  <si>
    <t>NOPAT</t>
  </si>
  <si>
    <t>Invested Capital</t>
  </si>
  <si>
    <t>Free Cash Flow</t>
  </si>
  <si>
    <t>ROIC</t>
  </si>
  <si>
    <t>Operating Margin</t>
  </si>
  <si>
    <t>Debt / Equity</t>
  </si>
  <si>
    <t>Notes</t>
  </si>
  <si>
    <t>Competitors</t>
  </si>
  <si>
    <t>(Company Name)</t>
  </si>
  <si>
    <t>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</si>
</sst>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10" xfId="0" applyFont="1" applyNumberFormat="1"/>
    <xf borderId="0" fillId="0" fontId="2" numFmtId="3" xfId="0" applyAlignment="1" applyFont="1" applyNumberFormat="1">
      <alignment readingOrder="0"/>
    </xf>
    <xf borderId="0" fillId="0" fontId="2" numFmtId="164" xfId="0" applyFont="1" applyNumberFormat="1"/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5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63"/>
    <col customWidth="1" min="2" max="23" width="13.38"/>
  </cols>
  <sheetData>
    <row r="1">
      <c r="A1" s="1" t="s">
        <v>0</v>
      </c>
      <c r="B1" s="2">
        <v>2003.0</v>
      </c>
      <c r="C1" s="2">
        <v>2004.0</v>
      </c>
      <c r="D1" s="2">
        <v>2005.0</v>
      </c>
      <c r="E1" s="2">
        <v>2006.0</v>
      </c>
      <c r="F1" s="2">
        <v>2007.0</v>
      </c>
      <c r="G1" s="2">
        <v>2008.0</v>
      </c>
      <c r="H1" s="2">
        <v>2009.0</v>
      </c>
      <c r="I1" s="2">
        <v>2010.0</v>
      </c>
      <c r="J1" s="2">
        <v>2011.0</v>
      </c>
      <c r="K1" s="2">
        <v>2012.0</v>
      </c>
      <c r="L1" s="2">
        <v>2013.0</v>
      </c>
      <c r="M1" s="2">
        <v>2014.0</v>
      </c>
      <c r="N1" s="2">
        <v>2015.0</v>
      </c>
      <c r="O1" s="2">
        <v>2016.0</v>
      </c>
      <c r="P1" s="2">
        <v>2017.0</v>
      </c>
      <c r="Q1" s="2">
        <v>2018.0</v>
      </c>
      <c r="R1" s="2">
        <v>2019.0</v>
      </c>
      <c r="S1" s="2">
        <v>2020.0</v>
      </c>
      <c r="T1" s="2">
        <v>2021.0</v>
      </c>
      <c r="U1" s="2">
        <v>2022.0</v>
      </c>
      <c r="V1" s="2">
        <v>2023.0</v>
      </c>
      <c r="W1" s="2">
        <v>2024.0</v>
      </c>
    </row>
    <row r="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2" t="s">
        <v>1</v>
      </c>
      <c r="B3" s="3">
        <v>3.6295E7</v>
      </c>
      <c r="C3" s="3">
        <v>3.9582E7</v>
      </c>
      <c r="D3" s="3">
        <v>4.5285E7</v>
      </c>
      <c r="E3" s="3">
        <v>4.8587E7</v>
      </c>
      <c r="F3" s="3">
        <v>5.2524E7</v>
      </c>
      <c r="G3" s="3">
        <v>5.6185E7</v>
      </c>
      <c r="H3" s="3">
        <v>6.0912E7</v>
      </c>
      <c r="I3" s="3">
        <v>6.4885E7</v>
      </c>
      <c r="J3" s="3">
        <v>6.507E7</v>
      </c>
      <c r="K3" s="3">
        <v>7.0563E7</v>
      </c>
      <c r="L3" s="3">
        <v>6.9073E7</v>
      </c>
      <c r="M3" s="3">
        <v>7.2465E7</v>
      </c>
      <c r="N3" s="3">
        <v>7.7024E7</v>
      </c>
      <c r="O3" s="3">
        <v>7.9089E7</v>
      </c>
      <c r="P3" s="3">
        <v>8.2235E7</v>
      </c>
      <c r="Q3" s="3">
        <v>8.0411E7</v>
      </c>
      <c r="R3" s="3">
        <v>8.3595E7</v>
      </c>
      <c r="S3" s="3">
        <v>8.8141E7</v>
      </c>
      <c r="T3" s="3">
        <v>9.0859E7</v>
      </c>
      <c r="U3" s="3">
        <v>9.8897E7</v>
      </c>
      <c r="V3" s="3">
        <v>9.8861E7</v>
      </c>
      <c r="W3" s="3">
        <v>1.07952E8</v>
      </c>
    </row>
    <row r="4">
      <c r="A4" s="2" t="s">
        <v>2</v>
      </c>
      <c r="B4" s="3">
        <v>8529000.0</v>
      </c>
      <c r="C4" s="3">
        <v>9874000.0</v>
      </c>
      <c r="D4" s="3">
        <v>1.0641E7</v>
      </c>
      <c r="E4" s="3">
        <v>1.1795E7</v>
      </c>
      <c r="F4" s="3">
        <v>1.1766E7</v>
      </c>
      <c r="G4" s="3">
        <v>1.1906E7</v>
      </c>
      <c r="H4" s="3">
        <v>1.3645E7</v>
      </c>
      <c r="I4" s="3">
        <v>1.4268E7</v>
      </c>
      <c r="J4" s="3">
        <v>1.3736E7</v>
      </c>
      <c r="K4" s="3">
        <v>1.5855E7</v>
      </c>
      <c r="L4" s="3">
        <v>1.4484E7</v>
      </c>
      <c r="M4" s="3">
        <v>1.6046E7</v>
      </c>
      <c r="N4" s="3">
        <v>1.7582E7</v>
      </c>
      <c r="O4" s="3">
        <v>1.8819E7</v>
      </c>
      <c r="P4" s="3">
        <v>1.96E7</v>
      </c>
      <c r="Q4" s="3">
        <v>1.8955E7</v>
      </c>
      <c r="R4" s="3">
        <v>1.9925E7</v>
      </c>
      <c r="S4" s="3">
        <v>2.2295E7</v>
      </c>
      <c r="T4" s="3">
        <v>2.2294E7</v>
      </c>
      <c r="U4" s="3">
        <v>2.3906E7</v>
      </c>
      <c r="V4" s="3">
        <v>2.2446E7</v>
      </c>
      <c r="W4" s="3">
        <v>2.6151E7</v>
      </c>
    </row>
    <row r="5">
      <c r="A5" s="2" t="s">
        <v>3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  <c r="L5" s="4" t="s">
        <v>4</v>
      </c>
      <c r="M5" s="4" t="s">
        <v>4</v>
      </c>
      <c r="N5" s="4" t="s">
        <v>4</v>
      </c>
      <c r="O5" s="4" t="s">
        <v>4</v>
      </c>
      <c r="P5" s="4" t="s">
        <v>4</v>
      </c>
      <c r="Q5" s="4" t="s">
        <v>4</v>
      </c>
      <c r="R5" s="4" t="s">
        <v>4</v>
      </c>
      <c r="S5" s="4" t="s">
        <v>4</v>
      </c>
      <c r="T5" s="4" t="s">
        <v>4</v>
      </c>
      <c r="U5" s="4" t="s">
        <v>4</v>
      </c>
      <c r="V5" s="4" t="s">
        <v>4</v>
      </c>
      <c r="W5" s="4" t="s">
        <v>4</v>
      </c>
    </row>
    <row r="6">
      <c r="A6" s="2" t="s">
        <v>5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  <c r="L6" s="4" t="s">
        <v>4</v>
      </c>
      <c r="M6" s="4" t="s">
        <v>4</v>
      </c>
      <c r="N6" s="4" t="s">
        <v>4</v>
      </c>
      <c r="O6" s="4" t="s">
        <v>4</v>
      </c>
      <c r="P6" s="4" t="s">
        <v>4</v>
      </c>
      <c r="Q6" s="4" t="s">
        <v>4</v>
      </c>
      <c r="R6" s="4" t="s">
        <v>4</v>
      </c>
      <c r="S6" s="4" t="s">
        <v>4</v>
      </c>
      <c r="T6" s="4" t="s">
        <v>4</v>
      </c>
      <c r="U6" s="4" t="s">
        <v>4</v>
      </c>
      <c r="V6" s="4" t="s">
        <v>4</v>
      </c>
      <c r="W6" s="4" t="s">
        <v>4</v>
      </c>
    </row>
    <row r="7">
      <c r="A7" s="2" t="s">
        <v>6</v>
      </c>
      <c r="B7" s="3">
        <v>3917000.0</v>
      </c>
      <c r="C7" s="3">
        <v>4402000.0</v>
      </c>
      <c r="D7" s="3">
        <v>5035000.0</v>
      </c>
      <c r="E7" s="3">
        <v>6071000.0</v>
      </c>
      <c r="F7" s="3">
        <v>6263000.0</v>
      </c>
      <c r="G7" s="3">
        <v>6418000.0</v>
      </c>
      <c r="H7" s="3">
        <v>7262000.0</v>
      </c>
      <c r="I7" s="3">
        <v>7620000.0</v>
      </c>
      <c r="J7" s="3">
        <v>6746000.0</v>
      </c>
      <c r="K7" s="3">
        <v>9846000.0</v>
      </c>
      <c r="L7" s="3">
        <v>8301000.0</v>
      </c>
      <c r="M7" s="3">
        <v>9506000.0</v>
      </c>
      <c r="N7" s="3">
        <v>1.1305E7</v>
      </c>
      <c r="O7" s="3">
        <v>1.2954E7</v>
      </c>
      <c r="P7" s="3">
        <v>1.3983E7</v>
      </c>
      <c r="Q7" s="3">
        <v>1.4278E7</v>
      </c>
      <c r="R7" s="3">
        <v>1.4925E7</v>
      </c>
      <c r="S7" s="3">
        <v>1.6817E7</v>
      </c>
      <c r="T7" s="3">
        <v>1.6827E7</v>
      </c>
      <c r="U7" s="3">
        <v>1.7998E7</v>
      </c>
      <c r="V7" s="3">
        <v>1.6699E7</v>
      </c>
      <c r="W7" s="3">
        <v>2.0394E7</v>
      </c>
    </row>
    <row r="10">
      <c r="A10" s="2" t="s">
        <v>7</v>
      </c>
      <c r="B10" s="3">
        <v>1128000.0</v>
      </c>
      <c r="C10" s="3">
        <v>1217000.0</v>
      </c>
      <c r="D10" s="3">
        <v>1359000.0</v>
      </c>
      <c r="E10" s="3">
        <v>1414000.0</v>
      </c>
      <c r="F10" s="3">
        <v>2520000.0</v>
      </c>
      <c r="G10" s="3">
        <v>2894000.0</v>
      </c>
      <c r="H10" s="3">
        <v>474000.0</v>
      </c>
      <c r="I10" s="3">
        <v>179000.0</v>
      </c>
      <c r="J10" s="3">
        <v>311000.0</v>
      </c>
      <c r="K10" s="3">
        <v>617000.0</v>
      </c>
      <c r="L10" s="3">
        <v>422000.0</v>
      </c>
      <c r="M10" s="3">
        <v>243000.0</v>
      </c>
      <c r="N10" s="3">
        <v>209000.0</v>
      </c>
      <c r="O10" s="3">
        <v>226000.0</v>
      </c>
      <c r="P10" s="3">
        <v>952000.0</v>
      </c>
      <c r="Q10" s="3">
        <v>293000.0</v>
      </c>
      <c r="R10" s="3">
        <v>596000.0</v>
      </c>
      <c r="S10" s="3">
        <v>28000.0</v>
      </c>
      <c r="T10" s="3">
        <v>92000.0</v>
      </c>
      <c r="U10" s="3">
        <v>1309000.0</v>
      </c>
      <c r="V10" s="3">
        <v>2505000.0</v>
      </c>
      <c r="W10" s="3">
        <v>1147000.0</v>
      </c>
    </row>
    <row r="11">
      <c r="A11" s="2" t="s">
        <v>8</v>
      </c>
      <c r="B11" s="3">
        <v>9.3245E7</v>
      </c>
      <c r="C11" s="3">
        <v>9.2651E7</v>
      </c>
      <c r="D11" s="3">
        <v>9.4466E7</v>
      </c>
      <c r="E11" s="3">
        <v>1.00289E8</v>
      </c>
      <c r="F11" s="3">
        <v>9.2971E7</v>
      </c>
      <c r="G11" s="3">
        <v>1.29357E8</v>
      </c>
      <c r="H11" s="3">
        <v>1.32678E8</v>
      </c>
      <c r="I11" s="3">
        <v>2.30823E8</v>
      </c>
      <c r="J11" s="3">
        <v>1.19997E8</v>
      </c>
      <c r="K11" s="3">
        <v>1.18085E8</v>
      </c>
      <c r="L11" s="3">
        <v>1.16974E8</v>
      </c>
      <c r="M11" s="3">
        <v>1.2469E8</v>
      </c>
      <c r="N11" s="3">
        <v>1.15423E8</v>
      </c>
      <c r="O11" s="3">
        <v>1.10777E8</v>
      </c>
      <c r="P11" s="3">
        <v>1.16541E8</v>
      </c>
      <c r="Q11" s="3">
        <v>1.33529E8</v>
      </c>
      <c r="R11" s="3">
        <v>1.53362E8</v>
      </c>
      <c r="S11" s="3">
        <v>1.70903E8</v>
      </c>
      <c r="T11" s="3">
        <v>1.71553E8</v>
      </c>
      <c r="U11" s="3">
        <v>1.97796E8</v>
      </c>
      <c r="V11" s="3">
        <v>1.80542E8</v>
      </c>
      <c r="W11" s="3">
        <v>1.78676E8</v>
      </c>
    </row>
    <row r="12">
      <c r="A12" s="2" t="s">
        <v>9</v>
      </c>
      <c r="B12" s="3">
        <v>5.2691E7</v>
      </c>
      <c r="C12" s="3">
        <v>5.4943E7</v>
      </c>
      <c r="D12" s="3">
        <v>5.7813E7</v>
      </c>
      <c r="E12" s="3">
        <v>6.18E7</v>
      </c>
      <c r="F12" s="3">
        <v>8.5132E7</v>
      </c>
      <c r="G12" s="3">
        <v>8.7794E7</v>
      </c>
      <c r="H12" s="3">
        <v>9.1174E7</v>
      </c>
      <c r="I12" s="3">
        <v>9.5146E7</v>
      </c>
      <c r="J12" s="3">
        <v>1.12997E8</v>
      </c>
      <c r="K12" s="3">
        <v>1.1818E8</v>
      </c>
      <c r="L12" s="3">
        <v>1.21836E8</v>
      </c>
      <c r="M12" s="3">
        <v>1.25605E8</v>
      </c>
      <c r="N12" s="3">
        <v>1.32331E8</v>
      </c>
      <c r="O12" s="3">
        <v>1.39023E8</v>
      </c>
      <c r="P12" s="3">
        <v>1.46644E8</v>
      </c>
      <c r="Q12" s="3">
        <v>1.53251E8</v>
      </c>
      <c r="R12" s="3">
        <v>1.60268E8</v>
      </c>
      <c r="S12" s="3">
        <v>1.69426E8</v>
      </c>
      <c r="T12" s="3">
        <v>1.7801E8</v>
      </c>
      <c r="U12" s="3">
        <v>1.87931E8</v>
      </c>
      <c r="V12" s="3">
        <v>2.30397E8</v>
      </c>
      <c r="W12" s="3">
        <v>2.39189E8</v>
      </c>
    </row>
    <row r="13">
      <c r="B13" s="5"/>
      <c r="C13" s="5"/>
    </row>
    <row r="14">
      <c r="A14" s="2" t="s">
        <v>10</v>
      </c>
      <c r="B14" s="3">
        <v>1.4105E7</v>
      </c>
      <c r="C14" s="3">
        <v>1.1434E7</v>
      </c>
      <c r="D14" s="3">
        <v>1.3873E7</v>
      </c>
      <c r="E14" s="3">
        <v>1.2723E7</v>
      </c>
      <c r="F14" s="3">
        <v>1.1626E7</v>
      </c>
      <c r="G14" s="3">
        <v>1.8175E7</v>
      </c>
      <c r="H14" s="3">
        <v>1.3376E7</v>
      </c>
      <c r="I14" s="3">
        <v>1.8106E7</v>
      </c>
      <c r="J14" s="3">
        <v>1.9222E7</v>
      </c>
      <c r="K14" s="3">
        <v>2.3373E7</v>
      </c>
      <c r="L14" s="3">
        <v>2.1022E7</v>
      </c>
      <c r="M14" s="3">
        <v>1.8349E7</v>
      </c>
      <c r="N14" s="3">
        <v>2.8407E7</v>
      </c>
      <c r="O14" s="3">
        <v>2.9779E7</v>
      </c>
      <c r="P14" s="3">
        <v>3.5779E7</v>
      </c>
      <c r="Q14" s="3">
        <v>2.9141E7</v>
      </c>
      <c r="R14" s="3">
        <v>1.887E7</v>
      </c>
      <c r="S14" s="3">
        <v>2.0358E7</v>
      </c>
      <c r="T14" s="3">
        <v>3.131E7</v>
      </c>
      <c r="U14" s="3">
        <v>2.4265E7</v>
      </c>
      <c r="V14" s="3">
        <v>3.1851E7</v>
      </c>
      <c r="W14" s="3">
        <v>3.6823E7</v>
      </c>
    </row>
    <row r="15">
      <c r="A15" s="2" t="s">
        <v>11</v>
      </c>
      <c r="B15" s="3">
        <v>2.4562E7</v>
      </c>
      <c r="C15" s="3">
        <v>2.8596E7</v>
      </c>
      <c r="D15" s="3">
        <v>2.0164E7</v>
      </c>
      <c r="E15" s="3">
        <v>3.089E7</v>
      </c>
      <c r="F15" s="3">
        <v>2.6736E7</v>
      </c>
      <c r="G15" s="3">
        <v>4.5057E7</v>
      </c>
      <c r="H15" s="3">
        <v>1.739E7</v>
      </c>
      <c r="I15" s="3">
        <v>1.9631E7</v>
      </c>
      <c r="J15" s="3">
        <v>1.5787E7</v>
      </c>
      <c r="K15" s="3">
        <v>2.0546E7</v>
      </c>
      <c r="L15" s="3">
        <v>2.1188E7</v>
      </c>
      <c r="M15" s="3">
        <v>2.373E7</v>
      </c>
      <c r="N15" s="3">
        <v>2.0694E7</v>
      </c>
      <c r="O15" s="3">
        <v>2.8251E7</v>
      </c>
      <c r="P15" s="3">
        <v>4.1094E7</v>
      </c>
      <c r="Q15" s="3">
        <v>4.9053E7</v>
      </c>
      <c r="R15" s="3">
        <v>4.0677E7</v>
      </c>
      <c r="S15" s="3">
        <v>3.4277E7</v>
      </c>
      <c r="T15" s="3">
        <v>4.0814E7</v>
      </c>
      <c r="U15" s="3">
        <v>4.8483E7</v>
      </c>
      <c r="V15" s="3">
        <v>6.2177E7</v>
      </c>
      <c r="W15" s="3">
        <v>4.5942E7</v>
      </c>
      <c r="X15" s="5"/>
    </row>
    <row r="16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2" t="s">
        <v>12</v>
      </c>
      <c r="B17" s="6">
        <v>5852000.0</v>
      </c>
      <c r="C17" s="6">
        <v>5934000.0</v>
      </c>
      <c r="D17" s="6">
        <v>6021000.0</v>
      </c>
      <c r="E17" s="6">
        <v>6086000.0</v>
      </c>
      <c r="F17" s="6">
        <v>7300000.0</v>
      </c>
      <c r="G17" s="6">
        <v>7401000.0</v>
      </c>
      <c r="H17" s="6">
        <v>7507000.0</v>
      </c>
      <c r="I17" s="6">
        <v>7637000.0</v>
      </c>
      <c r="J17" s="6">
        <v>8611000.0</v>
      </c>
      <c r="K17" s="6">
        <v>8710000.0</v>
      </c>
      <c r="L17" s="6">
        <v>8830000.0</v>
      </c>
      <c r="M17" s="6">
        <v>8912000.0</v>
      </c>
      <c r="N17" s="6">
        <v>9058000.0</v>
      </c>
      <c r="O17" s="6">
        <v>9127000.0</v>
      </c>
      <c r="P17" s="6">
        <v>9215000.0</v>
      </c>
      <c r="Q17" s="6">
        <v>9250000.0</v>
      </c>
      <c r="R17" s="6">
        <v>9292000.0</v>
      </c>
      <c r="S17" s="6">
        <v>9357000.0</v>
      </c>
      <c r="T17" s="6">
        <v>9414000.0</v>
      </c>
      <c r="U17" s="6">
        <v>9503000.0</v>
      </c>
      <c r="V17" s="6">
        <v>1.0285E7</v>
      </c>
      <c r="W17" s="6">
        <v>1.03E7</v>
      </c>
    </row>
    <row r="18">
      <c r="B18" s="3"/>
      <c r="C18" s="3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2" t="s">
        <v>13</v>
      </c>
      <c r="B19" s="8">
        <v>0.35</v>
      </c>
      <c r="C19" s="8">
        <v>0.35</v>
      </c>
      <c r="D19" s="8">
        <v>0.35</v>
      </c>
      <c r="E19" s="8">
        <v>0.35</v>
      </c>
      <c r="F19" s="8">
        <v>0.35</v>
      </c>
      <c r="G19" s="8">
        <v>0.35</v>
      </c>
      <c r="H19" s="8">
        <v>0.35</v>
      </c>
      <c r="I19" s="8">
        <v>0.35</v>
      </c>
      <c r="J19" s="8">
        <v>0.35</v>
      </c>
      <c r="K19" s="8">
        <v>0.35</v>
      </c>
      <c r="L19" s="8">
        <v>0.35</v>
      </c>
      <c r="M19" s="8">
        <v>0.35</v>
      </c>
      <c r="N19" s="8">
        <v>0.35</v>
      </c>
      <c r="O19" s="8">
        <v>0.35</v>
      </c>
      <c r="P19" s="8">
        <v>0.35</v>
      </c>
      <c r="Q19" s="8">
        <v>0.35</v>
      </c>
      <c r="R19" s="8">
        <v>0.35</v>
      </c>
      <c r="S19" s="8">
        <v>0.35</v>
      </c>
      <c r="T19" s="8">
        <v>0.35</v>
      </c>
      <c r="U19" s="8">
        <v>0.35</v>
      </c>
      <c r="V19" s="8">
        <v>0.35</v>
      </c>
      <c r="W19" s="8">
        <v>0.35</v>
      </c>
    </row>
    <row r="20">
      <c r="A20" s="2" t="s">
        <v>14</v>
      </c>
      <c r="B20" s="7">
        <f t="shared" ref="B20:W20" si="1">B4*(1-B19)</f>
        <v>5543850</v>
      </c>
      <c r="C20" s="7">
        <f t="shared" si="1"/>
        <v>6418100</v>
      </c>
      <c r="D20" s="7">
        <f t="shared" si="1"/>
        <v>6916650</v>
      </c>
      <c r="E20" s="7">
        <f t="shared" si="1"/>
        <v>7666750</v>
      </c>
      <c r="F20" s="7">
        <f t="shared" si="1"/>
        <v>7647900</v>
      </c>
      <c r="G20" s="7">
        <f t="shared" si="1"/>
        <v>7738900</v>
      </c>
      <c r="H20" s="7">
        <f t="shared" si="1"/>
        <v>8869250</v>
      </c>
      <c r="I20" s="7">
        <f t="shared" si="1"/>
        <v>9274200</v>
      </c>
      <c r="J20" s="7">
        <f t="shared" si="1"/>
        <v>8928400</v>
      </c>
      <c r="K20" s="7">
        <f t="shared" si="1"/>
        <v>10305750</v>
      </c>
      <c r="L20" s="7">
        <f t="shared" si="1"/>
        <v>9414600</v>
      </c>
      <c r="M20" s="7">
        <f t="shared" si="1"/>
        <v>10429900</v>
      </c>
      <c r="N20" s="7">
        <f t="shared" si="1"/>
        <v>11428300</v>
      </c>
      <c r="O20" s="7">
        <f t="shared" si="1"/>
        <v>12232350</v>
      </c>
      <c r="P20" s="7">
        <f t="shared" si="1"/>
        <v>12740000</v>
      </c>
      <c r="Q20" s="7">
        <f t="shared" si="1"/>
        <v>12320750</v>
      </c>
      <c r="R20" s="7">
        <f t="shared" si="1"/>
        <v>12951250</v>
      </c>
      <c r="S20" s="7">
        <f t="shared" si="1"/>
        <v>14491750</v>
      </c>
      <c r="T20" s="7">
        <f t="shared" si="1"/>
        <v>14491100</v>
      </c>
      <c r="U20" s="7">
        <f t="shared" si="1"/>
        <v>15538900</v>
      </c>
      <c r="V20" s="7">
        <f t="shared" si="1"/>
        <v>14589900</v>
      </c>
      <c r="W20" s="7">
        <f t="shared" si="1"/>
        <v>16998150</v>
      </c>
    </row>
    <row r="21">
      <c r="A21" s="2" t="s">
        <v>15</v>
      </c>
      <c r="B21" s="7">
        <f t="shared" ref="B21:W21" si="2">B11+B12-B10</f>
        <v>144808000</v>
      </c>
      <c r="C21" s="7">
        <f t="shared" si="2"/>
        <v>146377000</v>
      </c>
      <c r="D21" s="7">
        <f t="shared" si="2"/>
        <v>150920000</v>
      </c>
      <c r="E21" s="7">
        <f t="shared" si="2"/>
        <v>160675000</v>
      </c>
      <c r="F21" s="7">
        <f t="shared" si="2"/>
        <v>175583000</v>
      </c>
      <c r="G21" s="7">
        <f t="shared" si="2"/>
        <v>214257000</v>
      </c>
      <c r="H21" s="7">
        <f t="shared" si="2"/>
        <v>223378000</v>
      </c>
      <c r="I21" s="7">
        <f t="shared" si="2"/>
        <v>325790000</v>
      </c>
      <c r="J21" s="7">
        <f t="shared" si="2"/>
        <v>232683000</v>
      </c>
      <c r="K21" s="7">
        <f t="shared" si="2"/>
        <v>235648000</v>
      </c>
      <c r="L21" s="7">
        <f t="shared" si="2"/>
        <v>238388000</v>
      </c>
      <c r="M21" s="7">
        <f t="shared" si="2"/>
        <v>250052000</v>
      </c>
      <c r="N21" s="7">
        <f t="shared" si="2"/>
        <v>247545000</v>
      </c>
      <c r="O21" s="7">
        <f t="shared" si="2"/>
        <v>249574000</v>
      </c>
      <c r="P21" s="7">
        <f t="shared" si="2"/>
        <v>262233000</v>
      </c>
      <c r="Q21" s="7">
        <f t="shared" si="2"/>
        <v>286487000</v>
      </c>
      <c r="R21" s="7">
        <f t="shared" si="2"/>
        <v>313034000</v>
      </c>
      <c r="S21" s="7">
        <f t="shared" si="2"/>
        <v>340301000</v>
      </c>
      <c r="T21" s="7">
        <f t="shared" si="2"/>
        <v>349471000</v>
      </c>
      <c r="U21" s="7">
        <f t="shared" si="2"/>
        <v>384418000</v>
      </c>
      <c r="V21" s="7">
        <f t="shared" si="2"/>
        <v>408434000</v>
      </c>
      <c r="W21" s="7">
        <f t="shared" si="2"/>
        <v>416718000</v>
      </c>
    </row>
    <row r="22">
      <c r="A22" s="2" t="s">
        <v>16</v>
      </c>
      <c r="B22" s="7">
        <f t="shared" ref="B22:W22" si="3">B14-B15</f>
        <v>-10457000</v>
      </c>
      <c r="C22" s="7">
        <f t="shared" si="3"/>
        <v>-17162000</v>
      </c>
      <c r="D22" s="7">
        <f t="shared" si="3"/>
        <v>-6291000</v>
      </c>
      <c r="E22" s="7">
        <f t="shared" si="3"/>
        <v>-18167000</v>
      </c>
      <c r="F22" s="7">
        <f t="shared" si="3"/>
        <v>-15110000</v>
      </c>
      <c r="G22" s="7">
        <f t="shared" si="3"/>
        <v>-26882000</v>
      </c>
      <c r="H22" s="7">
        <f t="shared" si="3"/>
        <v>-4014000</v>
      </c>
      <c r="I22" s="7">
        <f t="shared" si="3"/>
        <v>-1525000</v>
      </c>
      <c r="J22" s="7">
        <f t="shared" si="3"/>
        <v>3435000</v>
      </c>
      <c r="K22" s="7">
        <f t="shared" si="3"/>
        <v>2827000</v>
      </c>
      <c r="L22" s="7">
        <f t="shared" si="3"/>
        <v>-166000</v>
      </c>
      <c r="M22" s="7">
        <f t="shared" si="3"/>
        <v>-5381000</v>
      </c>
      <c r="N22" s="7">
        <f t="shared" si="3"/>
        <v>7713000</v>
      </c>
      <c r="O22" s="7">
        <f t="shared" si="3"/>
        <v>1528000</v>
      </c>
      <c r="P22" s="7">
        <f t="shared" si="3"/>
        <v>-5315000</v>
      </c>
      <c r="Q22" s="7">
        <f t="shared" si="3"/>
        <v>-19912000</v>
      </c>
      <c r="R22" s="7">
        <f t="shared" si="3"/>
        <v>-21807000</v>
      </c>
      <c r="S22" s="7">
        <f t="shared" si="3"/>
        <v>-13919000</v>
      </c>
      <c r="T22" s="7">
        <f t="shared" si="3"/>
        <v>-9504000</v>
      </c>
      <c r="U22" s="7">
        <f t="shared" si="3"/>
        <v>-24218000</v>
      </c>
      <c r="V22" s="7">
        <f t="shared" si="3"/>
        <v>-30326000</v>
      </c>
      <c r="W22" s="7">
        <f t="shared" si="3"/>
        <v>-9119000</v>
      </c>
    </row>
    <row r="24">
      <c r="A24" s="2" t="s">
        <v>17</v>
      </c>
      <c r="B24" s="5">
        <f t="shared" ref="B24:W24" si="4">B20/B21</f>
        <v>0.03828414176</v>
      </c>
      <c r="C24" s="5">
        <f t="shared" si="4"/>
        <v>0.04384636931</v>
      </c>
      <c r="D24" s="5">
        <f t="shared" si="4"/>
        <v>0.04582990989</v>
      </c>
      <c r="E24" s="5">
        <f t="shared" si="4"/>
        <v>0.04771588611</v>
      </c>
      <c r="F24" s="5">
        <f t="shared" si="4"/>
        <v>0.04355717809</v>
      </c>
      <c r="G24" s="5">
        <f t="shared" si="4"/>
        <v>0.03611970671</v>
      </c>
      <c r="H24" s="5">
        <f t="shared" si="4"/>
        <v>0.03970511868</v>
      </c>
      <c r="I24" s="5">
        <f t="shared" si="4"/>
        <v>0.02846680377</v>
      </c>
      <c r="J24" s="5">
        <f t="shared" si="4"/>
        <v>0.03837151833</v>
      </c>
      <c r="K24" s="5">
        <f t="shared" si="4"/>
        <v>0.04373366207</v>
      </c>
      <c r="L24" s="5">
        <f t="shared" si="4"/>
        <v>0.0394927597</v>
      </c>
      <c r="M24" s="5">
        <f t="shared" si="4"/>
        <v>0.04171092413</v>
      </c>
      <c r="N24" s="5">
        <f t="shared" si="4"/>
        <v>0.04616655558</v>
      </c>
      <c r="O24" s="5">
        <f t="shared" si="4"/>
        <v>0.04901291801</v>
      </c>
      <c r="P24" s="5">
        <f t="shared" si="4"/>
        <v>0.04858274893</v>
      </c>
      <c r="Q24" s="5">
        <f t="shared" si="4"/>
        <v>0.04300631442</v>
      </c>
      <c r="R24" s="5">
        <f t="shared" si="4"/>
        <v>0.0413733013</v>
      </c>
      <c r="S24" s="5">
        <f t="shared" si="4"/>
        <v>0.04258509378</v>
      </c>
      <c r="T24" s="5">
        <f t="shared" si="4"/>
        <v>0.04146581548</v>
      </c>
      <c r="U24" s="5">
        <f t="shared" si="4"/>
        <v>0.04042188451</v>
      </c>
      <c r="V24" s="5">
        <f t="shared" si="4"/>
        <v>0.03572156089</v>
      </c>
      <c r="W24" s="5">
        <f t="shared" si="4"/>
        <v>0.04079053461</v>
      </c>
    </row>
    <row r="25">
      <c r="A25" s="2" t="s">
        <v>18</v>
      </c>
      <c r="B25" s="5">
        <f t="shared" ref="B25:W25" si="5">B4/B3</f>
        <v>0.2349910456</v>
      </c>
      <c r="C25" s="5">
        <f t="shared" si="5"/>
        <v>0.2494568238</v>
      </c>
      <c r="D25" s="5">
        <f t="shared" si="5"/>
        <v>0.2349784697</v>
      </c>
      <c r="E25" s="5">
        <f t="shared" si="5"/>
        <v>0.2427604092</v>
      </c>
      <c r="F25" s="5">
        <f t="shared" si="5"/>
        <v>0.2240118803</v>
      </c>
      <c r="G25" s="5">
        <f t="shared" si="5"/>
        <v>0.2119070926</v>
      </c>
      <c r="H25" s="5">
        <f t="shared" si="5"/>
        <v>0.224011689</v>
      </c>
      <c r="I25" s="5">
        <f t="shared" si="5"/>
        <v>0.2198967404</v>
      </c>
      <c r="J25" s="5">
        <f t="shared" si="5"/>
        <v>0.211095743</v>
      </c>
      <c r="K25" s="5">
        <f t="shared" si="5"/>
        <v>0.2246928277</v>
      </c>
      <c r="L25" s="5">
        <f t="shared" si="5"/>
        <v>0.2096911963</v>
      </c>
      <c r="M25" s="5">
        <f t="shared" si="5"/>
        <v>0.2214310357</v>
      </c>
      <c r="N25" s="5">
        <f t="shared" si="5"/>
        <v>0.2282665143</v>
      </c>
      <c r="O25" s="5">
        <f t="shared" si="5"/>
        <v>0.2379471229</v>
      </c>
      <c r="P25" s="5">
        <f t="shared" si="5"/>
        <v>0.2383413388</v>
      </c>
      <c r="Q25" s="5">
        <f t="shared" si="5"/>
        <v>0.2357264553</v>
      </c>
      <c r="R25" s="5">
        <f t="shared" si="5"/>
        <v>0.2383515761</v>
      </c>
      <c r="S25" s="5">
        <f t="shared" si="5"/>
        <v>0.2529469827</v>
      </c>
      <c r="T25" s="5">
        <f t="shared" si="5"/>
        <v>0.2453691984</v>
      </c>
      <c r="U25" s="5">
        <f t="shared" si="5"/>
        <v>0.2417262404</v>
      </c>
      <c r="V25" s="5">
        <f t="shared" si="5"/>
        <v>0.2270460546</v>
      </c>
      <c r="W25" s="5">
        <f t="shared" si="5"/>
        <v>0.242246554</v>
      </c>
    </row>
    <row r="26">
      <c r="A26" s="2" t="s">
        <v>19</v>
      </c>
      <c r="B26" s="5">
        <f t="shared" ref="B26:W26" si="6">B11/B12</f>
        <v>1.769657057</v>
      </c>
      <c r="C26" s="5">
        <f t="shared" si="6"/>
        <v>1.686311268</v>
      </c>
      <c r="D26" s="5">
        <f t="shared" si="6"/>
        <v>1.633992355</v>
      </c>
      <c r="E26" s="5">
        <f t="shared" si="6"/>
        <v>1.622799353</v>
      </c>
      <c r="F26" s="5">
        <f t="shared" si="6"/>
        <v>1.092080534</v>
      </c>
      <c r="G26" s="5">
        <f t="shared" si="6"/>
        <v>1.47341504</v>
      </c>
      <c r="H26" s="5">
        <f t="shared" si="6"/>
        <v>1.455217496</v>
      </c>
      <c r="I26" s="5">
        <f t="shared" si="6"/>
        <v>2.42598743</v>
      </c>
      <c r="J26" s="5">
        <f t="shared" si="6"/>
        <v>1.061948547</v>
      </c>
      <c r="K26" s="5">
        <f t="shared" si="6"/>
        <v>0.9991961415</v>
      </c>
      <c r="L26" s="5">
        <f t="shared" si="6"/>
        <v>0.9600938967</v>
      </c>
      <c r="M26" s="5">
        <f t="shared" si="6"/>
        <v>0.9927152582</v>
      </c>
      <c r="N26" s="5">
        <f t="shared" si="6"/>
        <v>0.8722294852</v>
      </c>
      <c r="O26" s="5">
        <f t="shared" si="6"/>
        <v>0.7968249858</v>
      </c>
      <c r="P26" s="5">
        <f t="shared" si="6"/>
        <v>0.7947205477</v>
      </c>
      <c r="Q26" s="5">
        <f t="shared" si="6"/>
        <v>0.8713091595</v>
      </c>
      <c r="R26" s="5">
        <f t="shared" si="6"/>
        <v>0.9569096763</v>
      </c>
      <c r="S26" s="5">
        <f t="shared" si="6"/>
        <v>1.00871767</v>
      </c>
      <c r="T26" s="5">
        <f t="shared" si="6"/>
        <v>0.9637267569</v>
      </c>
      <c r="U26" s="5">
        <f t="shared" si="6"/>
        <v>1.05249267</v>
      </c>
      <c r="V26" s="5">
        <f t="shared" si="6"/>
        <v>0.7836126338</v>
      </c>
      <c r="W26" s="5">
        <f t="shared" si="6"/>
        <v>0.7470075965</v>
      </c>
    </row>
    <row r="28">
      <c r="A28" s="2" t="s">
        <v>20</v>
      </c>
    </row>
    <row r="30">
      <c r="A30" s="9" t="s">
        <v>21</v>
      </c>
    </row>
    <row r="31">
      <c r="A31" s="1" t="s">
        <v>22</v>
      </c>
      <c r="B31" s="2">
        <v>2003.0</v>
      </c>
      <c r="C31" s="2">
        <v>2004.0</v>
      </c>
      <c r="D31" s="2">
        <v>2005.0</v>
      </c>
      <c r="E31" s="2">
        <v>2006.0</v>
      </c>
      <c r="F31" s="2">
        <v>2007.0</v>
      </c>
      <c r="G31" s="2">
        <v>2008.0</v>
      </c>
      <c r="H31" s="2">
        <v>2009.0</v>
      </c>
      <c r="I31" s="2">
        <v>2010.0</v>
      </c>
      <c r="J31" s="2">
        <v>2011.0</v>
      </c>
      <c r="K31" s="2">
        <v>2012.0</v>
      </c>
      <c r="L31" s="2">
        <v>2013.0</v>
      </c>
      <c r="M31" s="2">
        <v>2014.0</v>
      </c>
      <c r="N31" s="2">
        <v>2015.0</v>
      </c>
      <c r="O31" s="2">
        <v>2016.0</v>
      </c>
      <c r="P31" s="2">
        <v>2017.0</v>
      </c>
      <c r="Q31" s="2">
        <v>2018.0</v>
      </c>
      <c r="R31" s="2">
        <v>2019.0</v>
      </c>
      <c r="S31" s="2">
        <v>2020.0</v>
      </c>
      <c r="T31" s="2">
        <v>2021.0</v>
      </c>
      <c r="U31" s="2">
        <v>2022.0</v>
      </c>
      <c r="V31" s="2">
        <v>2023.0</v>
      </c>
      <c r="W31" s="2">
        <v>2024.0</v>
      </c>
    </row>
    <row r="32">
      <c r="A32" s="2" t="s">
        <v>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3"/>
      <c r="W32" s="3"/>
    </row>
    <row r="33">
      <c r="A33" s="2" t="s">
        <v>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3"/>
      <c r="W33" s="3"/>
    </row>
    <row r="34">
      <c r="A34" s="2" t="s">
        <v>5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3"/>
      <c r="W34" s="3"/>
    </row>
    <row r="35">
      <c r="A35" s="2" t="s">
        <v>7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3"/>
      <c r="W35" s="3"/>
    </row>
    <row r="36">
      <c r="A36" s="2" t="s">
        <v>23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3"/>
      <c r="W36" s="3"/>
    </row>
    <row r="37">
      <c r="A37" s="2" t="s">
        <v>9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3"/>
      <c r="W37" s="3"/>
    </row>
    <row r="39">
      <c r="A39" s="2" t="s">
        <v>17</v>
      </c>
      <c r="B39" s="5" t="str">
        <f t="shared" ref="B39:W39" si="7">(B32*(1-(B34/B33)))/(B36+B37-B35)</f>
        <v>#DIV/0!</v>
      </c>
      <c r="C39" s="5" t="str">
        <f t="shared" si="7"/>
        <v>#DIV/0!</v>
      </c>
      <c r="D39" s="5" t="str">
        <f t="shared" si="7"/>
        <v>#DIV/0!</v>
      </c>
      <c r="E39" s="5" t="str">
        <f t="shared" si="7"/>
        <v>#DIV/0!</v>
      </c>
      <c r="F39" s="5" t="str">
        <f t="shared" si="7"/>
        <v>#DIV/0!</v>
      </c>
      <c r="G39" s="5" t="str">
        <f t="shared" si="7"/>
        <v>#DIV/0!</v>
      </c>
      <c r="H39" s="5" t="str">
        <f t="shared" si="7"/>
        <v>#DIV/0!</v>
      </c>
      <c r="I39" s="5" t="str">
        <f t="shared" si="7"/>
        <v>#DIV/0!</v>
      </c>
      <c r="J39" s="5" t="str">
        <f t="shared" si="7"/>
        <v>#DIV/0!</v>
      </c>
      <c r="K39" s="5" t="str">
        <f t="shared" si="7"/>
        <v>#DIV/0!</v>
      </c>
      <c r="L39" s="5" t="str">
        <f t="shared" si="7"/>
        <v>#DIV/0!</v>
      </c>
      <c r="M39" s="5" t="str">
        <f t="shared" si="7"/>
        <v>#DIV/0!</v>
      </c>
      <c r="N39" s="5" t="str">
        <f t="shared" si="7"/>
        <v>#DIV/0!</v>
      </c>
      <c r="O39" s="5" t="str">
        <f t="shared" si="7"/>
        <v>#DIV/0!</v>
      </c>
      <c r="P39" s="5" t="str">
        <f t="shared" si="7"/>
        <v>#DIV/0!</v>
      </c>
      <c r="Q39" s="5" t="str">
        <f t="shared" si="7"/>
        <v>#DIV/0!</v>
      </c>
      <c r="R39" s="5" t="str">
        <f t="shared" si="7"/>
        <v>#DIV/0!</v>
      </c>
      <c r="S39" s="5" t="str">
        <f t="shared" si="7"/>
        <v>#DIV/0!</v>
      </c>
      <c r="T39" s="5" t="str">
        <f t="shared" si="7"/>
        <v>#DIV/0!</v>
      </c>
      <c r="U39" s="5" t="str">
        <f t="shared" si="7"/>
        <v>#DIV/0!</v>
      </c>
      <c r="V39" s="5" t="str">
        <f t="shared" si="7"/>
        <v>#DIV/0!</v>
      </c>
      <c r="W39" s="5" t="str">
        <f t="shared" si="7"/>
        <v>#DIV/0!</v>
      </c>
    </row>
    <row r="41">
      <c r="A41" s="1" t="s">
        <v>22</v>
      </c>
      <c r="B41" s="2">
        <v>2003.0</v>
      </c>
      <c r="C41" s="2">
        <v>2004.0</v>
      </c>
      <c r="D41" s="2">
        <v>2005.0</v>
      </c>
      <c r="E41" s="2">
        <v>2006.0</v>
      </c>
      <c r="F41" s="2">
        <v>2007.0</v>
      </c>
      <c r="G41" s="2">
        <v>2008.0</v>
      </c>
      <c r="H41" s="2">
        <v>2009.0</v>
      </c>
      <c r="I41" s="2">
        <v>2010.0</v>
      </c>
      <c r="J41" s="2">
        <v>2011.0</v>
      </c>
      <c r="K41" s="2">
        <v>2012.0</v>
      </c>
      <c r="L41" s="2">
        <v>2013.0</v>
      </c>
      <c r="M41" s="2">
        <v>2014.0</v>
      </c>
      <c r="N41" s="2">
        <v>2015.0</v>
      </c>
      <c r="O41" s="2">
        <v>2016.0</v>
      </c>
      <c r="P41" s="2">
        <v>2017.0</v>
      </c>
      <c r="Q41" s="2">
        <v>2018.0</v>
      </c>
      <c r="R41" s="2">
        <v>2019.0</v>
      </c>
      <c r="S41" s="2">
        <v>2020.0</v>
      </c>
      <c r="T41" s="2">
        <v>2021.0</v>
      </c>
      <c r="U41" s="2">
        <v>2022.0</v>
      </c>
      <c r="V41" s="2">
        <v>2023.0</v>
      </c>
      <c r="W41" s="2">
        <v>2024.0</v>
      </c>
    </row>
    <row r="42">
      <c r="A42" s="2" t="s">
        <v>2</v>
      </c>
      <c r="U42" s="3"/>
      <c r="V42" s="3"/>
      <c r="W42" s="3"/>
    </row>
    <row r="43">
      <c r="A43" s="2" t="s">
        <v>3</v>
      </c>
      <c r="U43" s="3"/>
      <c r="V43" s="3"/>
      <c r="W43" s="3"/>
    </row>
    <row r="44">
      <c r="A44" s="2" t="s">
        <v>5</v>
      </c>
      <c r="U44" s="3"/>
      <c r="V44" s="3"/>
      <c r="W44" s="3"/>
    </row>
    <row r="45">
      <c r="A45" s="2" t="s">
        <v>7</v>
      </c>
      <c r="T45" s="3"/>
      <c r="U45" s="3"/>
      <c r="V45" s="3"/>
      <c r="W45" s="3"/>
    </row>
    <row r="46">
      <c r="A46" s="2" t="s">
        <v>23</v>
      </c>
      <c r="T46" s="3"/>
      <c r="U46" s="3"/>
      <c r="V46" s="3"/>
      <c r="W46" s="3"/>
    </row>
    <row r="47">
      <c r="A47" s="11" t="s">
        <v>9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3"/>
      <c r="U47" s="13"/>
      <c r="V47" s="13"/>
      <c r="W47" s="13"/>
      <c r="X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11" t="s">
        <v>17</v>
      </c>
      <c r="B49" s="14" t="str">
        <f t="shared" ref="B49:W49" si="8">(B42*(1-(B44/B43)))/(B46+B47-B45)</f>
        <v>#DIV/0!</v>
      </c>
      <c r="C49" s="14" t="str">
        <f t="shared" si="8"/>
        <v>#DIV/0!</v>
      </c>
      <c r="D49" s="14" t="str">
        <f t="shared" si="8"/>
        <v>#DIV/0!</v>
      </c>
      <c r="E49" s="14" t="str">
        <f t="shared" si="8"/>
        <v>#DIV/0!</v>
      </c>
      <c r="F49" s="14" t="str">
        <f t="shared" si="8"/>
        <v>#DIV/0!</v>
      </c>
      <c r="G49" s="14" t="str">
        <f t="shared" si="8"/>
        <v>#DIV/0!</v>
      </c>
      <c r="H49" s="14" t="str">
        <f t="shared" si="8"/>
        <v>#DIV/0!</v>
      </c>
      <c r="I49" s="14" t="str">
        <f t="shared" si="8"/>
        <v>#DIV/0!</v>
      </c>
      <c r="J49" s="14" t="str">
        <f t="shared" si="8"/>
        <v>#DIV/0!</v>
      </c>
      <c r="K49" s="14" t="str">
        <f t="shared" si="8"/>
        <v>#DIV/0!</v>
      </c>
      <c r="L49" s="14" t="str">
        <f t="shared" si="8"/>
        <v>#DIV/0!</v>
      </c>
      <c r="M49" s="14" t="str">
        <f t="shared" si="8"/>
        <v>#DIV/0!</v>
      </c>
      <c r="N49" s="14" t="str">
        <f t="shared" si="8"/>
        <v>#DIV/0!</v>
      </c>
      <c r="O49" s="14" t="str">
        <f t="shared" si="8"/>
        <v>#DIV/0!</v>
      </c>
      <c r="P49" s="14" t="str">
        <f t="shared" si="8"/>
        <v>#DIV/0!</v>
      </c>
      <c r="Q49" s="14" t="str">
        <f t="shared" si="8"/>
        <v>#DIV/0!</v>
      </c>
      <c r="R49" s="14" t="str">
        <f t="shared" si="8"/>
        <v>#DIV/0!</v>
      </c>
      <c r="S49" s="14" t="str">
        <f t="shared" si="8"/>
        <v>#DIV/0!</v>
      </c>
      <c r="T49" s="14" t="str">
        <f t="shared" si="8"/>
        <v>#DIV/0!</v>
      </c>
      <c r="U49" s="14" t="str">
        <f t="shared" si="8"/>
        <v>#DIV/0!</v>
      </c>
      <c r="V49" s="14" t="str">
        <f t="shared" si="8"/>
        <v>#DIV/0!</v>
      </c>
      <c r="W49" s="14" t="str">
        <f t="shared" si="8"/>
        <v>#DIV/0!</v>
      </c>
      <c r="X49" s="12"/>
    </row>
    <row r="50">
      <c r="T50" s="5"/>
      <c r="U50" s="5"/>
      <c r="V50" s="5"/>
      <c r="W50" s="5"/>
    </row>
  </sheetData>
  <drawing r:id="rId1"/>
</worksheet>
</file>