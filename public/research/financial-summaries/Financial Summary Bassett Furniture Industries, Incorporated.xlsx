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<sst xmlns="http://schemas.openxmlformats.org/spreadsheetml/2006/main" count="37" uniqueCount="23">
  <si>
    <t>Bassett Furniture Industries, Inc.</t>
  </si>
  <si>
    <t>Revenue</t>
  </si>
  <si>
    <t>Operating Income</t>
  </si>
  <si>
    <t>Income Before Tax</t>
  </si>
  <si>
    <t>Income Tax Expense</t>
  </si>
  <si>
    <t>Net Income</t>
  </si>
  <si>
    <t>Cash</t>
  </si>
  <si>
    <t>Total Debt</t>
  </si>
  <si>
    <t>Shareholder Equity</t>
  </si>
  <si>
    <t>Operating Cash Flow</t>
  </si>
  <si>
    <t>Capital Expenditures</t>
  </si>
  <si>
    <t>Shares Outstanding</t>
  </si>
  <si>
    <t>Tax Rate</t>
  </si>
  <si>
    <t>NOPAT</t>
  </si>
  <si>
    <t>Invested Capital</t>
  </si>
  <si>
    <t>Free Cash Flow</t>
  </si>
  <si>
    <t>ROIC</t>
  </si>
  <si>
    <t>Operating Margin</t>
  </si>
  <si>
    <t>Debt / Equity</t>
  </si>
  <si>
    <t>Notes</t>
  </si>
  <si>
    <t>Competitors</t>
  </si>
  <si>
    <t>(Company Name)</t>
  </si>
  <si>
    <t>Debt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</si>
</sst>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2" numFmtId="3" xfId="0" applyAlignment="1" applyFont="1" applyNumberFormat="1">
      <alignment readingOrder="0"/>
    </xf>
    <xf borderId="0" fillId="0" fontId="2" numFmtId="164" xfId="0" applyFont="1" applyNumberFormat="1"/>
    <xf borderId="0" fillId="0" fontId="2" numFmtId="1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5" xfId="0" applyFont="1" applyNumberFormat="1"/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64" xfId="0" applyAlignment="1" applyFont="1" applyNumberFormat="1">
      <alignment readingOrder="0"/>
    </xf>
    <xf borderId="0" fillId="0" fontId="4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2.75"/>
    <col customWidth="1" min="2" max="21" width="14.38"/>
  </cols>
  <sheetData>
    <row r="1">
      <c r="A1" s="1" t="s">
        <v>0</v>
      </c>
      <c r="B1" s="2">
        <v>2006.0</v>
      </c>
      <c r="C1" s="2">
        <v>2007.0</v>
      </c>
      <c r="D1" s="2">
        <v>2008.0</v>
      </c>
      <c r="E1" s="2">
        <v>2009.0</v>
      </c>
      <c r="F1" s="2">
        <v>2010.0</v>
      </c>
      <c r="G1" s="2">
        <v>2011.0</v>
      </c>
      <c r="H1" s="2">
        <v>2012.0</v>
      </c>
      <c r="I1" s="2">
        <v>2013.0</v>
      </c>
      <c r="J1" s="2">
        <v>2014.0</v>
      </c>
      <c r="K1" s="2">
        <v>2015.0</v>
      </c>
      <c r="L1" s="2">
        <v>2016.0</v>
      </c>
      <c r="M1" s="2">
        <v>2017.0</v>
      </c>
      <c r="N1" s="2">
        <v>2018.0</v>
      </c>
      <c r="O1" s="2">
        <v>2019.0</v>
      </c>
      <c r="P1" s="2">
        <v>2020.0</v>
      </c>
      <c r="Q1" s="2">
        <v>2021.0</v>
      </c>
      <c r="R1" s="2">
        <v>2022.0</v>
      </c>
      <c r="S1" s="2">
        <v>2023.0</v>
      </c>
      <c r="T1" s="2">
        <v>2024.0</v>
      </c>
      <c r="U1" s="2">
        <v>2025.0</v>
      </c>
    </row>
    <row r="2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2" t="s">
        <v>1</v>
      </c>
      <c r="B3" s="3">
        <v>3.28214E8</v>
      </c>
      <c r="C3" s="3">
        <v>2.95384E8</v>
      </c>
      <c r="D3" s="3">
        <v>2.88298E8</v>
      </c>
      <c r="E3" s="3">
        <v>2.32722E8</v>
      </c>
      <c r="F3" s="3">
        <v>2.35254E8</v>
      </c>
      <c r="G3" s="3">
        <v>2.53208E8</v>
      </c>
      <c r="H3" s="3">
        <v>2.69672E8</v>
      </c>
      <c r="I3" s="3">
        <v>3.21286E8</v>
      </c>
      <c r="J3" s="3">
        <v>3.40738E8</v>
      </c>
      <c r="K3" s="3">
        <v>3.87405E8</v>
      </c>
      <c r="L3" s="3">
        <v>3.77196E8</v>
      </c>
      <c r="M3" s="3">
        <v>3.98097E8</v>
      </c>
      <c r="N3" s="3">
        <v>4.02469E8</v>
      </c>
      <c r="O3" s="3">
        <v>4.03865E8</v>
      </c>
      <c r="P3" s="3">
        <v>3.37672E8</v>
      </c>
      <c r="Q3" s="3">
        <v>4.30886E8</v>
      </c>
      <c r="R3" s="3">
        <v>4.85601E8</v>
      </c>
      <c r="S3" s="3">
        <v>3.90136E8</v>
      </c>
      <c r="T3" s="3">
        <v>3.29923E8</v>
      </c>
      <c r="U3" s="3">
        <v>3.3528E8</v>
      </c>
    </row>
    <row r="4">
      <c r="A4" s="2" t="s">
        <v>2</v>
      </c>
      <c r="B4" s="3">
        <v>-466000.0</v>
      </c>
      <c r="C4" s="3">
        <v>-1.9916E7</v>
      </c>
      <c r="D4" s="3">
        <v>-1.6454E7</v>
      </c>
      <c r="E4" s="3">
        <v>-1.9948E7</v>
      </c>
      <c r="F4" s="3">
        <v>-4199000.0</v>
      </c>
      <c r="G4" s="3">
        <v>-2.0622E7</v>
      </c>
      <c r="H4" s="3">
        <v>5080000.0</v>
      </c>
      <c r="I4" s="3">
        <v>1.0005E7</v>
      </c>
      <c r="J4" s="3">
        <v>1.5131E7</v>
      </c>
      <c r="K4" s="3">
        <v>2.5989E7</v>
      </c>
      <c r="L4" s="3">
        <v>2.8193E7</v>
      </c>
      <c r="M4" s="3">
        <v>2.7018E7</v>
      </c>
      <c r="N4" s="3">
        <v>1.4084E7</v>
      </c>
      <c r="O4" s="3">
        <v>-595000.0</v>
      </c>
      <c r="P4" s="3">
        <v>-1.6223E7</v>
      </c>
      <c r="Q4" s="3">
        <v>2.5999E7</v>
      </c>
      <c r="R4" s="3">
        <v>3.4865E7</v>
      </c>
      <c r="S4" s="3">
        <v>-3135000.0</v>
      </c>
      <c r="T4" s="3">
        <v>-1.6269E7</v>
      </c>
      <c r="U4" s="3">
        <v>7827000.0</v>
      </c>
    </row>
    <row r="5">
      <c r="A5" s="2" t="s">
        <v>3</v>
      </c>
      <c r="B5" s="3">
        <v>6455000.0</v>
      </c>
      <c r="C5" s="3">
        <v>-1.3969E7</v>
      </c>
      <c r="D5" s="3">
        <v>-2.341E7</v>
      </c>
      <c r="E5" s="3">
        <v>-2.4453E7</v>
      </c>
      <c r="F5" s="3">
        <v>-2208000.0</v>
      </c>
      <c r="G5" s="3">
        <v>5.9751E7</v>
      </c>
      <c r="H5" s="3">
        <v>1.2014E7</v>
      </c>
      <c r="I5" s="3">
        <v>8187000.0</v>
      </c>
      <c r="J5" s="3">
        <v>1.4607E7</v>
      </c>
      <c r="K5" s="3">
        <v>3.1868E7</v>
      </c>
      <c r="L5" s="3">
        <v>2.5777E7</v>
      </c>
      <c r="M5" s="3">
        <v>2.7876E7</v>
      </c>
      <c r="N5" s="3">
        <v>1.2206E7</v>
      </c>
      <c r="O5" s="3">
        <v>-1740000.0</v>
      </c>
      <c r="P5" s="3">
        <v>-1.6786E7</v>
      </c>
      <c r="Q5" s="3">
        <v>2.424E7</v>
      </c>
      <c r="R5" s="3">
        <v>3.4062E7</v>
      </c>
      <c r="S5" s="3">
        <v>-2488000.0</v>
      </c>
      <c r="T5" s="3">
        <v>-1.437E7</v>
      </c>
      <c r="U5" s="3">
        <v>8760000.0</v>
      </c>
    </row>
    <row r="6">
      <c r="A6" s="2" t="s">
        <v>4</v>
      </c>
      <c r="B6" s="3">
        <v>-1026000.0</v>
      </c>
      <c r="C6" s="3">
        <v>4059000.0</v>
      </c>
      <c r="D6" s="3">
        <v>1.6945E7</v>
      </c>
      <c r="E6" s="3">
        <v>1754000.0</v>
      </c>
      <c r="F6" s="3">
        <v>206000.0</v>
      </c>
      <c r="G6" s="3">
        <v>-4409000.0</v>
      </c>
      <c r="H6" s="3">
        <v>1.4699E7</v>
      </c>
      <c r="I6" s="3">
        <v>3091000.0</v>
      </c>
      <c r="J6" s="3">
        <v>5308000.0</v>
      </c>
      <c r="K6" s="3">
        <v>1.1435E7</v>
      </c>
      <c r="L6" s="3">
        <v>9948000.0</v>
      </c>
      <c r="M6" s="3">
        <v>9620000.0</v>
      </c>
      <c r="N6" s="3">
        <v>3988000.0</v>
      </c>
      <c r="O6" s="3">
        <v>188000.0</v>
      </c>
      <c r="P6" s="3">
        <v>-6365000.0</v>
      </c>
      <c r="Q6" s="3">
        <v>6198000.0</v>
      </c>
      <c r="R6" s="3">
        <v>8702000.0</v>
      </c>
      <c r="S6" s="3">
        <v>683000.0</v>
      </c>
      <c r="T6" s="3">
        <v>-4675000.0</v>
      </c>
      <c r="U6" s="3">
        <v>2660000.0</v>
      </c>
    </row>
    <row r="7">
      <c r="A7" s="2" t="s">
        <v>5</v>
      </c>
      <c r="B7" s="3">
        <v>5429000.0</v>
      </c>
      <c r="C7" s="3">
        <v>-9910000.0</v>
      </c>
      <c r="D7" s="3">
        <v>-4.0355E7</v>
      </c>
      <c r="E7" s="3">
        <v>-2.2699E7</v>
      </c>
      <c r="F7" s="3">
        <v>-2002000.0</v>
      </c>
      <c r="G7" s="3">
        <v>5.5342E7</v>
      </c>
      <c r="H7" s="3">
        <v>2.6713E7</v>
      </c>
      <c r="I7" s="3">
        <v>5096000.0</v>
      </c>
      <c r="J7" s="3">
        <v>9299000.0</v>
      </c>
      <c r="K7" s="3">
        <v>2.0433E7</v>
      </c>
      <c r="L7" s="3">
        <v>1.5829E7</v>
      </c>
      <c r="M7" s="3">
        <v>1.8256E7</v>
      </c>
      <c r="N7" s="3">
        <v>8218000.0</v>
      </c>
      <c r="O7" s="3">
        <v>-1928000.0</v>
      </c>
      <c r="P7" s="3">
        <v>-1.0421E7</v>
      </c>
      <c r="Q7" s="3">
        <v>1.8042E7</v>
      </c>
      <c r="R7" s="3">
        <v>6.5345E7</v>
      </c>
      <c r="S7" s="3">
        <v>-3171000.0</v>
      </c>
      <c r="T7" s="3">
        <v>-9695000.0</v>
      </c>
      <c r="U7" s="3">
        <v>6100000.0</v>
      </c>
    </row>
    <row r="10">
      <c r="A10" s="2" t="s">
        <v>6</v>
      </c>
      <c r="B10" s="3">
        <v>6051000.0</v>
      </c>
      <c r="C10" s="3">
        <v>3538000.0</v>
      </c>
      <c r="D10" s="3">
        <v>3777000.0</v>
      </c>
      <c r="E10" s="3">
        <v>2.3221E7</v>
      </c>
      <c r="F10" s="3">
        <v>1.1071E7</v>
      </c>
      <c r="G10" s="3">
        <v>6.9601E7</v>
      </c>
      <c r="H10" s="3">
        <v>4.5566E7</v>
      </c>
      <c r="I10" s="3">
        <v>1.2733E7</v>
      </c>
      <c r="J10" s="3">
        <v>2.6673E7</v>
      </c>
      <c r="K10" s="3">
        <v>3.6268E7</v>
      </c>
      <c r="L10" s="3">
        <v>3.5144E7</v>
      </c>
      <c r="M10" s="3">
        <v>5.3949E7</v>
      </c>
      <c r="N10" s="3">
        <v>3.3468E7</v>
      </c>
      <c r="O10" s="3">
        <v>1.9687E7</v>
      </c>
      <c r="P10" s="3">
        <v>4.5799E7</v>
      </c>
      <c r="Q10" s="3">
        <v>3.4374E7</v>
      </c>
      <c r="R10" s="3">
        <v>6.1625E7</v>
      </c>
      <c r="S10" s="3">
        <v>5.2407E7</v>
      </c>
      <c r="T10" s="3">
        <v>3.9551E7</v>
      </c>
      <c r="U10" s="3">
        <v>4.1277E7</v>
      </c>
    </row>
    <row r="11">
      <c r="A11" s="2" t="s">
        <v>7</v>
      </c>
      <c r="B11" s="3">
        <v>4000000.0</v>
      </c>
      <c r="C11" s="3">
        <v>1.0E7</v>
      </c>
      <c r="D11" s="3">
        <v>1.9E7</v>
      </c>
      <c r="E11" s="3">
        <v>3.6346E7</v>
      </c>
      <c r="F11" s="3">
        <v>1.3816E7</v>
      </c>
      <c r="G11" s="3">
        <v>3662000.0</v>
      </c>
      <c r="H11" s="3">
        <v>3053000.0</v>
      </c>
      <c r="I11" s="3">
        <v>2467000.0</v>
      </c>
      <c r="J11" s="3">
        <v>1902000.0</v>
      </c>
      <c r="K11" s="3">
        <v>1.3773E7</v>
      </c>
      <c r="L11" s="3">
        <v>7111000.0</v>
      </c>
      <c r="M11" s="3">
        <v>3734000.0</v>
      </c>
      <c r="N11" s="3">
        <v>292000.0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</row>
    <row r="12">
      <c r="A12" s="2" t="s">
        <v>8</v>
      </c>
      <c r="B12" s="3">
        <v>2.1542E8</v>
      </c>
      <c r="C12" s="3">
        <v>1.94852E8</v>
      </c>
      <c r="D12" s="3">
        <v>1.30179E8</v>
      </c>
      <c r="E12" s="3">
        <v>1.10334E8</v>
      </c>
      <c r="F12" s="3">
        <v>1.06305E8</v>
      </c>
      <c r="G12" s="3">
        <v>1.52435E8</v>
      </c>
      <c r="H12" s="3">
        <v>1.5728E8</v>
      </c>
      <c r="I12" s="3">
        <v>1.57409E8</v>
      </c>
      <c r="J12" s="3">
        <v>1.56832E8</v>
      </c>
      <c r="K12" s="3">
        <v>1.77366E8</v>
      </c>
      <c r="L12" s="3">
        <v>1.80705E8</v>
      </c>
      <c r="M12" s="3">
        <v>1.9146E8</v>
      </c>
      <c r="N12" s="3">
        <v>1.90309E8</v>
      </c>
      <c r="O12" s="3">
        <v>1.7867E8</v>
      </c>
      <c r="P12" s="3">
        <v>1.5803E8</v>
      </c>
      <c r="Q12" s="3">
        <v>1.62732E8</v>
      </c>
      <c r="R12" s="3">
        <v>1.95609E8</v>
      </c>
      <c r="S12" s="3">
        <v>1.83441E8</v>
      </c>
      <c r="T12" s="3">
        <v>1.67327E8</v>
      </c>
      <c r="U12" s="3">
        <v>1.65107E8</v>
      </c>
    </row>
    <row r="14">
      <c r="A14" s="2" t="s">
        <v>9</v>
      </c>
      <c r="B14" s="3">
        <v>-6150000.0</v>
      </c>
      <c r="C14" s="3">
        <v>-8462000.0</v>
      </c>
      <c r="D14" s="3">
        <v>-1.8955E7</v>
      </c>
      <c r="E14" s="3">
        <v>4120000.0</v>
      </c>
      <c r="F14" s="3">
        <v>7788000.0</v>
      </c>
      <c r="G14" s="3">
        <v>-5431000.0</v>
      </c>
      <c r="H14" s="3">
        <v>7956000.0</v>
      </c>
      <c r="I14" s="3">
        <v>1.064E7</v>
      </c>
      <c r="J14" s="3">
        <v>2.9961E7</v>
      </c>
      <c r="K14" s="3">
        <v>3.4396E7</v>
      </c>
      <c r="L14" s="3">
        <v>3.9062E7</v>
      </c>
      <c r="M14" s="3">
        <v>3.6384E7</v>
      </c>
      <c r="N14" s="3">
        <v>2.8698E7</v>
      </c>
      <c r="O14" s="3">
        <v>9809000.0</v>
      </c>
      <c r="P14" s="3">
        <v>3.6675E7</v>
      </c>
      <c r="Q14" s="3">
        <v>1.4653E7</v>
      </c>
      <c r="R14" s="3">
        <v>-2970000.0</v>
      </c>
      <c r="S14" s="3">
        <v>1.8724E7</v>
      </c>
      <c r="T14" s="3">
        <v>4050000.0</v>
      </c>
      <c r="U14" s="3">
        <v>1.3491E7</v>
      </c>
    </row>
    <row r="15">
      <c r="A15" s="2" t="s">
        <v>10</v>
      </c>
      <c r="B15" s="3">
        <v>3344000.0</v>
      </c>
      <c r="C15" s="3">
        <v>5544000.0</v>
      </c>
      <c r="D15" s="3">
        <v>4702000.0</v>
      </c>
      <c r="E15" s="3">
        <v>1094000.0</v>
      </c>
      <c r="F15" s="3">
        <v>2013000.0</v>
      </c>
      <c r="G15" s="3">
        <v>4168000.0</v>
      </c>
      <c r="H15" s="3">
        <v>9000000.0</v>
      </c>
      <c r="I15" s="3">
        <v>1.4302E7</v>
      </c>
      <c r="J15" s="3">
        <v>1.798E7</v>
      </c>
      <c r="K15" s="3">
        <v>1.3974E7</v>
      </c>
      <c r="L15" s="3">
        <v>2.1501E7</v>
      </c>
      <c r="M15" s="3">
        <v>1.55E7</v>
      </c>
      <c r="N15" s="3">
        <v>1.8301E7</v>
      </c>
      <c r="O15" s="3">
        <v>1.7375E7</v>
      </c>
      <c r="P15" s="3">
        <v>6029000.0</v>
      </c>
      <c r="Q15" s="3">
        <v>1.075E7</v>
      </c>
      <c r="R15" s="3">
        <v>2.1296E7</v>
      </c>
      <c r="S15" s="3">
        <v>1.7489E7</v>
      </c>
      <c r="T15" s="3">
        <v>5211000.0</v>
      </c>
      <c r="U15" s="3">
        <v>4350000.0</v>
      </c>
    </row>
    <row r="16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>
      <c r="A17" s="2" t="s">
        <v>11</v>
      </c>
      <c r="B17" s="5">
        <v>1.1803656E7</v>
      </c>
      <c r="C17" s="5">
        <v>1.1806592E7</v>
      </c>
      <c r="D17" s="5">
        <v>1.1420431E7</v>
      </c>
      <c r="E17" s="5">
        <v>1.1454716E7</v>
      </c>
      <c r="F17" s="5">
        <v>1.1558974E7</v>
      </c>
      <c r="G17" s="5">
        <v>1.1342332E7</v>
      </c>
      <c r="H17" s="5">
        <v>1.083684E7</v>
      </c>
      <c r="I17" s="5">
        <v>1.0859318E7</v>
      </c>
      <c r="J17" s="5">
        <v>1.0493393E7</v>
      </c>
      <c r="K17" s="5">
        <v>1.0916021E7</v>
      </c>
      <c r="L17" s="5">
        <v>1.0722947E7</v>
      </c>
      <c r="M17" s="5">
        <v>1.073795E7</v>
      </c>
      <c r="N17" s="5">
        <v>1.0527636E7</v>
      </c>
      <c r="O17" s="5">
        <v>1.011629E7</v>
      </c>
      <c r="P17" s="5">
        <v>9942787.0</v>
      </c>
      <c r="Q17" s="5">
        <v>9762125.0</v>
      </c>
      <c r="R17" s="5">
        <v>8951839.0</v>
      </c>
      <c r="S17" s="5">
        <v>8768221.0</v>
      </c>
      <c r="T17" s="5">
        <v>8736046.0</v>
      </c>
      <c r="U17" s="5">
        <v>8651054.0</v>
      </c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2" t="s">
        <v>12</v>
      </c>
      <c r="B19" s="7">
        <f t="shared" ref="B19:U19" si="1">B6/B5</f>
        <v>-0.1589465531</v>
      </c>
      <c r="C19" s="7">
        <f t="shared" si="1"/>
        <v>-0.2905719808</v>
      </c>
      <c r="D19" s="7">
        <f t="shared" si="1"/>
        <v>-0.7238359675</v>
      </c>
      <c r="E19" s="7">
        <f t="shared" si="1"/>
        <v>-0.07172944015</v>
      </c>
      <c r="F19" s="7">
        <f t="shared" si="1"/>
        <v>-0.09329710145</v>
      </c>
      <c r="G19" s="7">
        <f t="shared" si="1"/>
        <v>-0.07378956001</v>
      </c>
      <c r="H19" s="7">
        <f t="shared" si="1"/>
        <v>1.223489263</v>
      </c>
      <c r="I19" s="7">
        <f t="shared" si="1"/>
        <v>0.377549774</v>
      </c>
      <c r="J19" s="7">
        <f t="shared" si="1"/>
        <v>0.363387417</v>
      </c>
      <c r="K19" s="7">
        <f t="shared" si="1"/>
        <v>0.3588238986</v>
      </c>
      <c r="L19" s="7">
        <f t="shared" si="1"/>
        <v>0.3859254374</v>
      </c>
      <c r="M19" s="7">
        <f t="shared" si="1"/>
        <v>0.3450997274</v>
      </c>
      <c r="N19" s="7">
        <f t="shared" si="1"/>
        <v>0.3267245617</v>
      </c>
      <c r="O19" s="7">
        <f t="shared" si="1"/>
        <v>-0.108045977</v>
      </c>
      <c r="P19" s="7">
        <f t="shared" si="1"/>
        <v>0.3791850351</v>
      </c>
      <c r="Q19" s="7">
        <f t="shared" si="1"/>
        <v>0.2556930693</v>
      </c>
      <c r="R19" s="7">
        <f t="shared" si="1"/>
        <v>0.2554753097</v>
      </c>
      <c r="S19" s="7">
        <f t="shared" si="1"/>
        <v>-0.2745176849</v>
      </c>
      <c r="T19" s="7">
        <f t="shared" si="1"/>
        <v>0.3253305498</v>
      </c>
      <c r="U19" s="7">
        <f t="shared" si="1"/>
        <v>0.303652968</v>
      </c>
    </row>
    <row r="20">
      <c r="A20" s="2" t="s">
        <v>13</v>
      </c>
      <c r="B20" s="6">
        <f t="shared" ref="B20:U20" si="2">B4*(1-B19)</f>
        <v>-540069.0937</v>
      </c>
      <c r="C20" s="6">
        <f t="shared" si="2"/>
        <v>-25703031.57</v>
      </c>
      <c r="D20" s="6">
        <f t="shared" si="2"/>
        <v>-28363997.01</v>
      </c>
      <c r="E20" s="6">
        <f t="shared" si="2"/>
        <v>-21378858.87</v>
      </c>
      <c r="F20" s="6">
        <f t="shared" si="2"/>
        <v>-4590754.529</v>
      </c>
      <c r="G20" s="6">
        <f t="shared" si="2"/>
        <v>-22143688.31</v>
      </c>
      <c r="H20" s="6">
        <f t="shared" si="2"/>
        <v>-1135325.454</v>
      </c>
      <c r="I20" s="6">
        <f t="shared" si="2"/>
        <v>6227614.511</v>
      </c>
      <c r="J20" s="6">
        <f t="shared" si="2"/>
        <v>9632584.993</v>
      </c>
      <c r="K20" s="6">
        <f t="shared" si="2"/>
        <v>16663525.7</v>
      </c>
      <c r="L20" s="6">
        <f t="shared" si="2"/>
        <v>17312604.14</v>
      </c>
      <c r="M20" s="6">
        <f t="shared" si="2"/>
        <v>17694095.57</v>
      </c>
      <c r="N20" s="6">
        <f t="shared" si="2"/>
        <v>9482411.273</v>
      </c>
      <c r="O20" s="6">
        <f t="shared" si="2"/>
        <v>-659287.3563</v>
      </c>
      <c r="P20" s="6">
        <f t="shared" si="2"/>
        <v>-10071481.17</v>
      </c>
      <c r="Q20" s="6">
        <f t="shared" si="2"/>
        <v>19351235.89</v>
      </c>
      <c r="R20" s="6">
        <f t="shared" si="2"/>
        <v>25957853.33</v>
      </c>
      <c r="S20" s="6">
        <f t="shared" si="2"/>
        <v>-3995612.942</v>
      </c>
      <c r="T20" s="6">
        <f t="shared" si="2"/>
        <v>-10976197.29</v>
      </c>
      <c r="U20" s="6">
        <f t="shared" si="2"/>
        <v>5450308.219</v>
      </c>
    </row>
    <row r="21">
      <c r="A21" s="2" t="s">
        <v>14</v>
      </c>
      <c r="B21" s="6">
        <f t="shared" ref="B21:U21" si="3">B11+B12-B10</f>
        <v>213369000</v>
      </c>
      <c r="C21" s="6">
        <f t="shared" si="3"/>
        <v>201314000</v>
      </c>
      <c r="D21" s="6">
        <f t="shared" si="3"/>
        <v>145402000</v>
      </c>
      <c r="E21" s="6">
        <f t="shared" si="3"/>
        <v>123459000</v>
      </c>
      <c r="F21" s="6">
        <f t="shared" si="3"/>
        <v>109050000</v>
      </c>
      <c r="G21" s="6">
        <f t="shared" si="3"/>
        <v>86496000</v>
      </c>
      <c r="H21" s="6">
        <f t="shared" si="3"/>
        <v>114767000</v>
      </c>
      <c r="I21" s="6">
        <f t="shared" si="3"/>
        <v>147143000</v>
      </c>
      <c r="J21" s="6">
        <f t="shared" si="3"/>
        <v>132061000</v>
      </c>
      <c r="K21" s="6">
        <f t="shared" si="3"/>
        <v>154871000</v>
      </c>
      <c r="L21" s="6">
        <f t="shared" si="3"/>
        <v>152672000</v>
      </c>
      <c r="M21" s="6">
        <f t="shared" si="3"/>
        <v>141245000</v>
      </c>
      <c r="N21" s="6">
        <f t="shared" si="3"/>
        <v>157133000</v>
      </c>
      <c r="O21" s="6">
        <f t="shared" si="3"/>
        <v>158983000</v>
      </c>
      <c r="P21" s="6">
        <f t="shared" si="3"/>
        <v>112231000</v>
      </c>
      <c r="Q21" s="6">
        <f t="shared" si="3"/>
        <v>128358000</v>
      </c>
      <c r="R21" s="6">
        <f t="shared" si="3"/>
        <v>133984000</v>
      </c>
      <c r="S21" s="6">
        <f t="shared" si="3"/>
        <v>131034000</v>
      </c>
      <c r="T21" s="6">
        <f t="shared" si="3"/>
        <v>127776000</v>
      </c>
      <c r="U21" s="6">
        <f t="shared" si="3"/>
        <v>123830000</v>
      </c>
    </row>
    <row r="22">
      <c r="A22" s="2" t="s">
        <v>15</v>
      </c>
      <c r="B22" s="6">
        <f t="shared" ref="B22:U22" si="4">B14-B15</f>
        <v>-9494000</v>
      </c>
      <c r="C22" s="6">
        <f t="shared" si="4"/>
        <v>-14006000</v>
      </c>
      <c r="D22" s="6">
        <f t="shared" si="4"/>
        <v>-23657000</v>
      </c>
      <c r="E22" s="6">
        <f t="shared" si="4"/>
        <v>3026000</v>
      </c>
      <c r="F22" s="6">
        <f t="shared" si="4"/>
        <v>5775000</v>
      </c>
      <c r="G22" s="6">
        <f t="shared" si="4"/>
        <v>-9599000</v>
      </c>
      <c r="H22" s="6">
        <f t="shared" si="4"/>
        <v>-1044000</v>
      </c>
      <c r="I22" s="6">
        <f t="shared" si="4"/>
        <v>-3662000</v>
      </c>
      <c r="J22" s="6">
        <f t="shared" si="4"/>
        <v>11981000</v>
      </c>
      <c r="K22" s="6">
        <f t="shared" si="4"/>
        <v>20422000</v>
      </c>
      <c r="L22" s="6">
        <f t="shared" si="4"/>
        <v>17561000</v>
      </c>
      <c r="M22" s="6">
        <f t="shared" si="4"/>
        <v>20884000</v>
      </c>
      <c r="N22" s="6">
        <f t="shared" si="4"/>
        <v>10397000</v>
      </c>
      <c r="O22" s="6">
        <f t="shared" si="4"/>
        <v>-7566000</v>
      </c>
      <c r="P22" s="6">
        <f t="shared" si="4"/>
        <v>30646000</v>
      </c>
      <c r="Q22" s="6">
        <f t="shared" si="4"/>
        <v>3903000</v>
      </c>
      <c r="R22" s="6">
        <f t="shared" si="4"/>
        <v>-24266000</v>
      </c>
      <c r="S22" s="6">
        <f t="shared" si="4"/>
        <v>1235000</v>
      </c>
      <c r="T22" s="6">
        <f t="shared" si="4"/>
        <v>-1161000</v>
      </c>
      <c r="U22" s="6">
        <f t="shared" si="4"/>
        <v>9141000</v>
      </c>
    </row>
    <row r="24">
      <c r="A24" s="2" t="s">
        <v>16</v>
      </c>
      <c r="B24" s="4">
        <f t="shared" ref="B24:U24" si="5">B20/B21</f>
        <v>-0.0025311507</v>
      </c>
      <c r="C24" s="4">
        <f t="shared" si="5"/>
        <v>-0.1276763244</v>
      </c>
      <c r="D24" s="4">
        <f t="shared" si="5"/>
        <v>-0.1950729495</v>
      </c>
      <c r="E24" s="4">
        <f t="shared" si="5"/>
        <v>-0.1731656572</v>
      </c>
      <c r="F24" s="4">
        <f t="shared" si="5"/>
        <v>-0.04209770315</v>
      </c>
      <c r="G24" s="4">
        <f t="shared" si="5"/>
        <v>-0.2560082351</v>
      </c>
      <c r="H24" s="4">
        <f t="shared" si="5"/>
        <v>-0.009892438189</v>
      </c>
      <c r="I24" s="4">
        <f t="shared" si="5"/>
        <v>0.04232355267</v>
      </c>
      <c r="J24" s="4">
        <f t="shared" si="5"/>
        <v>0.07294042142</v>
      </c>
      <c r="K24" s="4">
        <f t="shared" si="5"/>
        <v>0.1075961652</v>
      </c>
      <c r="L24" s="4">
        <f t="shared" si="5"/>
        <v>0.1133973757</v>
      </c>
      <c r="M24" s="4">
        <f t="shared" si="5"/>
        <v>0.1252723676</v>
      </c>
      <c r="N24" s="4">
        <f t="shared" si="5"/>
        <v>0.06034640256</v>
      </c>
      <c r="O24" s="4">
        <f t="shared" si="5"/>
        <v>-0.00414690474</v>
      </c>
      <c r="P24" s="4">
        <f t="shared" si="5"/>
        <v>-0.08973885268</v>
      </c>
      <c r="Q24" s="4">
        <f t="shared" si="5"/>
        <v>0.1507598739</v>
      </c>
      <c r="R24" s="4">
        <f t="shared" si="5"/>
        <v>0.1937384563</v>
      </c>
      <c r="S24" s="4">
        <f t="shared" si="5"/>
        <v>-0.03049294795</v>
      </c>
      <c r="T24" s="4">
        <f t="shared" si="5"/>
        <v>-0.08590186957</v>
      </c>
      <c r="U24" s="4">
        <f t="shared" si="5"/>
        <v>0.04401444092</v>
      </c>
    </row>
    <row r="25">
      <c r="A25" s="2" t="s">
        <v>17</v>
      </c>
      <c r="B25" s="4">
        <f t="shared" ref="B25:U25" si="6">B4/B3</f>
        <v>-0.001419805371</v>
      </c>
      <c r="C25" s="4">
        <f t="shared" si="6"/>
        <v>-0.0674240988</v>
      </c>
      <c r="D25" s="4">
        <f t="shared" si="6"/>
        <v>-0.05707288986</v>
      </c>
      <c r="E25" s="4">
        <f t="shared" si="6"/>
        <v>-0.0857160045</v>
      </c>
      <c r="F25" s="4">
        <f t="shared" si="6"/>
        <v>-0.01784879322</v>
      </c>
      <c r="G25" s="4">
        <f t="shared" si="6"/>
        <v>-0.08144292439</v>
      </c>
      <c r="H25" s="4">
        <f t="shared" si="6"/>
        <v>0.01883769913</v>
      </c>
      <c r="I25" s="4">
        <f t="shared" si="6"/>
        <v>0.0311404792</v>
      </c>
      <c r="J25" s="4">
        <f t="shared" si="6"/>
        <v>0.04440655284</v>
      </c>
      <c r="K25" s="4">
        <f t="shared" si="6"/>
        <v>0.0670848337</v>
      </c>
      <c r="L25" s="4">
        <f t="shared" si="6"/>
        <v>0.07474363461</v>
      </c>
      <c r="M25" s="4">
        <f t="shared" si="6"/>
        <v>0.06786788145</v>
      </c>
      <c r="N25" s="4">
        <f t="shared" si="6"/>
        <v>0.03499399954</v>
      </c>
      <c r="O25" s="4">
        <f t="shared" si="6"/>
        <v>-0.001473264581</v>
      </c>
      <c r="P25" s="4">
        <f t="shared" si="6"/>
        <v>-0.04804366367</v>
      </c>
      <c r="Q25" s="4">
        <f t="shared" si="6"/>
        <v>0.06033846539</v>
      </c>
      <c r="R25" s="4">
        <f t="shared" si="6"/>
        <v>0.07179762809</v>
      </c>
      <c r="S25" s="4">
        <f t="shared" si="6"/>
        <v>-0.00803565936</v>
      </c>
      <c r="T25" s="4">
        <f t="shared" si="6"/>
        <v>-0.04931150602</v>
      </c>
      <c r="U25" s="4">
        <f t="shared" si="6"/>
        <v>0.02334466714</v>
      </c>
    </row>
    <row r="26">
      <c r="A26" s="2" t="s">
        <v>18</v>
      </c>
      <c r="B26" s="4">
        <f t="shared" ref="B26:U26" si="7">B11/B12</f>
        <v>0.01856837805</v>
      </c>
      <c r="C26" s="4">
        <f t="shared" si="7"/>
        <v>0.05132100261</v>
      </c>
      <c r="D26" s="4">
        <f t="shared" si="7"/>
        <v>0.1459528803</v>
      </c>
      <c r="E26" s="4">
        <f t="shared" si="7"/>
        <v>0.3294179491</v>
      </c>
      <c r="F26" s="4">
        <f t="shared" si="7"/>
        <v>0.1299656648</v>
      </c>
      <c r="G26" s="4">
        <f t="shared" si="7"/>
        <v>0.02402335422</v>
      </c>
      <c r="H26" s="4">
        <f t="shared" si="7"/>
        <v>0.0194112411</v>
      </c>
      <c r="I26" s="4">
        <f t="shared" si="7"/>
        <v>0.01567254731</v>
      </c>
      <c r="J26" s="4">
        <f t="shared" si="7"/>
        <v>0.01212762701</v>
      </c>
      <c r="K26" s="4">
        <f t="shared" si="7"/>
        <v>0.07765298874</v>
      </c>
      <c r="L26" s="4">
        <f t="shared" si="7"/>
        <v>0.03935142912</v>
      </c>
      <c r="M26" s="4">
        <f t="shared" si="7"/>
        <v>0.0195027682</v>
      </c>
      <c r="N26" s="4">
        <f t="shared" si="7"/>
        <v>0.001534346773</v>
      </c>
      <c r="O26" s="4">
        <f t="shared" si="7"/>
        <v>0</v>
      </c>
      <c r="P26" s="4">
        <f t="shared" si="7"/>
        <v>0</v>
      </c>
      <c r="Q26" s="4">
        <f t="shared" si="7"/>
        <v>0</v>
      </c>
      <c r="R26" s="4">
        <f t="shared" si="7"/>
        <v>0</v>
      </c>
      <c r="S26" s="4">
        <f t="shared" si="7"/>
        <v>0</v>
      </c>
      <c r="T26" s="4">
        <f t="shared" si="7"/>
        <v>0</v>
      </c>
      <c r="U26" s="4">
        <f t="shared" si="7"/>
        <v>0</v>
      </c>
    </row>
    <row r="28">
      <c r="A28" s="2" t="s">
        <v>19</v>
      </c>
    </row>
    <row r="30">
      <c r="A30" s="8" t="s">
        <v>20</v>
      </c>
    </row>
    <row r="31">
      <c r="A31" s="1" t="s">
        <v>21</v>
      </c>
      <c r="B31" s="2">
        <v>2006.0</v>
      </c>
      <c r="C31" s="2">
        <v>2007.0</v>
      </c>
      <c r="D31" s="2">
        <v>2008.0</v>
      </c>
      <c r="E31" s="2">
        <v>2009.0</v>
      </c>
      <c r="F31" s="2">
        <v>2010.0</v>
      </c>
      <c r="G31" s="2">
        <v>2011.0</v>
      </c>
      <c r="H31" s="2">
        <v>2012.0</v>
      </c>
      <c r="I31" s="2">
        <v>2013.0</v>
      </c>
      <c r="J31" s="2">
        <v>2014.0</v>
      </c>
      <c r="K31" s="2">
        <v>2015.0</v>
      </c>
      <c r="L31" s="2">
        <v>2016.0</v>
      </c>
      <c r="M31" s="2">
        <v>2017.0</v>
      </c>
      <c r="N31" s="2">
        <v>2018.0</v>
      </c>
      <c r="O31" s="2">
        <v>2019.0</v>
      </c>
      <c r="P31" s="2">
        <v>2020.0</v>
      </c>
      <c r="Q31" s="2">
        <v>2021.0</v>
      </c>
      <c r="R31" s="2">
        <v>2022.0</v>
      </c>
      <c r="S31" s="2">
        <v>2023.0</v>
      </c>
      <c r="T31" s="2">
        <v>2024.0</v>
      </c>
      <c r="U31" s="2">
        <v>2025.0</v>
      </c>
    </row>
    <row r="32">
      <c r="A32" s="2" t="s">
        <v>2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3"/>
      <c r="T32" s="3"/>
    </row>
    <row r="33">
      <c r="A33" s="2" t="s">
        <v>3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3"/>
      <c r="T33" s="3"/>
    </row>
    <row r="34">
      <c r="A34" s="2" t="s">
        <v>4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3"/>
      <c r="T34" s="3"/>
    </row>
    <row r="35">
      <c r="A35" s="2" t="s">
        <v>6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3"/>
      <c r="T35" s="3"/>
    </row>
    <row r="36">
      <c r="A36" s="2" t="s">
        <v>22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3"/>
      <c r="T36" s="3"/>
    </row>
    <row r="37">
      <c r="A37" s="2" t="s">
        <v>8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3"/>
      <c r="T37" s="3"/>
    </row>
    <row r="39">
      <c r="A39" s="2" t="s">
        <v>16</v>
      </c>
      <c r="B39" s="4" t="str">
        <f t="shared" ref="B39:U39" si="8">(B32*(1-(B34/B33)))/(B36+B37-B35)</f>
        <v>#DIV/0!</v>
      </c>
      <c r="C39" s="4" t="str">
        <f t="shared" si="8"/>
        <v>#DIV/0!</v>
      </c>
      <c r="D39" s="4" t="str">
        <f t="shared" si="8"/>
        <v>#DIV/0!</v>
      </c>
      <c r="E39" s="4" t="str">
        <f t="shared" si="8"/>
        <v>#DIV/0!</v>
      </c>
      <c r="F39" s="4" t="str">
        <f t="shared" si="8"/>
        <v>#DIV/0!</v>
      </c>
      <c r="G39" s="4" t="str">
        <f t="shared" si="8"/>
        <v>#DIV/0!</v>
      </c>
      <c r="H39" s="4" t="str">
        <f t="shared" si="8"/>
        <v>#DIV/0!</v>
      </c>
      <c r="I39" s="4" t="str">
        <f t="shared" si="8"/>
        <v>#DIV/0!</v>
      </c>
      <c r="J39" s="4" t="str">
        <f t="shared" si="8"/>
        <v>#DIV/0!</v>
      </c>
      <c r="K39" s="4" t="str">
        <f t="shared" si="8"/>
        <v>#DIV/0!</v>
      </c>
      <c r="L39" s="4" t="str">
        <f t="shared" si="8"/>
        <v>#DIV/0!</v>
      </c>
      <c r="M39" s="4" t="str">
        <f t="shared" si="8"/>
        <v>#DIV/0!</v>
      </c>
      <c r="N39" s="4" t="str">
        <f t="shared" si="8"/>
        <v>#DIV/0!</v>
      </c>
      <c r="O39" s="4" t="str">
        <f t="shared" si="8"/>
        <v>#DIV/0!</v>
      </c>
      <c r="P39" s="4" t="str">
        <f t="shared" si="8"/>
        <v>#DIV/0!</v>
      </c>
      <c r="Q39" s="4" t="str">
        <f t="shared" si="8"/>
        <v>#DIV/0!</v>
      </c>
      <c r="R39" s="4" t="str">
        <f t="shared" si="8"/>
        <v>#DIV/0!</v>
      </c>
      <c r="S39" s="4" t="str">
        <f t="shared" si="8"/>
        <v>#DIV/0!</v>
      </c>
      <c r="T39" s="4" t="str">
        <f t="shared" si="8"/>
        <v>#DIV/0!</v>
      </c>
      <c r="U39" s="4" t="str">
        <f t="shared" si="8"/>
        <v>#DIV/0!</v>
      </c>
    </row>
    <row r="41">
      <c r="A41" s="1" t="s">
        <v>21</v>
      </c>
      <c r="B41" s="2">
        <v>2006.0</v>
      </c>
      <c r="C41" s="2">
        <v>2007.0</v>
      </c>
      <c r="D41" s="2">
        <v>2008.0</v>
      </c>
      <c r="E41" s="2">
        <v>2009.0</v>
      </c>
      <c r="F41" s="2">
        <v>2010.0</v>
      </c>
      <c r="G41" s="2">
        <v>2011.0</v>
      </c>
      <c r="H41" s="2">
        <v>2012.0</v>
      </c>
      <c r="I41" s="2">
        <v>2013.0</v>
      </c>
      <c r="J41" s="2">
        <v>2014.0</v>
      </c>
      <c r="K41" s="2">
        <v>2015.0</v>
      </c>
      <c r="L41" s="2">
        <v>2016.0</v>
      </c>
      <c r="M41" s="2">
        <v>2017.0</v>
      </c>
      <c r="N41" s="2">
        <v>2018.0</v>
      </c>
      <c r="O41" s="2">
        <v>2019.0</v>
      </c>
      <c r="P41" s="2">
        <v>2020.0</v>
      </c>
      <c r="Q41" s="2">
        <v>2021.0</v>
      </c>
      <c r="R41" s="2">
        <v>2022.0</v>
      </c>
      <c r="S41" s="2">
        <v>2023.0</v>
      </c>
      <c r="T41" s="2">
        <v>2024.0</v>
      </c>
      <c r="U41" s="2">
        <v>2025.0</v>
      </c>
    </row>
    <row r="42">
      <c r="A42" s="2" t="s">
        <v>2</v>
      </c>
      <c r="R42" s="3"/>
      <c r="S42" s="3"/>
      <c r="T42" s="3"/>
      <c r="U42" s="3"/>
    </row>
    <row r="43">
      <c r="A43" s="2" t="s">
        <v>3</v>
      </c>
      <c r="R43" s="3"/>
      <c r="S43" s="3"/>
      <c r="T43" s="3"/>
      <c r="U43" s="3"/>
    </row>
    <row r="44">
      <c r="A44" s="2" t="s">
        <v>4</v>
      </c>
      <c r="R44" s="3"/>
      <c r="S44" s="3"/>
      <c r="T44" s="3"/>
      <c r="U44" s="3"/>
    </row>
    <row r="45">
      <c r="A45" s="2" t="s">
        <v>6</v>
      </c>
      <c r="Q45" s="3"/>
      <c r="R45" s="3"/>
      <c r="S45" s="3"/>
      <c r="T45" s="3"/>
      <c r="U45" s="3"/>
    </row>
    <row r="46">
      <c r="A46" s="2" t="s">
        <v>22</v>
      </c>
      <c r="Q46" s="3"/>
      <c r="R46" s="3"/>
      <c r="S46" s="3"/>
      <c r="T46" s="3"/>
      <c r="U46" s="3"/>
    </row>
    <row r="47">
      <c r="A47" s="10" t="s">
        <v>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2"/>
      <c r="R47" s="12"/>
      <c r="S47" s="12"/>
      <c r="T47" s="12"/>
      <c r="U47" s="12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>
      <c r="A49" s="10" t="s">
        <v>16</v>
      </c>
      <c r="B49" s="13" t="str">
        <f t="shared" ref="B49:U49" si="9">(B42*(1-(B44/B43)))/(B46+B47-B45)</f>
        <v>#DIV/0!</v>
      </c>
      <c r="C49" s="13" t="str">
        <f t="shared" si="9"/>
        <v>#DIV/0!</v>
      </c>
      <c r="D49" s="13" t="str">
        <f t="shared" si="9"/>
        <v>#DIV/0!</v>
      </c>
      <c r="E49" s="13" t="str">
        <f t="shared" si="9"/>
        <v>#DIV/0!</v>
      </c>
      <c r="F49" s="13" t="str">
        <f t="shared" si="9"/>
        <v>#DIV/0!</v>
      </c>
      <c r="G49" s="13" t="str">
        <f t="shared" si="9"/>
        <v>#DIV/0!</v>
      </c>
      <c r="H49" s="13" t="str">
        <f t="shared" si="9"/>
        <v>#DIV/0!</v>
      </c>
      <c r="I49" s="13" t="str">
        <f t="shared" si="9"/>
        <v>#DIV/0!</v>
      </c>
      <c r="J49" s="13" t="str">
        <f t="shared" si="9"/>
        <v>#DIV/0!</v>
      </c>
      <c r="K49" s="13" t="str">
        <f t="shared" si="9"/>
        <v>#DIV/0!</v>
      </c>
      <c r="L49" s="13" t="str">
        <f t="shared" si="9"/>
        <v>#DIV/0!</v>
      </c>
      <c r="M49" s="13" t="str">
        <f t="shared" si="9"/>
        <v>#DIV/0!</v>
      </c>
      <c r="N49" s="13" t="str">
        <f t="shared" si="9"/>
        <v>#DIV/0!</v>
      </c>
      <c r="O49" s="13" t="str">
        <f t="shared" si="9"/>
        <v>#DIV/0!</v>
      </c>
      <c r="P49" s="13" t="str">
        <f t="shared" si="9"/>
        <v>#DIV/0!</v>
      </c>
      <c r="Q49" s="13" t="str">
        <f t="shared" si="9"/>
        <v>#DIV/0!</v>
      </c>
      <c r="R49" s="13" t="str">
        <f t="shared" si="9"/>
        <v>#DIV/0!</v>
      </c>
      <c r="S49" s="13" t="str">
        <f t="shared" si="9"/>
        <v>#DIV/0!</v>
      </c>
      <c r="T49" s="13" t="str">
        <f t="shared" si="9"/>
        <v>#DIV/0!</v>
      </c>
      <c r="U49" s="13" t="str">
        <f t="shared" si="9"/>
        <v>#DIV/0!</v>
      </c>
    </row>
    <row r="50">
      <c r="Q50" s="4"/>
      <c r="R50" s="4"/>
      <c r="S50" s="4"/>
      <c r="T50" s="4"/>
    </row>
  </sheetData>
  <drawing r:id="rId1"/>
</worksheet>
</file>