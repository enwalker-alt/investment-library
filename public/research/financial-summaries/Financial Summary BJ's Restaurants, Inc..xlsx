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<sst xmlns="http://schemas.openxmlformats.org/spreadsheetml/2006/main" count="38" uniqueCount="24">
  <si>
    <t>BJ's Restaurants, Inc.</t>
  </si>
  <si>
    <t>Revenue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</si>
  <si>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</si>
  <si>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</si>
  <si>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</si>
  <si>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</si>
  <si>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</si>
  <si>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</si>
  <si>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</si>
  <si>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</si>
  <si>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</si>
  <si>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</si>
  <si>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Total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</si>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</sst>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1" numFmtId="164" xfId="0" applyAlignment="1" applyFont="1" applyNumberForma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customWidth="1" min="2" max="16" width="15.38"/>
  </cols>
  <sheetData>
    <row r="1">
      <c r="A1" s="1" t="s">
        <v>0</v>
      </c>
      <c r="B1" s="2">
        <v>2013.0</v>
      </c>
      <c r="C1" s="2">
        <v>2014.0</v>
      </c>
      <c r="D1" s="2">
        <v>2015.0</v>
      </c>
      <c r="E1" s="2">
        <v>2016.0</v>
      </c>
      <c r="F1" s="2">
        <v>2017.0</v>
      </c>
      <c r="G1" s="2">
        <v>2018.0</v>
      </c>
      <c r="H1" s="2">
        <v>2019.0</v>
      </c>
      <c r="I1" s="2">
        <v>2020.0</v>
      </c>
      <c r="J1" s="2">
        <v>2021.0</v>
      </c>
      <c r="K1" s="2">
        <v>2022.0</v>
      </c>
      <c r="L1" s="2">
        <v>2023.0</v>
      </c>
      <c r="M1" s="2">
        <v>2024.0</v>
      </c>
      <c r="N1" s="2">
        <v>2025.0</v>
      </c>
      <c r="O1" s="2"/>
      <c r="P1" s="2"/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2" t="s">
        <v>1</v>
      </c>
      <c r="B3" s="3">
        <v>7.75125E8</v>
      </c>
      <c r="C3" s="3">
        <v>8.45569E8</v>
      </c>
      <c r="D3" s="3">
        <v>9.19597E8</v>
      </c>
      <c r="E3" s="3">
        <v>9.93052E8</v>
      </c>
      <c r="F3" s="3">
        <v>1.031782E9</v>
      </c>
      <c r="G3" s="3">
        <v>1.116948E9</v>
      </c>
      <c r="H3" s="3">
        <v>1.16145E9</v>
      </c>
      <c r="I3" s="3">
        <v>7.7851E8</v>
      </c>
      <c r="J3" s="3">
        <v>1.087038E9</v>
      </c>
      <c r="K3" s="3">
        <v>1.283926E9</v>
      </c>
      <c r="L3" s="3">
        <v>1.333229E9</v>
      </c>
      <c r="M3" s="3">
        <v>1.357302E9</v>
      </c>
      <c r="N3" s="3">
        <v>1.399126E9</v>
      </c>
      <c r="O3" s="3"/>
      <c r="P3" s="3"/>
    </row>
    <row r="4">
      <c r="A4" s="2" t="s">
        <v>2</v>
      </c>
      <c r="B4" s="3">
        <v>2.386E7</v>
      </c>
      <c r="C4" s="3">
        <v>3.5426E7</v>
      </c>
      <c r="D4" s="3">
        <v>6.3062E7</v>
      </c>
      <c r="E4" s="3">
        <v>6.1641E7</v>
      </c>
      <c r="F4" s="3">
        <v>3.7904E7</v>
      </c>
      <c r="G4" s="3">
        <v>5.757E7</v>
      </c>
      <c r="H4" s="3">
        <v>4.9119E7</v>
      </c>
      <c r="I4" s="3">
        <v>-8.6431E7</v>
      </c>
      <c r="J4" s="3">
        <v>-1.6507E7</v>
      </c>
      <c r="K4" s="3">
        <v>-5480000.0</v>
      </c>
      <c r="L4" s="3">
        <v>1.3759E7</v>
      </c>
      <c r="M4" s="3">
        <v>1.408E7</v>
      </c>
      <c r="N4" s="3">
        <v>4.631E7</v>
      </c>
      <c r="O4" s="3"/>
      <c r="P4" s="3"/>
    </row>
    <row r="5">
      <c r="A5" s="2" t="s">
        <v>3</v>
      </c>
      <c r="B5" s="3">
        <v>2.5012E7</v>
      </c>
      <c r="C5" s="3">
        <v>3.6323E7</v>
      </c>
      <c r="D5" s="3">
        <v>6.2107E7</v>
      </c>
      <c r="E5" s="3">
        <v>6.1091E7</v>
      </c>
      <c r="F5" s="3">
        <v>3.539E7</v>
      </c>
      <c r="G5" s="3">
        <v>5.1997E7</v>
      </c>
      <c r="H5" s="3">
        <v>4.6294E7</v>
      </c>
      <c r="I5" s="3">
        <v>-8.995E7</v>
      </c>
      <c r="J5" s="3">
        <v>-1.9182E7</v>
      </c>
      <c r="K5" s="3">
        <v>-8308000.0</v>
      </c>
      <c r="L5" s="3">
        <v>1.01E7</v>
      </c>
      <c r="M5" s="3">
        <v>8265000.0</v>
      </c>
      <c r="N5" s="3">
        <v>4.7233E7</v>
      </c>
      <c r="O5" s="3"/>
      <c r="P5" s="3"/>
    </row>
    <row r="6">
      <c r="A6" s="2" t="s">
        <v>4</v>
      </c>
      <c r="B6" s="3">
        <v>3990000.0</v>
      </c>
      <c r="C6" s="3">
        <v>8926000.0</v>
      </c>
      <c r="D6" s="3">
        <v>1.6782E7</v>
      </c>
      <c r="E6" s="3">
        <v>1.5534E7</v>
      </c>
      <c r="F6" s="3">
        <v>-9390000.0</v>
      </c>
      <c r="G6" s="3">
        <v>1187000.0</v>
      </c>
      <c r="H6" s="3">
        <v>1056000.0</v>
      </c>
      <c r="I6" s="3">
        <v>-3.2065E7</v>
      </c>
      <c r="J6" s="3">
        <v>-1.5576E7</v>
      </c>
      <c r="K6" s="3">
        <v>-1.2384E7</v>
      </c>
      <c r="L6" s="3">
        <v>-9560000.0</v>
      </c>
      <c r="M6" s="3">
        <v>-8422000.0</v>
      </c>
      <c r="N6" s="3">
        <v>-1575000.0</v>
      </c>
      <c r="O6" s="3"/>
      <c r="P6" s="3"/>
    </row>
    <row r="7">
      <c r="A7" s="2" t="s">
        <v>5</v>
      </c>
      <c r="B7" s="3">
        <v>2.1022E7</v>
      </c>
      <c r="C7" s="3">
        <v>2.7397E7</v>
      </c>
      <c r="D7" s="3">
        <v>4.5325E7</v>
      </c>
      <c r="E7" s="3">
        <v>4.5557E7</v>
      </c>
      <c r="F7" s="3">
        <v>4.478E7</v>
      </c>
      <c r="G7" s="3">
        <v>5.081E7</v>
      </c>
      <c r="H7" s="3">
        <v>4.5238E7</v>
      </c>
      <c r="I7" s="3">
        <v>-5.7885E7</v>
      </c>
      <c r="J7" s="3">
        <v>-3606000.0</v>
      </c>
      <c r="K7" s="3">
        <v>4076000.0</v>
      </c>
      <c r="L7" s="3">
        <v>1.966E7</v>
      </c>
      <c r="M7" s="3">
        <v>1.6687E7</v>
      </c>
      <c r="N7" s="3">
        <v>4.8808E7</v>
      </c>
      <c r="O7" s="3"/>
      <c r="P7" s="3"/>
    </row>
    <row r="10">
      <c r="A10" s="2" t="s">
        <v>6</v>
      </c>
      <c r="B10" s="3">
        <v>2.2995E7</v>
      </c>
      <c r="C10" s="3">
        <v>3.0683E7</v>
      </c>
      <c r="D10" s="3">
        <v>3.4604E7</v>
      </c>
      <c r="E10" s="3">
        <v>2.2761E7</v>
      </c>
      <c r="F10" s="3">
        <v>2.4335E7</v>
      </c>
      <c r="G10" s="3">
        <v>2.9224E7</v>
      </c>
      <c r="H10" s="3">
        <v>2.2394E7</v>
      </c>
      <c r="I10" s="3">
        <v>5.1664E7</v>
      </c>
      <c r="J10" s="3">
        <v>3.8527E7</v>
      </c>
      <c r="K10" s="3">
        <v>2.4873E7</v>
      </c>
      <c r="L10" s="3">
        <v>2.907E7</v>
      </c>
      <c r="M10" s="3">
        <v>2.6096E7</v>
      </c>
      <c r="N10" s="3">
        <v>2.3781E7</v>
      </c>
      <c r="O10" s="3"/>
      <c r="P10" s="3"/>
    </row>
    <row r="11">
      <c r="A11" s="2" t="s">
        <v>7</v>
      </c>
      <c r="B11" s="3">
        <v>0.0</v>
      </c>
      <c r="C11" s="3">
        <v>5.8E7</v>
      </c>
      <c r="D11" s="3">
        <v>1.005E8</v>
      </c>
      <c r="E11" s="3">
        <v>1.48E8</v>
      </c>
      <c r="F11" s="3">
        <v>1.635E8</v>
      </c>
      <c r="G11" s="3">
        <v>9.5E7</v>
      </c>
      <c r="H11" s="3">
        <v>1.43E8</v>
      </c>
      <c r="I11" s="3">
        <v>1.168E8</v>
      </c>
      <c r="J11" s="3">
        <v>5.0E7</v>
      </c>
      <c r="K11" s="3">
        <v>6.0E7</v>
      </c>
      <c r="L11" s="3">
        <v>6.8E7</v>
      </c>
      <c r="M11" s="3">
        <v>6.65E7</v>
      </c>
      <c r="N11" s="3">
        <v>8.5E7</v>
      </c>
      <c r="O11" s="3"/>
      <c r="P11" s="3"/>
    </row>
    <row r="12">
      <c r="A12" s="2" t="s">
        <v>8</v>
      </c>
      <c r="B12" s="3">
        <v>4.01436E8</v>
      </c>
      <c r="C12" s="3">
        <v>3.48689E8</v>
      </c>
      <c r="D12" s="3">
        <v>3.16483E8</v>
      </c>
      <c r="E12" s="3">
        <v>2.74897E8</v>
      </c>
      <c r="F12" s="3">
        <v>2.58729E8</v>
      </c>
      <c r="G12" s="3">
        <v>3.09221E8</v>
      </c>
      <c r="H12" s="3">
        <v>2.90287E8</v>
      </c>
      <c r="I12" s="3">
        <v>2.93788E8</v>
      </c>
      <c r="J12" s="3">
        <v>3.33771E8</v>
      </c>
      <c r="K12" s="3">
        <v>3.45515E8</v>
      </c>
      <c r="L12" s="3">
        <v>3.65761E8</v>
      </c>
      <c r="M12" s="3">
        <v>3.70017E8</v>
      </c>
      <c r="N12" s="3">
        <v>3.66193E8</v>
      </c>
      <c r="O12" s="3"/>
      <c r="P12" s="3"/>
    </row>
    <row r="14">
      <c r="A14" s="2" t="s">
        <v>9</v>
      </c>
      <c r="B14" s="3">
        <v>9.5544E7</v>
      </c>
      <c r="C14" s="3">
        <v>1.0004E8</v>
      </c>
      <c r="D14" s="3">
        <v>1.27224E8</v>
      </c>
      <c r="E14" s="3">
        <v>1.38359E8</v>
      </c>
      <c r="F14" s="3">
        <v>1.07036E8</v>
      </c>
      <c r="G14" s="3">
        <v>1.32917E8</v>
      </c>
      <c r="H14" s="3">
        <v>1.15999E8</v>
      </c>
      <c r="I14" s="3">
        <v>4.0541E7</v>
      </c>
      <c r="J14" s="3">
        <v>6.4285E7</v>
      </c>
      <c r="K14" s="3">
        <v>5.1122E7</v>
      </c>
      <c r="L14" s="3">
        <v>1.05837E8</v>
      </c>
      <c r="M14" s="3">
        <v>1.01472E8</v>
      </c>
      <c r="N14" s="3">
        <v>1.10514E8</v>
      </c>
      <c r="O14" s="3"/>
      <c r="P14" s="3"/>
    </row>
    <row r="15">
      <c r="A15" s="2" t="s">
        <v>10</v>
      </c>
      <c r="B15" s="3">
        <v>1.1706E8</v>
      </c>
      <c r="C15" s="3">
        <v>8.8124E7</v>
      </c>
      <c r="D15" s="3">
        <v>8.607E7</v>
      </c>
      <c r="E15" s="3">
        <v>1.09363E8</v>
      </c>
      <c r="F15" s="3">
        <v>7.0736E7</v>
      </c>
      <c r="G15" s="3">
        <v>6.0964E7</v>
      </c>
      <c r="H15" s="3">
        <v>8.2157E7</v>
      </c>
      <c r="I15" s="3">
        <v>4.3325E7</v>
      </c>
      <c r="J15" s="3">
        <v>4.2189E7</v>
      </c>
      <c r="K15" s="3">
        <v>7.8606E7</v>
      </c>
      <c r="L15" s="3">
        <v>9.8914E7</v>
      </c>
      <c r="M15" s="3">
        <v>7.69E7</v>
      </c>
      <c r="N15" s="3">
        <v>6.9612E7</v>
      </c>
      <c r="O15" s="3"/>
      <c r="P15" s="3"/>
    </row>
    <row r="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2" t="s">
        <v>11</v>
      </c>
      <c r="B17" s="5">
        <v>2.8295E7</v>
      </c>
      <c r="C17" s="5">
        <v>2.6229E7</v>
      </c>
      <c r="D17" s="5">
        <v>2.4672E7</v>
      </c>
      <c r="E17" s="5">
        <v>2.2332E7</v>
      </c>
      <c r="F17" s="5">
        <v>2.0485E7</v>
      </c>
      <c r="G17" s="5">
        <v>2.1058E7</v>
      </c>
      <c r="H17" s="5">
        <v>1.9149E7</v>
      </c>
      <c r="I17" s="5">
        <v>2.2318E7</v>
      </c>
      <c r="J17" s="5">
        <v>2.3304E7</v>
      </c>
      <c r="K17" s="5">
        <v>2.3392E7</v>
      </c>
      <c r="L17" s="5">
        <v>2.3184E7</v>
      </c>
      <c r="M17" s="5">
        <v>2.2697E7</v>
      </c>
      <c r="N17" s="5">
        <v>2.1114E7</v>
      </c>
      <c r="O17" s="5"/>
      <c r="P17" s="5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 t="s">
        <v>12</v>
      </c>
      <c r="P18" s="6"/>
    </row>
    <row r="19">
      <c r="A19" s="2" t="s">
        <v>13</v>
      </c>
      <c r="B19" s="8">
        <f t="shared" ref="B19:N19" si="1">B6/B5</f>
        <v>0.1595234288</v>
      </c>
      <c r="C19" s="8">
        <f t="shared" si="1"/>
        <v>0.245739614</v>
      </c>
      <c r="D19" s="8">
        <f t="shared" si="1"/>
        <v>0.2702110873</v>
      </c>
      <c r="E19" s="8">
        <f t="shared" si="1"/>
        <v>0.2542764073</v>
      </c>
      <c r="F19" s="8">
        <f t="shared" si="1"/>
        <v>-0.265329189</v>
      </c>
      <c r="G19" s="8">
        <f t="shared" si="1"/>
        <v>0.02282824009</v>
      </c>
      <c r="H19" s="8">
        <f t="shared" si="1"/>
        <v>0.02281073141</v>
      </c>
      <c r="I19" s="8">
        <f t="shared" si="1"/>
        <v>0.3564758199</v>
      </c>
      <c r="J19" s="8">
        <f t="shared" si="1"/>
        <v>0.8120112606</v>
      </c>
      <c r="K19" s="8">
        <f t="shared" si="1"/>
        <v>1.490611459</v>
      </c>
      <c r="L19" s="8">
        <f t="shared" si="1"/>
        <v>-0.9465346535</v>
      </c>
      <c r="M19" s="8">
        <f t="shared" si="1"/>
        <v>-1.018995765</v>
      </c>
      <c r="N19" s="8">
        <f t="shared" si="1"/>
        <v>-0.0333453306</v>
      </c>
      <c r="O19" s="9"/>
      <c r="P19" s="8"/>
    </row>
    <row r="20">
      <c r="A20" s="2" t="s">
        <v>14</v>
      </c>
      <c r="B20" s="6">
        <f t="shared" ref="B20:N20" si="2">B4*(1-B19)</f>
        <v>20053770.99</v>
      </c>
      <c r="C20" s="6">
        <f t="shared" si="2"/>
        <v>26720428.43</v>
      </c>
      <c r="D20" s="6">
        <f t="shared" si="2"/>
        <v>46021948.41</v>
      </c>
      <c r="E20" s="6">
        <f t="shared" si="2"/>
        <v>45967147.98</v>
      </c>
      <c r="F20" s="6">
        <f t="shared" si="2"/>
        <v>47961037.58</v>
      </c>
      <c r="G20" s="6">
        <f t="shared" si="2"/>
        <v>56255778.22</v>
      </c>
      <c r="H20" s="6">
        <f t="shared" si="2"/>
        <v>47998559.68</v>
      </c>
      <c r="I20" s="6">
        <f t="shared" si="2"/>
        <v>-55620438.41</v>
      </c>
      <c r="J20" s="6">
        <f t="shared" si="2"/>
        <v>-3103130.122</v>
      </c>
      <c r="K20" s="6">
        <f t="shared" si="2"/>
        <v>2688550.794</v>
      </c>
      <c r="L20" s="6">
        <f t="shared" si="2"/>
        <v>26782370.3</v>
      </c>
      <c r="M20" s="6">
        <f t="shared" si="2"/>
        <v>28427460.38</v>
      </c>
      <c r="N20" s="6">
        <f t="shared" si="2"/>
        <v>47854222.26</v>
      </c>
      <c r="O20" s="10"/>
      <c r="P20" s="6"/>
    </row>
    <row r="21">
      <c r="A21" s="2" t="s">
        <v>15</v>
      </c>
      <c r="B21" s="6">
        <f t="shared" ref="B21:N21" si="3">B11+B12-B10</f>
        <v>378441000</v>
      </c>
      <c r="C21" s="6">
        <f t="shared" si="3"/>
        <v>376006000</v>
      </c>
      <c r="D21" s="6">
        <f t="shared" si="3"/>
        <v>382379000</v>
      </c>
      <c r="E21" s="6">
        <f t="shared" si="3"/>
        <v>400136000</v>
      </c>
      <c r="F21" s="6">
        <f t="shared" si="3"/>
        <v>397894000</v>
      </c>
      <c r="G21" s="6">
        <f t="shared" si="3"/>
        <v>374997000</v>
      </c>
      <c r="H21" s="6">
        <f t="shared" si="3"/>
        <v>410893000</v>
      </c>
      <c r="I21" s="6">
        <f t="shared" si="3"/>
        <v>358924000</v>
      </c>
      <c r="J21" s="6">
        <f t="shared" si="3"/>
        <v>345244000</v>
      </c>
      <c r="K21" s="6">
        <f t="shared" si="3"/>
        <v>380642000</v>
      </c>
      <c r="L21" s="6">
        <f t="shared" si="3"/>
        <v>404691000</v>
      </c>
      <c r="M21" s="6">
        <f t="shared" si="3"/>
        <v>410421000</v>
      </c>
      <c r="N21" s="6">
        <f t="shared" si="3"/>
        <v>427412000</v>
      </c>
      <c r="O21" s="10"/>
      <c r="P21" s="6"/>
    </row>
    <row r="22">
      <c r="A22" s="2" t="s">
        <v>16</v>
      </c>
      <c r="B22" s="6">
        <f t="shared" ref="B22:N22" si="4">B14-B15</f>
        <v>-21516000</v>
      </c>
      <c r="C22" s="6">
        <f t="shared" si="4"/>
        <v>11916000</v>
      </c>
      <c r="D22" s="6">
        <f t="shared" si="4"/>
        <v>41154000</v>
      </c>
      <c r="E22" s="6">
        <f t="shared" si="4"/>
        <v>28996000</v>
      </c>
      <c r="F22" s="6">
        <f t="shared" si="4"/>
        <v>36300000</v>
      </c>
      <c r="G22" s="6">
        <f t="shared" si="4"/>
        <v>71953000</v>
      </c>
      <c r="H22" s="6">
        <f t="shared" si="4"/>
        <v>33842000</v>
      </c>
      <c r="I22" s="6">
        <f t="shared" si="4"/>
        <v>-2784000</v>
      </c>
      <c r="J22" s="6">
        <f t="shared" si="4"/>
        <v>22096000</v>
      </c>
      <c r="K22" s="6">
        <f t="shared" si="4"/>
        <v>-27484000</v>
      </c>
      <c r="L22" s="6">
        <f t="shared" si="4"/>
        <v>6923000</v>
      </c>
      <c r="M22" s="6">
        <f t="shared" si="4"/>
        <v>24572000</v>
      </c>
      <c r="N22" s="6">
        <f t="shared" si="4"/>
        <v>40902000</v>
      </c>
      <c r="O22" s="10"/>
      <c r="P22" s="6"/>
    </row>
    <row r="23">
      <c r="O23" s="10"/>
    </row>
    <row r="24">
      <c r="A24" s="2" t="s">
        <v>17</v>
      </c>
      <c r="B24" s="4">
        <f t="shared" ref="B24:N24" si="5">B20/B21</f>
        <v>0.05299048198</v>
      </c>
      <c r="C24" s="4">
        <f t="shared" si="5"/>
        <v>0.07106383524</v>
      </c>
      <c r="D24" s="4">
        <f t="shared" si="5"/>
        <v>0.1203568931</v>
      </c>
      <c r="E24" s="4">
        <f t="shared" si="5"/>
        <v>0.1148788111</v>
      </c>
      <c r="F24" s="4">
        <f t="shared" si="5"/>
        <v>0.1205372224</v>
      </c>
      <c r="G24" s="4">
        <f t="shared" si="5"/>
        <v>0.1500166087</v>
      </c>
      <c r="H24" s="4">
        <f t="shared" si="5"/>
        <v>0.1168152285</v>
      </c>
      <c r="I24" s="4">
        <f t="shared" si="5"/>
        <v>-0.1549643891</v>
      </c>
      <c r="J24" s="4">
        <f t="shared" si="5"/>
        <v>-0.008988223175</v>
      </c>
      <c r="K24" s="4">
        <f t="shared" si="5"/>
        <v>0.007063200578</v>
      </c>
      <c r="L24" s="4">
        <f t="shared" si="5"/>
        <v>0.06617980211</v>
      </c>
      <c r="M24" s="4">
        <f t="shared" si="5"/>
        <v>0.06926414675</v>
      </c>
      <c r="N24" s="4">
        <f t="shared" si="5"/>
        <v>0.1119627485</v>
      </c>
      <c r="O24" s="11">
        <f t="shared" ref="O24:O26" si="7">AVERAGE(B24:N24)</f>
        <v>0.06439818205</v>
      </c>
      <c r="P24" s="4"/>
    </row>
    <row r="25">
      <c r="A25" s="2" t="s">
        <v>18</v>
      </c>
      <c r="B25" s="4">
        <f t="shared" ref="B25:N25" si="6">B4/B3</f>
        <v>0.03078213191</v>
      </c>
      <c r="C25" s="4">
        <f t="shared" si="6"/>
        <v>0.0418960487</v>
      </c>
      <c r="D25" s="4">
        <f t="shared" si="6"/>
        <v>0.06857569131</v>
      </c>
      <c r="E25" s="4">
        <f t="shared" si="6"/>
        <v>0.06207227819</v>
      </c>
      <c r="F25" s="4">
        <f t="shared" si="6"/>
        <v>0.03673644239</v>
      </c>
      <c r="G25" s="4">
        <f t="shared" si="6"/>
        <v>0.05154223831</v>
      </c>
      <c r="H25" s="4">
        <f t="shared" si="6"/>
        <v>0.04229110164</v>
      </c>
      <c r="I25" s="4">
        <f t="shared" si="6"/>
        <v>-0.111021053</v>
      </c>
      <c r="J25" s="4">
        <f t="shared" si="6"/>
        <v>-0.01518530171</v>
      </c>
      <c r="K25" s="4">
        <f t="shared" si="6"/>
        <v>-0.004268158757</v>
      </c>
      <c r="L25" s="4">
        <f t="shared" si="6"/>
        <v>0.01032005754</v>
      </c>
      <c r="M25" s="4">
        <f t="shared" si="6"/>
        <v>0.01037352041</v>
      </c>
      <c r="N25" s="4">
        <f t="shared" si="6"/>
        <v>0.03309923481</v>
      </c>
      <c r="O25" s="11">
        <f t="shared" si="7"/>
        <v>0.01978571013</v>
      </c>
      <c r="P25" s="4"/>
    </row>
    <row r="26">
      <c r="A26" s="2" t="s">
        <v>19</v>
      </c>
      <c r="B26" s="4">
        <f t="shared" ref="B26:N26" si="8">B11/B12</f>
        <v>0</v>
      </c>
      <c r="C26" s="4">
        <f t="shared" si="8"/>
        <v>0.1663373379</v>
      </c>
      <c r="D26" s="4">
        <f t="shared" si="8"/>
        <v>0.3175526016</v>
      </c>
      <c r="E26" s="4">
        <f t="shared" si="8"/>
        <v>0.5383834673</v>
      </c>
      <c r="F26" s="4">
        <f t="shared" si="8"/>
        <v>0.6319353455</v>
      </c>
      <c r="G26" s="4">
        <f t="shared" si="8"/>
        <v>0.3072236362</v>
      </c>
      <c r="H26" s="4">
        <f t="shared" si="8"/>
        <v>0.4926159284</v>
      </c>
      <c r="I26" s="4">
        <f t="shared" si="8"/>
        <v>0.3975655915</v>
      </c>
      <c r="J26" s="4">
        <f t="shared" si="8"/>
        <v>0.1498033083</v>
      </c>
      <c r="K26" s="4">
        <f t="shared" si="8"/>
        <v>0.1736538211</v>
      </c>
      <c r="L26" s="4">
        <f t="shared" si="8"/>
        <v>0.1859137524</v>
      </c>
      <c r="M26" s="4">
        <f t="shared" si="8"/>
        <v>0.1797214723</v>
      </c>
      <c r="N26" s="4">
        <f t="shared" si="8"/>
        <v>0.2321180361</v>
      </c>
      <c r="O26" s="11">
        <f t="shared" si="7"/>
        <v>0.2902172537</v>
      </c>
      <c r="P26" s="4"/>
    </row>
    <row r="28">
      <c r="A28" s="2" t="s">
        <v>20</v>
      </c>
    </row>
    <row r="30">
      <c r="A30" s="12" t="s">
        <v>21</v>
      </c>
    </row>
    <row r="31">
      <c r="A31" s="1" t="s">
        <v>22</v>
      </c>
      <c r="B31" s="2">
        <v>2013.0</v>
      </c>
      <c r="C31" s="2">
        <v>2014.0</v>
      </c>
      <c r="D31" s="2">
        <v>2015.0</v>
      </c>
      <c r="E31" s="2">
        <v>2016.0</v>
      </c>
      <c r="F31" s="2">
        <v>2017.0</v>
      </c>
      <c r="G31" s="2">
        <v>2018.0</v>
      </c>
      <c r="H31" s="2">
        <v>2019.0</v>
      </c>
      <c r="I31" s="2">
        <v>2020.0</v>
      </c>
      <c r="J31" s="2">
        <v>2021.0</v>
      </c>
      <c r="K31" s="2">
        <v>2022.0</v>
      </c>
      <c r="L31" s="2">
        <v>2023.0</v>
      </c>
      <c r="M31" s="2">
        <v>2024.0</v>
      </c>
    </row>
    <row r="32">
      <c r="A32" s="2" t="s">
        <v>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3"/>
      <c r="M32" s="3"/>
    </row>
    <row r="33">
      <c r="A33" s="2" t="s">
        <v>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3"/>
      <c r="M33" s="3"/>
    </row>
    <row r="34">
      <c r="A34" s="2" t="s">
        <v>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3"/>
      <c r="M34" s="3"/>
    </row>
    <row r="35">
      <c r="A35" s="2" t="s">
        <v>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"/>
      <c r="M35" s="3"/>
    </row>
    <row r="36">
      <c r="A36" s="2" t="s">
        <v>23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3"/>
      <c r="M36" s="3"/>
    </row>
    <row r="37">
      <c r="A37" s="2" t="s">
        <v>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3"/>
      <c r="M37" s="3"/>
    </row>
    <row r="39">
      <c r="A39" s="2" t="s">
        <v>17</v>
      </c>
      <c r="B39" s="4" t="str">
        <f t="shared" ref="B39:M39" si="9">(B32*(1-(B34/B33)))/(B36+B37-B35)</f>
        <v>#DIV/0!</v>
      </c>
      <c r="C39" s="4" t="str">
        <f t="shared" si="9"/>
        <v>#DIV/0!</v>
      </c>
      <c r="D39" s="4" t="str">
        <f t="shared" si="9"/>
        <v>#DIV/0!</v>
      </c>
      <c r="E39" s="4" t="str">
        <f t="shared" si="9"/>
        <v>#DIV/0!</v>
      </c>
      <c r="F39" s="4" t="str">
        <f t="shared" si="9"/>
        <v>#DIV/0!</v>
      </c>
      <c r="G39" s="4" t="str">
        <f t="shared" si="9"/>
        <v>#DIV/0!</v>
      </c>
      <c r="H39" s="4" t="str">
        <f t="shared" si="9"/>
        <v>#DIV/0!</v>
      </c>
      <c r="I39" s="4" t="str">
        <f t="shared" si="9"/>
        <v>#DIV/0!</v>
      </c>
      <c r="J39" s="4" t="str">
        <f t="shared" si="9"/>
        <v>#DIV/0!</v>
      </c>
      <c r="K39" s="4" t="str">
        <f t="shared" si="9"/>
        <v>#DIV/0!</v>
      </c>
      <c r="L39" s="4" t="str">
        <f t="shared" si="9"/>
        <v>#DIV/0!</v>
      </c>
      <c r="M39" s="4" t="str">
        <f t="shared" si="9"/>
        <v>#DIV/0!</v>
      </c>
    </row>
    <row r="41">
      <c r="A41" s="1" t="s">
        <v>22</v>
      </c>
      <c r="B41" s="2">
        <v>2013.0</v>
      </c>
      <c r="C41" s="2">
        <v>2014.0</v>
      </c>
      <c r="D41" s="2">
        <v>2015.0</v>
      </c>
      <c r="E41" s="2">
        <v>2016.0</v>
      </c>
      <c r="F41" s="2">
        <v>2017.0</v>
      </c>
      <c r="G41" s="2">
        <v>2018.0</v>
      </c>
      <c r="H41" s="2">
        <v>2019.0</v>
      </c>
      <c r="I41" s="2">
        <v>2020.0</v>
      </c>
      <c r="J41" s="2">
        <v>2021.0</v>
      </c>
      <c r="K41" s="2">
        <v>2022.0</v>
      </c>
      <c r="L41" s="2">
        <v>2023.0</v>
      </c>
      <c r="M41" s="2">
        <v>2024.0</v>
      </c>
    </row>
    <row r="42">
      <c r="A42" s="2" t="s">
        <v>2</v>
      </c>
      <c r="K42" s="3"/>
      <c r="L42" s="3"/>
      <c r="M42" s="3"/>
    </row>
    <row r="43">
      <c r="A43" s="2" t="s">
        <v>3</v>
      </c>
      <c r="K43" s="3"/>
      <c r="L43" s="3"/>
      <c r="M43" s="3"/>
    </row>
    <row r="44">
      <c r="A44" s="2" t="s">
        <v>4</v>
      </c>
      <c r="K44" s="3"/>
      <c r="L44" s="3"/>
      <c r="M44" s="3"/>
    </row>
    <row r="45">
      <c r="A45" s="2" t="s">
        <v>6</v>
      </c>
      <c r="J45" s="3"/>
      <c r="K45" s="3"/>
      <c r="L45" s="3"/>
      <c r="M45" s="3"/>
    </row>
    <row r="46">
      <c r="A46" s="2" t="s">
        <v>23</v>
      </c>
      <c r="J46" s="3"/>
      <c r="K46" s="3"/>
      <c r="L46" s="3"/>
      <c r="M46" s="3"/>
    </row>
    <row r="47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6"/>
      <c r="K47" s="16"/>
      <c r="L47" s="16"/>
      <c r="M47" s="16"/>
      <c r="N47" s="15"/>
      <c r="O47" s="15"/>
      <c r="P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>
      <c r="A49" s="14" t="s">
        <v>17</v>
      </c>
      <c r="B49" s="17" t="str">
        <f t="shared" ref="B49:M49" si="10">(B42*(1-(B44/B43)))/(B46+B47-B45)</f>
        <v>#DIV/0!</v>
      </c>
      <c r="C49" s="17" t="str">
        <f t="shared" si="10"/>
        <v>#DIV/0!</v>
      </c>
      <c r="D49" s="17" t="str">
        <f t="shared" si="10"/>
        <v>#DIV/0!</v>
      </c>
      <c r="E49" s="17" t="str">
        <f t="shared" si="10"/>
        <v>#DIV/0!</v>
      </c>
      <c r="F49" s="17" t="str">
        <f t="shared" si="10"/>
        <v>#DIV/0!</v>
      </c>
      <c r="G49" s="17" t="str">
        <f t="shared" si="10"/>
        <v>#DIV/0!</v>
      </c>
      <c r="H49" s="17" t="str">
        <f t="shared" si="10"/>
        <v>#DIV/0!</v>
      </c>
      <c r="I49" s="17" t="str">
        <f t="shared" si="10"/>
        <v>#DIV/0!</v>
      </c>
      <c r="J49" s="17" t="str">
        <f t="shared" si="10"/>
        <v>#DIV/0!</v>
      </c>
      <c r="K49" s="17" t="str">
        <f t="shared" si="10"/>
        <v>#DIV/0!</v>
      </c>
      <c r="L49" s="17" t="str">
        <f t="shared" si="10"/>
        <v>#DIV/0!</v>
      </c>
      <c r="M49" s="17" t="str">
        <f t="shared" si="10"/>
        <v>#DIV/0!</v>
      </c>
      <c r="N49" s="15"/>
      <c r="O49" s="15"/>
      <c r="P49" s="15"/>
    </row>
    <row r="50">
      <c r="J50" s="4"/>
      <c r="K50" s="4"/>
      <c r="L50" s="4"/>
      <c r="M50" s="4"/>
    </row>
  </sheetData>
  <drawing r:id="rId1"/>
</worksheet>
</file>