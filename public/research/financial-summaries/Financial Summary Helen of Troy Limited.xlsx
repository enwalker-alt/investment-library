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<sst xmlns="http://schemas.openxmlformats.org/spreadsheetml/2006/main" count="39" uniqueCount="25">
  <si>
    <t>Helen of Troy Limited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</si>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</sst>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&quot;$&quot;#,##0.00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4" width="13.38"/>
  </cols>
  <sheetData>
    <row r="1">
      <c r="A1" s="1" t="s">
        <v>0</v>
      </c>
      <c r="B1" s="2">
        <v>2011.0</v>
      </c>
      <c r="C1" s="3">
        <v>2012.0</v>
      </c>
      <c r="D1" s="3">
        <v>2013.0</v>
      </c>
      <c r="E1" s="3">
        <v>2014.0</v>
      </c>
      <c r="F1" s="3">
        <v>2015.0</v>
      </c>
      <c r="G1" s="3">
        <v>2016.0</v>
      </c>
      <c r="H1" s="3">
        <v>2017.0</v>
      </c>
      <c r="I1" s="3">
        <v>2018.0</v>
      </c>
      <c r="J1" s="3">
        <v>2019.0</v>
      </c>
      <c r="K1" s="3">
        <v>2020.0</v>
      </c>
      <c r="L1" s="3">
        <v>2021.0</v>
      </c>
      <c r="M1" s="3">
        <v>2022.0</v>
      </c>
      <c r="N1" s="3">
        <v>2023.0</v>
      </c>
      <c r="O1" s="3">
        <v>2024.0</v>
      </c>
      <c r="P1" s="3">
        <v>2025.0</v>
      </c>
    </row>
    <row r="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2" t="s">
        <v>1</v>
      </c>
      <c r="B3" s="5">
        <v>1181.676</v>
      </c>
      <c r="C3" s="5">
        <v>1288.263</v>
      </c>
      <c r="D3" s="5">
        <v>1317.153</v>
      </c>
      <c r="E3" s="5">
        <v>1445.131</v>
      </c>
      <c r="F3" s="5">
        <v>1545.701</v>
      </c>
      <c r="G3" s="5">
        <v>1406.676</v>
      </c>
      <c r="H3" s="5">
        <v>1489.747</v>
      </c>
      <c r="I3" s="5">
        <v>1564.151</v>
      </c>
      <c r="J3" s="5">
        <v>1707.432</v>
      </c>
      <c r="K3" s="5">
        <v>2098.799</v>
      </c>
      <c r="L3" s="5">
        <v>2223.355</v>
      </c>
      <c r="M3" s="5">
        <v>2072.667</v>
      </c>
      <c r="N3" s="5">
        <v>2005.05</v>
      </c>
      <c r="O3" s="5">
        <v>1907.655</v>
      </c>
      <c r="P3" s="5">
        <v>1786.29</v>
      </c>
    </row>
    <row r="4">
      <c r="A4" s="2" t="s">
        <v>2</v>
      </c>
      <c r="B4" s="5">
        <v>139.386</v>
      </c>
      <c r="C4" s="5">
        <v>148.773</v>
      </c>
      <c r="D4" s="5">
        <v>117.1</v>
      </c>
      <c r="E4" s="5">
        <v>161.719</v>
      </c>
      <c r="F4" s="5">
        <v>130.615</v>
      </c>
      <c r="G4" s="5">
        <v>169.664</v>
      </c>
      <c r="H4" s="5">
        <v>169.062</v>
      </c>
      <c r="I4" s="5">
        <v>199.379</v>
      </c>
      <c r="J4" s="5">
        <v>178.251</v>
      </c>
      <c r="K4" s="5">
        <v>281.488</v>
      </c>
      <c r="L4" s="5">
        <v>272.55</v>
      </c>
      <c r="M4" s="5">
        <v>211.791</v>
      </c>
      <c r="N4" s="5">
        <v>260.589</v>
      </c>
      <c r="O4" s="5">
        <v>142.748</v>
      </c>
      <c r="P4" s="5">
        <v>-782.081</v>
      </c>
    </row>
    <row r="5">
      <c r="A5" s="2" t="s">
        <v>3</v>
      </c>
      <c r="B5" s="5">
        <v>126.092</v>
      </c>
      <c r="C5" s="5">
        <v>135.514</v>
      </c>
      <c r="D5" s="5">
        <v>107.134</v>
      </c>
      <c r="E5" s="5">
        <v>147.214</v>
      </c>
      <c r="F5" s="5">
        <v>119.818</v>
      </c>
      <c r="G5" s="5">
        <v>155.717</v>
      </c>
      <c r="H5" s="5">
        <v>155.438</v>
      </c>
      <c r="I5" s="5">
        <v>188.0</v>
      </c>
      <c r="J5" s="5">
        <v>165.94</v>
      </c>
      <c r="K5" s="5">
        <v>269.43</v>
      </c>
      <c r="L5" s="5">
        <v>259.966</v>
      </c>
      <c r="M5" s="5">
        <v>171.289</v>
      </c>
      <c r="N5" s="5">
        <v>209.042</v>
      </c>
      <c r="O5" s="5">
        <v>91.664</v>
      </c>
      <c r="P5" s="5">
        <v>-838.838</v>
      </c>
    </row>
    <row r="6">
      <c r="A6" s="2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>
      <c r="A7" s="2" t="s">
        <v>5</v>
      </c>
      <c r="B7" s="5">
        <v>110.374</v>
      </c>
      <c r="C7" s="5">
        <v>115.666</v>
      </c>
      <c r="D7" s="5">
        <v>86.248</v>
      </c>
      <c r="E7" s="5">
        <v>131.164</v>
      </c>
      <c r="F7" s="5">
        <v>101.228</v>
      </c>
      <c r="G7" s="5">
        <v>140.689</v>
      </c>
      <c r="H7" s="5">
        <v>44.446</v>
      </c>
      <c r="I7" s="5">
        <v>168.545</v>
      </c>
      <c r="J7" s="5">
        <v>152.233</v>
      </c>
      <c r="K7" s="5">
        <v>253.946</v>
      </c>
      <c r="L7" s="5">
        <v>223.764</v>
      </c>
      <c r="M7" s="5">
        <v>143.273</v>
      </c>
      <c r="N7" s="5">
        <v>168.594</v>
      </c>
      <c r="O7" s="5">
        <v>123.751</v>
      </c>
      <c r="P7" s="5">
        <v>-898.982</v>
      </c>
    </row>
    <row r="8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>
      <c r="A9" s="2" t="s">
        <v>6</v>
      </c>
      <c r="B9" s="5">
        <v>30.178</v>
      </c>
      <c r="C9" s="5">
        <v>35.328</v>
      </c>
      <c r="D9" s="5">
        <v>34.75</v>
      </c>
      <c r="E9" s="5">
        <v>39.653</v>
      </c>
      <c r="F9" s="5">
        <v>42.749</v>
      </c>
      <c r="G9" s="5">
        <v>36.175</v>
      </c>
      <c r="H9" s="5">
        <v>33.73</v>
      </c>
      <c r="I9" s="5">
        <v>29.927</v>
      </c>
      <c r="J9" s="5">
        <v>37.409</v>
      </c>
      <c r="K9" s="5">
        <v>37.718</v>
      </c>
      <c r="L9" s="5">
        <v>35.829</v>
      </c>
      <c r="M9" s="5">
        <v>44.683</v>
      </c>
      <c r="N9" s="5">
        <v>51.499</v>
      </c>
      <c r="O9" s="5">
        <v>55.048</v>
      </c>
      <c r="P9" s="5">
        <v>53.295</v>
      </c>
    </row>
    <row r="10">
      <c r="A10" s="2" t="s">
        <v>7</v>
      </c>
      <c r="B10" s="5">
        <v>21.846</v>
      </c>
      <c r="C10" s="5">
        <v>12.842</v>
      </c>
      <c r="D10" s="5">
        <v>70.027</v>
      </c>
      <c r="E10" s="7">
        <v>12.295</v>
      </c>
      <c r="F10" s="7">
        <v>225.8</v>
      </c>
      <c r="G10" s="5">
        <v>23.848</v>
      </c>
      <c r="H10" s="5">
        <v>20.738</v>
      </c>
      <c r="I10" s="5">
        <v>11.871</v>
      </c>
      <c r="J10" s="5">
        <v>24.467</v>
      </c>
      <c r="K10" s="5">
        <v>45.12</v>
      </c>
      <c r="L10" s="5">
        <v>33.381</v>
      </c>
      <c r="M10" s="5">
        <v>29.073</v>
      </c>
      <c r="N10" s="5">
        <v>18.501</v>
      </c>
      <c r="O10" s="5">
        <v>18.867</v>
      </c>
      <c r="P10" s="5">
        <v>18.886</v>
      </c>
    </row>
    <row r="11">
      <c r="A11" s="2" t="s">
        <v>8</v>
      </c>
      <c r="B11" s="5">
        <v>349.1</v>
      </c>
      <c r="C11" s="5">
        <v>257.0</v>
      </c>
      <c r="D11" s="5">
        <v>268.192</v>
      </c>
      <c r="E11" s="5">
        <v>433.207</v>
      </c>
      <c r="F11" s="5">
        <v>623.907</v>
      </c>
      <c r="G11" s="5">
        <v>485.615</v>
      </c>
      <c r="H11" s="5">
        <v>289.869</v>
      </c>
      <c r="I11" s="5">
        <v>320.784</v>
      </c>
      <c r="J11" s="5">
        <v>339.305</v>
      </c>
      <c r="K11" s="5">
        <v>343.63</v>
      </c>
      <c r="L11" s="5">
        <v>813.216</v>
      </c>
      <c r="M11" s="5">
        <v>934.412</v>
      </c>
      <c r="N11" s="5">
        <v>665.671</v>
      </c>
      <c r="O11" s="5">
        <v>916.894</v>
      </c>
      <c r="P11" s="5">
        <v>780.811</v>
      </c>
    </row>
    <row r="12">
      <c r="A12" s="2" t="s">
        <v>9</v>
      </c>
      <c r="B12" s="5">
        <v>796.729</v>
      </c>
      <c r="C12" s="5">
        <v>926.606</v>
      </c>
      <c r="D12" s="5">
        <v>1029.487</v>
      </c>
      <c r="E12" s="5">
        <v>904.565</v>
      </c>
      <c r="F12" s="5">
        <v>930.043</v>
      </c>
      <c r="G12" s="5">
        <v>1020.766</v>
      </c>
      <c r="H12" s="5">
        <v>1014.459</v>
      </c>
      <c r="I12" s="5">
        <v>996.637</v>
      </c>
      <c r="J12" s="5">
        <v>1161.723</v>
      </c>
      <c r="K12" s="5">
        <v>1239.347</v>
      </c>
      <c r="L12" s="5">
        <v>1327.339</v>
      </c>
      <c r="M12" s="5">
        <v>1488.811</v>
      </c>
      <c r="N12" s="5">
        <v>1637.442</v>
      </c>
      <c r="O12" s="5">
        <v>1683.439</v>
      </c>
      <c r="P12" s="5">
        <v>798.197</v>
      </c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2" t="s">
        <v>10</v>
      </c>
      <c r="B14" s="5">
        <v>103.88</v>
      </c>
      <c r="C14" s="5">
        <v>87.558</v>
      </c>
      <c r="D14" s="5">
        <v>154.165</v>
      </c>
      <c r="E14" s="5">
        <v>178.603</v>
      </c>
      <c r="F14" s="5">
        <v>185.261</v>
      </c>
      <c r="G14" s="5">
        <v>228.501</v>
      </c>
      <c r="H14" s="5">
        <v>224.207</v>
      </c>
      <c r="I14" s="5">
        <v>195.303</v>
      </c>
      <c r="J14" s="5">
        <v>271.293</v>
      </c>
      <c r="K14" s="5">
        <v>314.106</v>
      </c>
      <c r="L14" s="5">
        <v>140.823</v>
      </c>
      <c r="M14" s="5">
        <v>208.242</v>
      </c>
      <c r="N14" s="5">
        <v>306.067</v>
      </c>
      <c r="O14" s="5">
        <v>113.213</v>
      </c>
      <c r="P14" s="5">
        <v>171.136</v>
      </c>
    </row>
    <row r="15">
      <c r="A15" s="2" t="s">
        <v>11</v>
      </c>
      <c r="B15" s="5">
        <v>16.051</v>
      </c>
      <c r="C15" s="5">
        <v>14.688</v>
      </c>
      <c r="D15" s="5">
        <v>40.463</v>
      </c>
      <c r="E15" s="5">
        <v>6.521</v>
      </c>
      <c r="F15" s="5">
        <v>20.603</v>
      </c>
      <c r="G15" s="5">
        <v>15.507</v>
      </c>
      <c r="H15" s="5">
        <v>13.605</v>
      </c>
      <c r="I15" s="5">
        <v>26.385</v>
      </c>
      <c r="J15" s="5">
        <v>17.759</v>
      </c>
      <c r="K15" s="5">
        <v>96.668</v>
      </c>
      <c r="L15" s="5">
        <v>78.039</v>
      </c>
      <c r="M15" s="5">
        <v>174.864</v>
      </c>
      <c r="N15" s="5">
        <v>36.644</v>
      </c>
      <c r="O15" s="5">
        <v>30.072</v>
      </c>
      <c r="P15" s="5">
        <v>39.226</v>
      </c>
    </row>
    <row r="16">
      <c r="A16" s="2" t="s">
        <v>12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</row>
    <row r="17">
      <c r="A17" s="2" t="s">
        <v>13</v>
      </c>
      <c r="B17" s="9">
        <v>31.705</v>
      </c>
      <c r="C17" s="9">
        <v>31.936</v>
      </c>
      <c r="D17" s="9">
        <v>32.386</v>
      </c>
      <c r="E17" s="9">
        <v>29.035</v>
      </c>
      <c r="F17" s="9">
        <v>28.749</v>
      </c>
      <c r="G17" s="9">
        <v>27.891</v>
      </c>
      <c r="H17" s="9">
        <v>27.254</v>
      </c>
      <c r="I17" s="9">
        <v>26.303</v>
      </c>
      <c r="J17" s="9">
        <v>25.322</v>
      </c>
      <c r="K17" s="9">
        <v>25.196</v>
      </c>
      <c r="L17" s="9">
        <v>24.41</v>
      </c>
      <c r="M17" s="9">
        <v>24.09</v>
      </c>
      <c r="N17" s="9">
        <v>23.97</v>
      </c>
      <c r="O17" s="9">
        <v>23.065</v>
      </c>
      <c r="P17" s="9">
        <v>23.002</v>
      </c>
    </row>
    <row r="18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>
      <c r="A19" s="2" t="s">
        <v>14</v>
      </c>
      <c r="B19" s="11">
        <v>0.25</v>
      </c>
      <c r="C19" s="11">
        <v>0.25</v>
      </c>
      <c r="D19" s="11">
        <v>0.25</v>
      </c>
      <c r="E19" s="11">
        <v>0.25</v>
      </c>
      <c r="F19" s="11">
        <v>0.25</v>
      </c>
      <c r="G19" s="11">
        <v>0.25</v>
      </c>
      <c r="H19" s="11">
        <v>0.25</v>
      </c>
      <c r="I19" s="11">
        <v>0.25</v>
      </c>
      <c r="J19" s="11">
        <v>0.25</v>
      </c>
      <c r="K19" s="11">
        <v>0.25</v>
      </c>
      <c r="L19" s="11">
        <v>0.25</v>
      </c>
      <c r="M19" s="11">
        <v>0.25</v>
      </c>
      <c r="N19" s="11">
        <v>0.25</v>
      </c>
      <c r="O19" s="11">
        <v>0.25</v>
      </c>
      <c r="P19" s="11">
        <v>0.25</v>
      </c>
    </row>
    <row r="20">
      <c r="A20" s="2" t="s">
        <v>15</v>
      </c>
      <c r="B20" s="12">
        <f t="shared" ref="B20:P20" si="1">B4*(1-B19)</f>
        <v>104.5395</v>
      </c>
      <c r="C20" s="12">
        <f t="shared" si="1"/>
        <v>111.57975</v>
      </c>
      <c r="D20" s="12">
        <f t="shared" si="1"/>
        <v>87.825</v>
      </c>
      <c r="E20" s="12">
        <f t="shared" si="1"/>
        <v>121.28925</v>
      </c>
      <c r="F20" s="12">
        <f t="shared" si="1"/>
        <v>97.96125</v>
      </c>
      <c r="G20" s="12">
        <f t="shared" si="1"/>
        <v>127.248</v>
      </c>
      <c r="H20" s="12">
        <f t="shared" si="1"/>
        <v>126.7965</v>
      </c>
      <c r="I20" s="12">
        <f t="shared" si="1"/>
        <v>149.53425</v>
      </c>
      <c r="J20" s="12">
        <f t="shared" si="1"/>
        <v>133.68825</v>
      </c>
      <c r="K20" s="12">
        <f t="shared" si="1"/>
        <v>211.116</v>
      </c>
      <c r="L20" s="12">
        <f t="shared" si="1"/>
        <v>204.4125</v>
      </c>
      <c r="M20" s="12">
        <f t="shared" si="1"/>
        <v>158.84325</v>
      </c>
      <c r="N20" s="12">
        <f t="shared" si="1"/>
        <v>195.44175</v>
      </c>
      <c r="O20" s="12">
        <f t="shared" si="1"/>
        <v>107.061</v>
      </c>
      <c r="P20" s="12">
        <f t="shared" si="1"/>
        <v>-586.56075</v>
      </c>
    </row>
    <row r="21">
      <c r="A21" s="2" t="s">
        <v>16</v>
      </c>
      <c r="B21" s="12">
        <f t="shared" ref="B21:D21" si="2">B11+B12-B10</f>
        <v>1123.983</v>
      </c>
      <c r="C21" s="12">
        <f t="shared" si="2"/>
        <v>1170.764</v>
      </c>
      <c r="D21" s="12">
        <f t="shared" si="2"/>
        <v>1227.652</v>
      </c>
      <c r="E21" s="12">
        <f t="shared" ref="E21:F21" si="3">E11+E12-E14</f>
        <v>1159.169</v>
      </c>
      <c r="F21" s="12">
        <f t="shared" si="3"/>
        <v>1368.689</v>
      </c>
      <c r="G21" s="12">
        <f t="shared" ref="G21:P21" si="4">G11+G12-G10</f>
        <v>1482.533</v>
      </c>
      <c r="H21" s="12">
        <f t="shared" si="4"/>
        <v>1283.59</v>
      </c>
      <c r="I21" s="12">
        <f t="shared" si="4"/>
        <v>1305.55</v>
      </c>
      <c r="J21" s="12">
        <f t="shared" si="4"/>
        <v>1476.561</v>
      </c>
      <c r="K21" s="12">
        <f t="shared" si="4"/>
        <v>1537.857</v>
      </c>
      <c r="L21" s="12">
        <f t="shared" si="4"/>
        <v>2107.174</v>
      </c>
      <c r="M21" s="12">
        <f t="shared" si="4"/>
        <v>2394.15</v>
      </c>
      <c r="N21" s="12">
        <f t="shared" si="4"/>
        <v>2284.612</v>
      </c>
      <c r="O21" s="12">
        <f t="shared" si="4"/>
        <v>2581.466</v>
      </c>
      <c r="P21" s="12">
        <f t="shared" si="4"/>
        <v>1560.122</v>
      </c>
    </row>
    <row r="22">
      <c r="A22" s="2" t="s">
        <v>17</v>
      </c>
      <c r="B22" s="12">
        <f t="shared" ref="B22:P22" si="5">B14-B15</f>
        <v>87.829</v>
      </c>
      <c r="C22" s="12">
        <f t="shared" si="5"/>
        <v>72.87</v>
      </c>
      <c r="D22" s="12">
        <f t="shared" si="5"/>
        <v>113.702</v>
      </c>
      <c r="E22" s="12">
        <f t="shared" si="5"/>
        <v>172.082</v>
      </c>
      <c r="F22" s="12">
        <f t="shared" si="5"/>
        <v>164.658</v>
      </c>
      <c r="G22" s="12">
        <f t="shared" si="5"/>
        <v>212.994</v>
      </c>
      <c r="H22" s="12">
        <f t="shared" si="5"/>
        <v>210.602</v>
      </c>
      <c r="I22" s="12">
        <f t="shared" si="5"/>
        <v>168.918</v>
      </c>
      <c r="J22" s="12">
        <f t="shared" si="5"/>
        <v>253.534</v>
      </c>
      <c r="K22" s="12">
        <f t="shared" si="5"/>
        <v>217.438</v>
      </c>
      <c r="L22" s="12">
        <f t="shared" si="5"/>
        <v>62.784</v>
      </c>
      <c r="M22" s="12">
        <f t="shared" si="5"/>
        <v>33.378</v>
      </c>
      <c r="N22" s="12">
        <f t="shared" si="5"/>
        <v>269.423</v>
      </c>
      <c r="O22" s="12">
        <f t="shared" si="5"/>
        <v>83.141</v>
      </c>
      <c r="P22" s="12">
        <f t="shared" si="5"/>
        <v>131.91</v>
      </c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2" t="s">
        <v>18</v>
      </c>
      <c r="B24" s="13">
        <f t="shared" ref="B24:P24" si="6">B20/B21</f>
        <v>0.0930080793</v>
      </c>
      <c r="C24" s="13">
        <f t="shared" si="6"/>
        <v>0.09530507429</v>
      </c>
      <c r="D24" s="13">
        <f t="shared" si="6"/>
        <v>0.07153900291</v>
      </c>
      <c r="E24" s="13">
        <f t="shared" si="6"/>
        <v>0.1046346564</v>
      </c>
      <c r="F24" s="13">
        <f t="shared" si="6"/>
        <v>0.07157305275</v>
      </c>
      <c r="G24" s="13">
        <f t="shared" si="6"/>
        <v>0.08583147896</v>
      </c>
      <c r="H24" s="13">
        <f t="shared" si="6"/>
        <v>0.09878271099</v>
      </c>
      <c r="I24" s="13">
        <f t="shared" si="6"/>
        <v>0.1145373597</v>
      </c>
      <c r="J24" s="13">
        <f t="shared" si="6"/>
        <v>0.09054028245</v>
      </c>
      <c r="K24" s="13">
        <f t="shared" si="6"/>
        <v>0.1372793439</v>
      </c>
      <c r="L24" s="13">
        <f t="shared" si="6"/>
        <v>0.09700788829</v>
      </c>
      <c r="M24" s="13">
        <f t="shared" si="6"/>
        <v>0.06634640687</v>
      </c>
      <c r="N24" s="13">
        <f t="shared" si="6"/>
        <v>0.08554702068</v>
      </c>
      <c r="O24" s="13">
        <f t="shared" si="6"/>
        <v>0.04147294599</v>
      </c>
      <c r="P24" s="13">
        <f t="shared" si="6"/>
        <v>-0.3759710779</v>
      </c>
    </row>
    <row r="25">
      <c r="A25" s="2" t="s">
        <v>19</v>
      </c>
      <c r="B25" s="13">
        <f t="shared" ref="B25:P25" si="7">B4/B3</f>
        <v>0.117956191</v>
      </c>
      <c r="C25" s="13">
        <f t="shared" si="7"/>
        <v>0.1154834067</v>
      </c>
      <c r="D25" s="13">
        <f t="shared" si="7"/>
        <v>0.0889038707</v>
      </c>
      <c r="E25" s="13">
        <f t="shared" si="7"/>
        <v>0.1119061179</v>
      </c>
      <c r="F25" s="13">
        <f t="shared" si="7"/>
        <v>0.08450211263</v>
      </c>
      <c r="G25" s="13">
        <f t="shared" si="7"/>
        <v>0.1206134177</v>
      </c>
      <c r="H25" s="13">
        <f t="shared" si="7"/>
        <v>0.1134836989</v>
      </c>
      <c r="I25" s="13">
        <f t="shared" si="7"/>
        <v>0.1274678723</v>
      </c>
      <c r="J25" s="13">
        <f t="shared" si="7"/>
        <v>0.1043971297</v>
      </c>
      <c r="K25" s="13">
        <f t="shared" si="7"/>
        <v>0.1341186078</v>
      </c>
      <c r="L25" s="13">
        <f t="shared" si="7"/>
        <v>0.1225850123</v>
      </c>
      <c r="M25" s="13">
        <f t="shared" si="7"/>
        <v>0.1021828398</v>
      </c>
      <c r="N25" s="13">
        <f t="shared" si="7"/>
        <v>0.129966335</v>
      </c>
      <c r="O25" s="13">
        <f t="shared" si="7"/>
        <v>0.07482904404</v>
      </c>
      <c r="P25" s="13">
        <f t="shared" si="7"/>
        <v>-0.4378242055</v>
      </c>
    </row>
    <row r="26">
      <c r="A26" s="2" t="s">
        <v>20</v>
      </c>
      <c r="B26" s="13">
        <f t="shared" ref="B26:P26" si="8">B11/B12</f>
        <v>0.4381665535</v>
      </c>
      <c r="C26" s="13">
        <f t="shared" si="8"/>
        <v>0.2773562874</v>
      </c>
      <c r="D26" s="13">
        <f t="shared" si="8"/>
        <v>0.2605103318</v>
      </c>
      <c r="E26" s="13">
        <f t="shared" si="8"/>
        <v>0.4789119632</v>
      </c>
      <c r="F26" s="13">
        <f t="shared" si="8"/>
        <v>0.6708367248</v>
      </c>
      <c r="G26" s="13">
        <f t="shared" si="8"/>
        <v>0.4757358689</v>
      </c>
      <c r="H26" s="13">
        <f t="shared" si="8"/>
        <v>0.2857375212</v>
      </c>
      <c r="I26" s="13">
        <f t="shared" si="8"/>
        <v>0.3218664368</v>
      </c>
      <c r="J26" s="13">
        <f t="shared" si="8"/>
        <v>0.292070485</v>
      </c>
      <c r="K26" s="13">
        <f t="shared" si="8"/>
        <v>0.2772669801</v>
      </c>
      <c r="L26" s="13">
        <f t="shared" si="8"/>
        <v>0.6126663949</v>
      </c>
      <c r="M26" s="13">
        <f t="shared" si="8"/>
        <v>0.6276229824</v>
      </c>
      <c r="N26" s="13">
        <f t="shared" si="8"/>
        <v>0.4065310405</v>
      </c>
      <c r="O26" s="13">
        <f t="shared" si="8"/>
        <v>0.5446553157</v>
      </c>
      <c r="P26" s="13">
        <f t="shared" si="8"/>
        <v>0.9782184097</v>
      </c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2" t="s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14" t="s">
        <v>22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>
      <c r="A31" s="1" t="s">
        <v>23</v>
      </c>
      <c r="B31" s="3">
        <v>2012.0</v>
      </c>
      <c r="C31" s="3">
        <v>2013.0</v>
      </c>
      <c r="D31" s="3">
        <v>2014.0</v>
      </c>
      <c r="E31" s="3">
        <v>2015.0</v>
      </c>
      <c r="F31" s="3">
        <v>2016.0</v>
      </c>
      <c r="G31" s="3">
        <v>2017.0</v>
      </c>
      <c r="H31" s="3">
        <v>2018.0</v>
      </c>
      <c r="I31" s="3">
        <v>2019.0</v>
      </c>
      <c r="J31" s="3">
        <v>2020.0</v>
      </c>
      <c r="K31" s="3">
        <v>2021.0</v>
      </c>
      <c r="L31" s="3">
        <v>2022.0</v>
      </c>
      <c r="M31" s="3">
        <v>2023.0</v>
      </c>
      <c r="N31" s="3">
        <v>2024.0</v>
      </c>
      <c r="O31" s="6"/>
      <c r="P31" s="6"/>
    </row>
    <row r="32">
      <c r="A32" s="2" t="s">
        <v>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4"/>
      <c r="N32" s="4"/>
      <c r="O32" s="6"/>
      <c r="P32" s="6"/>
    </row>
    <row r="33">
      <c r="A33" s="2" t="s">
        <v>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4"/>
      <c r="N33" s="4"/>
      <c r="O33" s="6"/>
      <c r="P33" s="6"/>
    </row>
    <row r="34">
      <c r="A34" s="2" t="s">
        <v>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4"/>
      <c r="N34" s="4"/>
      <c r="O34" s="6"/>
      <c r="P34" s="6"/>
    </row>
    <row r="35">
      <c r="A35" s="2" t="s">
        <v>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4"/>
      <c r="N35" s="4"/>
      <c r="O35" s="6"/>
      <c r="P35" s="6"/>
    </row>
    <row r="36">
      <c r="A36" s="2" t="s">
        <v>24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4"/>
      <c r="N36" s="4"/>
      <c r="O36" s="6"/>
      <c r="P36" s="6"/>
    </row>
    <row r="37">
      <c r="A37" s="2" t="s">
        <v>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4"/>
      <c r="N37" s="4"/>
      <c r="O37" s="6"/>
      <c r="P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>
      <c r="A39" s="2" t="s">
        <v>18</v>
      </c>
      <c r="B39" s="13" t="str">
        <f t="shared" ref="B39:N39" si="9">(B32*(1-(B34/B33)))/(B36+B37-B35)</f>
        <v>#DIV/0!</v>
      </c>
      <c r="C39" s="13" t="str">
        <f t="shared" si="9"/>
        <v>#DIV/0!</v>
      </c>
      <c r="D39" s="13" t="str">
        <f t="shared" si="9"/>
        <v>#DIV/0!</v>
      </c>
      <c r="E39" s="13" t="str">
        <f t="shared" si="9"/>
        <v>#DIV/0!</v>
      </c>
      <c r="F39" s="13" t="str">
        <f t="shared" si="9"/>
        <v>#DIV/0!</v>
      </c>
      <c r="G39" s="13" t="str">
        <f t="shared" si="9"/>
        <v>#DIV/0!</v>
      </c>
      <c r="H39" s="13" t="str">
        <f t="shared" si="9"/>
        <v>#DIV/0!</v>
      </c>
      <c r="I39" s="13" t="str">
        <f t="shared" si="9"/>
        <v>#DIV/0!</v>
      </c>
      <c r="J39" s="13" t="str">
        <f t="shared" si="9"/>
        <v>#DIV/0!</v>
      </c>
      <c r="K39" s="13" t="str">
        <f t="shared" si="9"/>
        <v>#DIV/0!</v>
      </c>
      <c r="L39" s="13" t="str">
        <f t="shared" si="9"/>
        <v>#DIV/0!</v>
      </c>
      <c r="M39" s="13" t="str">
        <f t="shared" si="9"/>
        <v>#DIV/0!</v>
      </c>
      <c r="N39" s="13" t="str">
        <f t="shared" si="9"/>
        <v>#DIV/0!</v>
      </c>
      <c r="O39" s="6"/>
      <c r="P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>
      <c r="A41" s="1" t="s">
        <v>23</v>
      </c>
      <c r="B41" s="3">
        <v>2012.0</v>
      </c>
      <c r="C41" s="3">
        <v>2013.0</v>
      </c>
      <c r="D41" s="3">
        <v>2014.0</v>
      </c>
      <c r="E41" s="3">
        <v>2015.0</v>
      </c>
      <c r="F41" s="3">
        <v>2016.0</v>
      </c>
      <c r="G41" s="3">
        <v>2017.0</v>
      </c>
      <c r="H41" s="3">
        <v>2018.0</v>
      </c>
      <c r="I41" s="3">
        <v>2019.0</v>
      </c>
      <c r="J41" s="3">
        <v>2020.0</v>
      </c>
      <c r="K41" s="3">
        <v>2021.0</v>
      </c>
      <c r="L41" s="3">
        <v>2022.0</v>
      </c>
      <c r="M41" s="3">
        <v>2023.0</v>
      </c>
      <c r="N41" s="3">
        <v>2024.0</v>
      </c>
      <c r="O41" s="6"/>
      <c r="P41" s="6"/>
    </row>
    <row r="42">
      <c r="A42" s="2" t="s">
        <v>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4"/>
      <c r="M42" s="4"/>
      <c r="N42" s="4"/>
      <c r="O42" s="6"/>
      <c r="P42" s="6"/>
    </row>
    <row r="43">
      <c r="A43" s="2" t="s">
        <v>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4"/>
      <c r="M43" s="4"/>
      <c r="N43" s="4"/>
      <c r="O43" s="6"/>
      <c r="P43" s="6"/>
    </row>
    <row r="44">
      <c r="A44" s="2" t="s">
        <v>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4"/>
      <c r="M44" s="4"/>
      <c r="N44" s="4"/>
      <c r="O44" s="6"/>
      <c r="P44" s="6"/>
    </row>
    <row r="45">
      <c r="A45" s="2" t="s">
        <v>7</v>
      </c>
      <c r="B45" s="6"/>
      <c r="C45" s="6"/>
      <c r="D45" s="6"/>
      <c r="E45" s="6"/>
      <c r="F45" s="6"/>
      <c r="G45" s="6"/>
      <c r="H45" s="6"/>
      <c r="I45" s="6"/>
      <c r="J45" s="6"/>
      <c r="K45" s="4"/>
      <c r="L45" s="4"/>
      <c r="M45" s="4"/>
      <c r="N45" s="4"/>
      <c r="O45" s="6"/>
      <c r="P45" s="6"/>
    </row>
    <row r="46">
      <c r="A46" s="2" t="s">
        <v>24</v>
      </c>
      <c r="B46" s="6"/>
      <c r="C46" s="6"/>
      <c r="D46" s="6"/>
      <c r="E46" s="6"/>
      <c r="F46" s="6"/>
      <c r="G46" s="6"/>
      <c r="H46" s="6"/>
      <c r="I46" s="6"/>
      <c r="J46" s="6"/>
      <c r="K46" s="4"/>
      <c r="L46" s="4"/>
      <c r="M46" s="4"/>
      <c r="N46" s="4"/>
      <c r="O46" s="6"/>
      <c r="P46" s="6"/>
    </row>
    <row r="47">
      <c r="A47" s="16" t="s">
        <v>9</v>
      </c>
      <c r="B47" s="17"/>
      <c r="C47" s="17"/>
      <c r="D47" s="17"/>
      <c r="E47" s="17"/>
      <c r="F47" s="17"/>
      <c r="G47" s="17"/>
      <c r="H47" s="17"/>
      <c r="I47" s="17"/>
      <c r="J47" s="17"/>
      <c r="K47" s="18"/>
      <c r="L47" s="18"/>
      <c r="M47" s="18"/>
      <c r="N47" s="18"/>
      <c r="O47" s="17"/>
      <c r="P47" s="17"/>
    </row>
    <row r="48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>
      <c r="A49" s="16" t="s">
        <v>18</v>
      </c>
      <c r="B49" s="20" t="str">
        <f t="shared" ref="B49:N49" si="10">(B42*(1-(B44/B43)))/(B46+B47-B45)</f>
        <v>#DIV/0!</v>
      </c>
      <c r="C49" s="20" t="str">
        <f t="shared" si="10"/>
        <v>#DIV/0!</v>
      </c>
      <c r="D49" s="20" t="str">
        <f t="shared" si="10"/>
        <v>#DIV/0!</v>
      </c>
      <c r="E49" s="20" t="str">
        <f t="shared" si="10"/>
        <v>#DIV/0!</v>
      </c>
      <c r="F49" s="20" t="str">
        <f t="shared" si="10"/>
        <v>#DIV/0!</v>
      </c>
      <c r="G49" s="20" t="str">
        <f t="shared" si="10"/>
        <v>#DIV/0!</v>
      </c>
      <c r="H49" s="20" t="str">
        <f t="shared" si="10"/>
        <v>#DIV/0!</v>
      </c>
      <c r="I49" s="20" t="str">
        <f t="shared" si="10"/>
        <v>#DIV/0!</v>
      </c>
      <c r="J49" s="20" t="str">
        <f t="shared" si="10"/>
        <v>#DIV/0!</v>
      </c>
      <c r="K49" s="20" t="str">
        <f t="shared" si="10"/>
        <v>#DIV/0!</v>
      </c>
      <c r="L49" s="20" t="str">
        <f t="shared" si="10"/>
        <v>#DIV/0!</v>
      </c>
      <c r="M49" s="20" t="str">
        <f t="shared" si="10"/>
        <v>#DIV/0!</v>
      </c>
      <c r="N49" s="20" t="str">
        <f t="shared" si="10"/>
        <v>#DIV/0!</v>
      </c>
      <c r="O49" s="17"/>
      <c r="P49" s="17"/>
    </row>
    <row r="50">
      <c r="B50" s="6"/>
      <c r="C50" s="6"/>
      <c r="D50" s="6"/>
      <c r="E50" s="6"/>
      <c r="F50" s="6"/>
      <c r="G50" s="6"/>
      <c r="H50" s="6"/>
      <c r="I50" s="6"/>
      <c r="J50" s="6"/>
      <c r="K50" s="13"/>
      <c r="L50" s="13"/>
      <c r="M50" s="13"/>
      <c r="N50" s="13"/>
      <c r="O50" s="6"/>
      <c r="P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</sheetData>
  <drawing r:id="rId1"/>
</worksheet>
</file>