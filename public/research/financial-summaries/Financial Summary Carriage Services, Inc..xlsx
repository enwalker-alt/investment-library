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<sst xmlns="http://schemas.openxmlformats.org/spreadsheetml/2006/main" count="37" uniqueCount="23">
  <si>
    <t>Carriage Services, Inc.</t>
  </si>
  <si>
    <t>Revenue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</si>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</sst>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9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13" width="15.88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  <c r="M1" s="2">
        <v>2025.0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A3" s="5" t="s">
        <v>1</v>
      </c>
      <c r="B3" s="3">
        <v>2.26124E8</v>
      </c>
      <c r="C3" s="3">
        <v>2.42502E8</v>
      </c>
      <c r="D3" s="3">
        <v>2.482E8</v>
      </c>
      <c r="E3" s="3">
        <v>2.58139E8</v>
      </c>
      <c r="F3" s="3">
        <v>2.67992E8</v>
      </c>
      <c r="G3" s="3">
        <v>2.74107E8</v>
      </c>
      <c r="H3" s="3">
        <v>3.29448E8</v>
      </c>
      <c r="I3" s="3">
        <v>3.75886E8</v>
      </c>
      <c r="J3" s="3">
        <v>3.70174E8</v>
      </c>
      <c r="K3" s="3">
        <v>3.8252E8</v>
      </c>
      <c r="L3" s="3">
        <v>4.04198E8</v>
      </c>
      <c r="M3" s="3">
        <v>4.1744E8</v>
      </c>
    </row>
    <row r="4">
      <c r="A4" s="5" t="s">
        <v>2</v>
      </c>
      <c r="B4" s="3">
        <v>3.9715E7</v>
      </c>
      <c r="C4" s="3">
        <v>4.8648E7</v>
      </c>
      <c r="D4" s="3">
        <v>5.0204E7</v>
      </c>
      <c r="E4" s="3">
        <v>4.8941E7</v>
      </c>
      <c r="F4" s="3">
        <v>4.3307E7</v>
      </c>
      <c r="G4" s="3">
        <v>5.2289E7</v>
      </c>
      <c r="H4" s="3">
        <v>5.7227E7</v>
      </c>
      <c r="I4" s="3">
        <v>9.366E7</v>
      </c>
      <c r="J4" s="3">
        <v>7.9726E7</v>
      </c>
      <c r="K4" s="3">
        <v>8.0979E7</v>
      </c>
      <c r="L4" s="3">
        <v>8.1799E7</v>
      </c>
      <c r="M4" s="3">
        <v>9.7657E7</v>
      </c>
    </row>
    <row r="5">
      <c r="A5" s="5" t="s">
        <v>3</v>
      </c>
      <c r="B5" s="3">
        <v>2.2701E7</v>
      </c>
      <c r="C5" s="3">
        <v>3.459E7</v>
      </c>
      <c r="D5" s="3">
        <v>3.2241E7</v>
      </c>
      <c r="E5" s="3">
        <v>3.2782E7</v>
      </c>
      <c r="F5" s="3">
        <v>1.8266E7</v>
      </c>
      <c r="G5" s="3">
        <v>2.2416E7</v>
      </c>
      <c r="H5" s="3">
        <v>2.4642E7</v>
      </c>
      <c r="I5" s="3">
        <v>4.4304E7</v>
      </c>
      <c r="J5" s="3">
        <v>5.7194E7</v>
      </c>
      <c r="K5" s="3">
        <v>4.6429E7</v>
      </c>
      <c r="L5" s="3">
        <v>5.008E7</v>
      </c>
      <c r="M5" s="3">
        <v>7.0263E7</v>
      </c>
    </row>
    <row r="6">
      <c r="A6" s="5" t="s">
        <v>4</v>
      </c>
      <c r="B6" s="3">
        <v>8995000.0</v>
      </c>
      <c r="C6" s="3">
        <v>1.3737E7</v>
      </c>
      <c r="D6" s="3">
        <v>1.266E7</v>
      </c>
      <c r="E6" s="3">
        <v>-4411000.0</v>
      </c>
      <c r="F6" s="3">
        <v>5754000.0</v>
      </c>
      <c r="G6" s="3">
        <v>7395000.0</v>
      </c>
      <c r="H6" s="3">
        <v>8552000.0</v>
      </c>
      <c r="I6" s="3">
        <v>1.1145E7</v>
      </c>
      <c r="J6" s="3">
        <v>1.5813E7</v>
      </c>
      <c r="K6" s="3">
        <v>1.3016E7</v>
      </c>
      <c r="L6" s="3">
        <v>1.7127E7</v>
      </c>
      <c r="M6" s="3">
        <v>1.8756E7</v>
      </c>
    </row>
    <row r="7">
      <c r="A7" s="5" t="s">
        <v>5</v>
      </c>
      <c r="B7" s="3">
        <v>1.5838E7</v>
      </c>
      <c r="C7" s="3">
        <v>2.0853E7</v>
      </c>
      <c r="D7" s="3">
        <v>1.9581E7</v>
      </c>
      <c r="E7" s="3">
        <v>3.7193E7</v>
      </c>
      <c r="F7" s="3">
        <v>1.1645E7</v>
      </c>
      <c r="G7" s="3">
        <v>1.4533E7</v>
      </c>
      <c r="H7" s="3">
        <v>1.609E7</v>
      </c>
      <c r="I7" s="3">
        <v>3.3159E7</v>
      </c>
      <c r="J7" s="3">
        <v>4.1381E7</v>
      </c>
      <c r="K7" s="3">
        <v>3.3413E7</v>
      </c>
      <c r="L7" s="3">
        <v>3.2953E7</v>
      </c>
      <c r="M7" s="3">
        <v>5.1507E7</v>
      </c>
    </row>
    <row r="8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5" t="s">
        <v>6</v>
      </c>
      <c r="B10" s="3">
        <v>413000.0</v>
      </c>
      <c r="C10" s="3">
        <v>535000.0</v>
      </c>
      <c r="D10" s="3">
        <v>3286000.0</v>
      </c>
      <c r="E10" s="3">
        <v>952000.0</v>
      </c>
      <c r="F10" s="3">
        <v>644000.0</v>
      </c>
      <c r="G10" s="3">
        <v>716000.0</v>
      </c>
      <c r="H10" s="3">
        <v>889000.0</v>
      </c>
      <c r="I10" s="3">
        <v>1148000.0</v>
      </c>
      <c r="J10" s="3">
        <v>1170000.0</v>
      </c>
      <c r="K10" s="3">
        <v>1.5823E7</v>
      </c>
      <c r="L10" s="3">
        <v>1165000.0</v>
      </c>
      <c r="M10" s="3">
        <v>1688000.0</v>
      </c>
    </row>
    <row r="11">
      <c r="A11" s="5" t="s">
        <v>7</v>
      </c>
      <c r="B11" s="3">
        <v>2.76767E8</v>
      </c>
      <c r="C11" s="3">
        <v>3.26686E8</v>
      </c>
      <c r="D11" s="3">
        <v>3.37267E8</v>
      </c>
      <c r="E11" s="3">
        <v>3.53846E8</v>
      </c>
      <c r="F11" s="3">
        <v>3.6638E8</v>
      </c>
      <c r="G11" s="3">
        <v>4.90854E8</v>
      </c>
      <c r="H11" s="3">
        <v>4.58015E8</v>
      </c>
      <c r="I11" s="3">
        <v>5.60412E8</v>
      </c>
      <c r="J11" s="3">
        <v>5.95432E8</v>
      </c>
      <c r="K11" s="3">
        <v>5.88833E8</v>
      </c>
      <c r="L11" s="3">
        <v>5.46833E8</v>
      </c>
      <c r="M11" s="3">
        <v>5.4197E8</v>
      </c>
    </row>
    <row r="12">
      <c r="A12" s="5" t="s">
        <v>8</v>
      </c>
      <c r="B12" s="3">
        <v>1.79875E8</v>
      </c>
      <c r="C12" s="3">
        <v>1.57594E8</v>
      </c>
      <c r="D12" s="3">
        <v>1.75734E8</v>
      </c>
      <c r="E12" s="3">
        <v>1.97656E8</v>
      </c>
      <c r="F12" s="3">
        <v>2.21492E8</v>
      </c>
      <c r="G12" s="3">
        <v>2.26569E8</v>
      </c>
      <c r="H12" s="3">
        <v>2.40502E8</v>
      </c>
      <c r="I12" s="3">
        <v>1.28015E8</v>
      </c>
      <c r="J12" s="3">
        <v>1.37134E8</v>
      </c>
      <c r="K12" s="3">
        <v>1.7306E8</v>
      </c>
      <c r="L12" s="3">
        <v>2.0855E8</v>
      </c>
      <c r="M12" s="3">
        <v>2.54776E8</v>
      </c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5" t="s">
        <v>9</v>
      </c>
      <c r="B14" s="3">
        <v>3.6565E7</v>
      </c>
      <c r="C14" s="3">
        <v>4.9904E7</v>
      </c>
      <c r="D14" s="3">
        <v>5.0035E7</v>
      </c>
      <c r="E14" s="3">
        <v>4.523E7</v>
      </c>
      <c r="F14" s="3">
        <v>4.8994E7</v>
      </c>
      <c r="G14" s="3">
        <v>4.3216E7</v>
      </c>
      <c r="H14" s="3">
        <v>8.2915E7</v>
      </c>
      <c r="I14" s="3">
        <v>8.4246E7</v>
      </c>
      <c r="J14" s="3">
        <v>6.1024E7</v>
      </c>
      <c r="K14" s="3">
        <v>7.559E7</v>
      </c>
      <c r="L14" s="3">
        <v>5.1996E7</v>
      </c>
      <c r="M14" s="3">
        <v>6.0693E7</v>
      </c>
    </row>
    <row r="15">
      <c r="A15" s="5" t="s">
        <v>10</v>
      </c>
      <c r="B15" s="3">
        <v>1.6075E7</v>
      </c>
      <c r="C15" s="3">
        <v>1.9744E7</v>
      </c>
      <c r="D15" s="3">
        <v>1.6846E7</v>
      </c>
      <c r="E15" s="3">
        <v>1.6395E7</v>
      </c>
      <c r="F15" s="3">
        <v>1.3526E7</v>
      </c>
      <c r="G15" s="3">
        <v>1.5379E7</v>
      </c>
      <c r="H15" s="3">
        <v>1.5198E7</v>
      </c>
      <c r="I15" s="3">
        <v>2.4883E7</v>
      </c>
      <c r="J15" s="3">
        <v>2.6081E7</v>
      </c>
      <c r="K15" s="3">
        <v>1.8039E7</v>
      </c>
      <c r="L15" s="3">
        <v>1.6098E7</v>
      </c>
      <c r="M15" s="3">
        <v>2.0628E7</v>
      </c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5" t="s">
        <v>11</v>
      </c>
      <c r="B17" s="7">
        <v>1.8257E7</v>
      </c>
      <c r="C17" s="7">
        <v>1.8313E7</v>
      </c>
      <c r="D17" s="7">
        <v>1.746E7</v>
      </c>
      <c r="E17" s="7">
        <v>1.7715E7</v>
      </c>
      <c r="F17" s="7">
        <v>1.8374E7</v>
      </c>
      <c r="G17" s="7">
        <v>1.8005E7</v>
      </c>
      <c r="H17" s="7">
        <v>1.8077E7</v>
      </c>
      <c r="I17" s="7">
        <v>1.8266E7</v>
      </c>
      <c r="J17" s="7">
        <v>1.571E7</v>
      </c>
      <c r="K17" s="7">
        <v>1.5455E7</v>
      </c>
      <c r="L17" s="7">
        <v>1.5443E7</v>
      </c>
      <c r="M17" s="7">
        <v>1.5634E7</v>
      </c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>
      <c r="A19" s="5" t="s">
        <v>12</v>
      </c>
      <c r="B19" s="9">
        <v>0.25</v>
      </c>
      <c r="C19" s="9">
        <v>0.25</v>
      </c>
      <c r="D19" s="9">
        <v>0.25</v>
      </c>
      <c r="E19" s="9">
        <v>0.25</v>
      </c>
      <c r="F19" s="9">
        <v>0.25</v>
      </c>
      <c r="G19" s="9">
        <v>0.25</v>
      </c>
      <c r="H19" s="9">
        <v>0.25</v>
      </c>
      <c r="I19" s="9">
        <v>0.25</v>
      </c>
      <c r="J19" s="9">
        <v>0.25</v>
      </c>
      <c r="K19" s="9">
        <v>0.25</v>
      </c>
      <c r="L19" s="9">
        <v>0.25</v>
      </c>
      <c r="M19" s="9">
        <v>0.25</v>
      </c>
    </row>
    <row r="20">
      <c r="A20" s="5" t="s">
        <v>13</v>
      </c>
      <c r="B20" s="8">
        <f t="shared" ref="B20:M20" si="1">B4*(1-B19)</f>
        <v>29786250</v>
      </c>
      <c r="C20" s="8">
        <f t="shared" si="1"/>
        <v>36486000</v>
      </c>
      <c r="D20" s="8">
        <f t="shared" si="1"/>
        <v>37653000</v>
      </c>
      <c r="E20" s="8">
        <f t="shared" si="1"/>
        <v>36705750</v>
      </c>
      <c r="F20" s="8">
        <f t="shared" si="1"/>
        <v>32480250</v>
      </c>
      <c r="G20" s="8">
        <f t="shared" si="1"/>
        <v>39216750</v>
      </c>
      <c r="H20" s="8">
        <f t="shared" si="1"/>
        <v>42920250</v>
      </c>
      <c r="I20" s="8">
        <f t="shared" si="1"/>
        <v>70245000</v>
      </c>
      <c r="J20" s="8">
        <f t="shared" si="1"/>
        <v>59794500</v>
      </c>
      <c r="K20" s="8">
        <f t="shared" si="1"/>
        <v>60734250</v>
      </c>
      <c r="L20" s="8">
        <f t="shared" si="1"/>
        <v>61349250</v>
      </c>
      <c r="M20" s="8">
        <f t="shared" si="1"/>
        <v>73242750</v>
      </c>
    </row>
    <row r="21">
      <c r="A21" s="5" t="s">
        <v>14</v>
      </c>
      <c r="B21" s="8">
        <f t="shared" ref="B21:M21" si="2">B11+B12-B10</f>
        <v>456229000</v>
      </c>
      <c r="C21" s="8">
        <f t="shared" si="2"/>
        <v>483745000</v>
      </c>
      <c r="D21" s="8">
        <f t="shared" si="2"/>
        <v>509715000</v>
      </c>
      <c r="E21" s="8">
        <f t="shared" si="2"/>
        <v>550550000</v>
      </c>
      <c r="F21" s="8">
        <f t="shared" si="2"/>
        <v>587228000</v>
      </c>
      <c r="G21" s="8">
        <f t="shared" si="2"/>
        <v>716707000</v>
      </c>
      <c r="H21" s="8">
        <f t="shared" si="2"/>
        <v>697628000</v>
      </c>
      <c r="I21" s="8">
        <f t="shared" si="2"/>
        <v>687279000</v>
      </c>
      <c r="J21" s="8">
        <f t="shared" si="2"/>
        <v>731396000</v>
      </c>
      <c r="K21" s="8">
        <f t="shared" si="2"/>
        <v>746070000</v>
      </c>
      <c r="L21" s="8">
        <f t="shared" si="2"/>
        <v>754218000</v>
      </c>
      <c r="M21" s="8">
        <f t="shared" si="2"/>
        <v>795058000</v>
      </c>
    </row>
    <row r="22">
      <c r="A22" s="5" t="s">
        <v>15</v>
      </c>
      <c r="B22" s="8">
        <f t="shared" ref="B22:M22" si="3">B14-B15</f>
        <v>20490000</v>
      </c>
      <c r="C22" s="8">
        <f t="shared" si="3"/>
        <v>30160000</v>
      </c>
      <c r="D22" s="8">
        <f t="shared" si="3"/>
        <v>33189000</v>
      </c>
      <c r="E22" s="8">
        <f t="shared" si="3"/>
        <v>28835000</v>
      </c>
      <c r="F22" s="8">
        <f t="shared" si="3"/>
        <v>35468000</v>
      </c>
      <c r="G22" s="8">
        <f t="shared" si="3"/>
        <v>27837000</v>
      </c>
      <c r="H22" s="8">
        <f t="shared" si="3"/>
        <v>67717000</v>
      </c>
      <c r="I22" s="8">
        <f t="shared" si="3"/>
        <v>59363000</v>
      </c>
      <c r="J22" s="8">
        <f t="shared" si="3"/>
        <v>34943000</v>
      </c>
      <c r="K22" s="8">
        <f t="shared" si="3"/>
        <v>57551000</v>
      </c>
      <c r="L22" s="8">
        <f t="shared" si="3"/>
        <v>35898000</v>
      </c>
      <c r="M22" s="8">
        <f t="shared" si="3"/>
        <v>40065000</v>
      </c>
    </row>
    <row r="2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5" t="s">
        <v>16</v>
      </c>
      <c r="B24" s="6">
        <f t="shared" ref="B24:M24" si="4">B20/B21</f>
        <v>0.06528793654</v>
      </c>
      <c r="C24" s="6">
        <f t="shared" si="4"/>
        <v>0.07542403539</v>
      </c>
      <c r="D24" s="6">
        <f t="shared" si="4"/>
        <v>0.07387069245</v>
      </c>
      <c r="E24" s="6">
        <f t="shared" si="4"/>
        <v>0.06667105622</v>
      </c>
      <c r="F24" s="6">
        <f t="shared" si="4"/>
        <v>0.0553111398</v>
      </c>
      <c r="G24" s="6">
        <f t="shared" si="4"/>
        <v>0.05471796704</v>
      </c>
      <c r="H24" s="6">
        <f t="shared" si="4"/>
        <v>0.06152311834</v>
      </c>
      <c r="I24" s="6">
        <f t="shared" si="4"/>
        <v>0.1022074005</v>
      </c>
      <c r="J24" s="6">
        <f t="shared" si="4"/>
        <v>0.08175393357</v>
      </c>
      <c r="K24" s="6">
        <f t="shared" si="4"/>
        <v>0.08140556516</v>
      </c>
      <c r="L24" s="6">
        <f t="shared" si="4"/>
        <v>0.08134153521</v>
      </c>
      <c r="M24" s="6">
        <f t="shared" si="4"/>
        <v>0.09212252439</v>
      </c>
    </row>
    <row r="25">
      <c r="A25" s="5" t="s">
        <v>17</v>
      </c>
      <c r="B25" s="6">
        <f t="shared" ref="B25:M25" si="5">B4/B3</f>
        <v>0.1756337231</v>
      </c>
      <c r="C25" s="6">
        <f t="shared" si="5"/>
        <v>0.2006086548</v>
      </c>
      <c r="D25" s="6">
        <f t="shared" si="5"/>
        <v>0.202272361</v>
      </c>
      <c r="E25" s="6">
        <f t="shared" si="5"/>
        <v>0.1895916541</v>
      </c>
      <c r="F25" s="6">
        <f t="shared" si="5"/>
        <v>0.1615981074</v>
      </c>
      <c r="G25" s="6">
        <f t="shared" si="5"/>
        <v>0.1907612721</v>
      </c>
      <c r="H25" s="6">
        <f t="shared" si="5"/>
        <v>0.1737057138</v>
      </c>
      <c r="I25" s="6">
        <f t="shared" si="5"/>
        <v>0.2491712913</v>
      </c>
      <c r="J25" s="6">
        <f t="shared" si="5"/>
        <v>0.2153743915</v>
      </c>
      <c r="K25" s="6">
        <f t="shared" si="5"/>
        <v>0.2116987347</v>
      </c>
      <c r="L25" s="6">
        <f t="shared" si="5"/>
        <v>0.2023735892</v>
      </c>
      <c r="M25" s="6">
        <f t="shared" si="5"/>
        <v>0.2339426025</v>
      </c>
    </row>
    <row r="26">
      <c r="A26" s="5" t="s">
        <v>18</v>
      </c>
      <c r="B26" s="6">
        <f t="shared" ref="B26:M26" si="6">B11/B12</f>
        <v>1.53866296</v>
      </c>
      <c r="C26" s="6">
        <f t="shared" si="6"/>
        <v>2.07295963</v>
      </c>
      <c r="D26" s="6">
        <f t="shared" si="6"/>
        <v>1.919190367</v>
      </c>
      <c r="E26" s="6">
        <f t="shared" si="6"/>
        <v>1.790211276</v>
      </c>
      <c r="F26" s="6">
        <f t="shared" si="6"/>
        <v>1.654145522</v>
      </c>
      <c r="G26" s="6">
        <f t="shared" si="6"/>
        <v>2.166465845</v>
      </c>
      <c r="H26" s="6">
        <f t="shared" si="6"/>
        <v>1.904412437</v>
      </c>
      <c r="I26" s="6">
        <f t="shared" si="6"/>
        <v>4.377705738</v>
      </c>
      <c r="J26" s="6">
        <f t="shared" si="6"/>
        <v>4.341972086</v>
      </c>
      <c r="K26" s="6">
        <f t="shared" si="6"/>
        <v>3.402478909</v>
      </c>
      <c r="L26" s="6">
        <f t="shared" si="6"/>
        <v>2.622071446</v>
      </c>
      <c r="M26" s="6">
        <f t="shared" si="6"/>
        <v>2.127241184</v>
      </c>
    </row>
    <row r="27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5" t="s">
        <v>19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10" t="s">
        <v>20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1" t="s">
        <v>21</v>
      </c>
      <c r="B31" s="2">
        <v>2014.0</v>
      </c>
      <c r="C31" s="2">
        <v>2015.0</v>
      </c>
      <c r="D31" s="2">
        <v>2016.0</v>
      </c>
      <c r="E31" s="2">
        <v>2017.0</v>
      </c>
      <c r="F31" s="2">
        <v>2018.0</v>
      </c>
      <c r="G31" s="2">
        <v>2019.0</v>
      </c>
      <c r="H31" s="2">
        <v>2020.0</v>
      </c>
      <c r="I31" s="2">
        <v>2021.0</v>
      </c>
      <c r="J31" s="2">
        <v>2022.0</v>
      </c>
      <c r="K31" s="2">
        <v>2023.0</v>
      </c>
      <c r="L31" s="2">
        <v>2024.0</v>
      </c>
      <c r="M31" s="4"/>
    </row>
    <row r="32">
      <c r="A32" s="5" t="s">
        <v>2</v>
      </c>
      <c r="B32" s="11"/>
      <c r="C32" s="11"/>
      <c r="D32" s="11"/>
      <c r="E32" s="11"/>
      <c r="F32" s="11"/>
      <c r="G32" s="11"/>
      <c r="H32" s="11"/>
      <c r="I32" s="11"/>
      <c r="J32" s="11"/>
      <c r="K32" s="3"/>
      <c r="L32" s="3"/>
      <c r="M32" s="4"/>
    </row>
    <row r="33">
      <c r="A33" s="5" t="s">
        <v>3</v>
      </c>
      <c r="B33" s="11"/>
      <c r="C33" s="11"/>
      <c r="D33" s="11"/>
      <c r="E33" s="11"/>
      <c r="F33" s="11"/>
      <c r="G33" s="11"/>
      <c r="H33" s="11"/>
      <c r="I33" s="11"/>
      <c r="J33" s="11"/>
      <c r="K33" s="3"/>
      <c r="L33" s="3"/>
      <c r="M33" s="4"/>
    </row>
    <row r="34">
      <c r="A34" s="5" t="s">
        <v>4</v>
      </c>
      <c r="B34" s="11"/>
      <c r="C34" s="11"/>
      <c r="D34" s="11"/>
      <c r="E34" s="11"/>
      <c r="F34" s="11"/>
      <c r="G34" s="11"/>
      <c r="H34" s="11"/>
      <c r="I34" s="11"/>
      <c r="J34" s="11"/>
      <c r="K34" s="3"/>
      <c r="L34" s="3"/>
      <c r="M34" s="4"/>
    </row>
    <row r="35">
      <c r="A35" s="5" t="s">
        <v>6</v>
      </c>
      <c r="B35" s="11"/>
      <c r="C35" s="11"/>
      <c r="D35" s="11"/>
      <c r="E35" s="11"/>
      <c r="F35" s="11"/>
      <c r="G35" s="11"/>
      <c r="H35" s="11"/>
      <c r="I35" s="11"/>
      <c r="J35" s="11"/>
      <c r="K35" s="3"/>
      <c r="L35" s="3"/>
      <c r="M35" s="4"/>
    </row>
    <row r="36">
      <c r="A36" s="5" t="s">
        <v>22</v>
      </c>
      <c r="B36" s="11"/>
      <c r="C36" s="11"/>
      <c r="D36" s="11"/>
      <c r="E36" s="11"/>
      <c r="F36" s="11"/>
      <c r="G36" s="11"/>
      <c r="H36" s="11"/>
      <c r="I36" s="11"/>
      <c r="J36" s="11"/>
      <c r="K36" s="3"/>
      <c r="L36" s="3"/>
      <c r="M36" s="4"/>
    </row>
    <row r="37">
      <c r="A37" s="5" t="s">
        <v>8</v>
      </c>
      <c r="B37" s="11"/>
      <c r="C37" s="11"/>
      <c r="D37" s="11"/>
      <c r="E37" s="11"/>
      <c r="F37" s="11"/>
      <c r="G37" s="11"/>
      <c r="H37" s="11"/>
      <c r="I37" s="11"/>
      <c r="J37" s="11"/>
      <c r="K37" s="3"/>
      <c r="L37" s="3"/>
      <c r="M37" s="4"/>
    </row>
    <row r="38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5" t="s">
        <v>16</v>
      </c>
      <c r="B39" s="6" t="str">
        <f t="shared" ref="B39:L39" si="7">(B32*(1-(B34/B33)))/(B36+B37-B35)</f>
        <v>#DIV/0!</v>
      </c>
      <c r="C39" s="6" t="str">
        <f t="shared" si="7"/>
        <v>#DIV/0!</v>
      </c>
      <c r="D39" s="6" t="str">
        <f t="shared" si="7"/>
        <v>#DIV/0!</v>
      </c>
      <c r="E39" s="6" t="str">
        <f t="shared" si="7"/>
        <v>#DIV/0!</v>
      </c>
      <c r="F39" s="6" t="str">
        <f t="shared" si="7"/>
        <v>#DIV/0!</v>
      </c>
      <c r="G39" s="6" t="str">
        <f t="shared" si="7"/>
        <v>#DIV/0!</v>
      </c>
      <c r="H39" s="6" t="str">
        <f t="shared" si="7"/>
        <v>#DIV/0!</v>
      </c>
      <c r="I39" s="6" t="str">
        <f t="shared" si="7"/>
        <v>#DIV/0!</v>
      </c>
      <c r="J39" s="6" t="str">
        <f t="shared" si="7"/>
        <v>#DIV/0!</v>
      </c>
      <c r="K39" s="6" t="str">
        <f t="shared" si="7"/>
        <v>#DIV/0!</v>
      </c>
      <c r="L39" s="6" t="str">
        <f t="shared" si="7"/>
        <v>#DIV/0!</v>
      </c>
      <c r="M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1" t="s">
        <v>21</v>
      </c>
      <c r="B41" s="2">
        <v>2014.0</v>
      </c>
      <c r="C41" s="2">
        <v>2015.0</v>
      </c>
      <c r="D41" s="2">
        <v>2016.0</v>
      </c>
      <c r="E41" s="2">
        <v>2017.0</v>
      </c>
      <c r="F41" s="2">
        <v>2018.0</v>
      </c>
      <c r="G41" s="2">
        <v>2019.0</v>
      </c>
      <c r="H41" s="2">
        <v>2020.0</v>
      </c>
      <c r="I41" s="2">
        <v>2021.0</v>
      </c>
      <c r="J41" s="2">
        <v>2022.0</v>
      </c>
      <c r="K41" s="2">
        <v>2023.0</v>
      </c>
      <c r="L41" s="2">
        <v>2024.0</v>
      </c>
      <c r="M41" s="4"/>
    </row>
    <row r="42">
      <c r="A42" s="5" t="s">
        <v>2</v>
      </c>
      <c r="B42" s="4"/>
      <c r="C42" s="4"/>
      <c r="D42" s="4"/>
      <c r="E42" s="4"/>
      <c r="F42" s="4"/>
      <c r="G42" s="4"/>
      <c r="H42" s="4"/>
      <c r="I42" s="4"/>
      <c r="J42" s="3"/>
      <c r="K42" s="3"/>
      <c r="L42" s="3"/>
      <c r="M42" s="4"/>
    </row>
    <row r="43">
      <c r="A43" s="5" t="s">
        <v>3</v>
      </c>
      <c r="B43" s="4"/>
      <c r="C43" s="4"/>
      <c r="D43" s="4"/>
      <c r="E43" s="4"/>
      <c r="F43" s="4"/>
      <c r="G43" s="4"/>
      <c r="H43" s="4"/>
      <c r="I43" s="4"/>
      <c r="J43" s="3"/>
      <c r="K43" s="3"/>
      <c r="L43" s="3"/>
      <c r="M43" s="4"/>
    </row>
    <row r="44">
      <c r="A44" s="5" t="s">
        <v>4</v>
      </c>
      <c r="B44" s="4"/>
      <c r="C44" s="4"/>
      <c r="D44" s="4"/>
      <c r="E44" s="4"/>
      <c r="F44" s="4"/>
      <c r="G44" s="4"/>
      <c r="H44" s="4"/>
      <c r="I44" s="4"/>
      <c r="J44" s="3"/>
      <c r="K44" s="3"/>
      <c r="L44" s="3"/>
      <c r="M44" s="4"/>
    </row>
    <row r="45">
      <c r="A45" s="5" t="s">
        <v>6</v>
      </c>
      <c r="B45" s="4"/>
      <c r="C45" s="4"/>
      <c r="D45" s="4"/>
      <c r="E45" s="4"/>
      <c r="F45" s="4"/>
      <c r="G45" s="4"/>
      <c r="H45" s="4"/>
      <c r="I45" s="3"/>
      <c r="J45" s="3"/>
      <c r="K45" s="3"/>
      <c r="L45" s="3"/>
      <c r="M45" s="4"/>
    </row>
    <row r="46">
      <c r="A46" s="5" t="s">
        <v>22</v>
      </c>
      <c r="B46" s="4"/>
      <c r="C46" s="4"/>
      <c r="D46" s="4"/>
      <c r="E46" s="4"/>
      <c r="F46" s="4"/>
      <c r="G46" s="4"/>
      <c r="H46" s="4"/>
      <c r="I46" s="3"/>
      <c r="J46" s="3"/>
      <c r="K46" s="3"/>
      <c r="L46" s="3"/>
      <c r="M46" s="4"/>
    </row>
    <row r="47">
      <c r="A47" s="12" t="s">
        <v>8</v>
      </c>
      <c r="B47" s="13"/>
      <c r="C47" s="13"/>
      <c r="D47" s="13"/>
      <c r="E47" s="13"/>
      <c r="F47" s="13"/>
      <c r="G47" s="13"/>
      <c r="H47" s="13"/>
      <c r="I47" s="14"/>
      <c r="J47" s="14"/>
      <c r="K47" s="14"/>
      <c r="L47" s="14"/>
      <c r="M47" s="13"/>
    </row>
    <row r="48">
      <c r="A48" s="15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>
      <c r="A49" s="12" t="s">
        <v>16</v>
      </c>
      <c r="B49" s="16" t="str">
        <f t="shared" ref="B49:L49" si="8">(B42*(1-(B44/B43)))/(B46+B47-B45)</f>
        <v>#DIV/0!</v>
      </c>
      <c r="C49" s="16" t="str">
        <f t="shared" si="8"/>
        <v>#DIV/0!</v>
      </c>
      <c r="D49" s="16" t="str">
        <f t="shared" si="8"/>
        <v>#DIV/0!</v>
      </c>
      <c r="E49" s="16" t="str">
        <f t="shared" si="8"/>
        <v>#DIV/0!</v>
      </c>
      <c r="F49" s="16" t="str">
        <f t="shared" si="8"/>
        <v>#DIV/0!</v>
      </c>
      <c r="G49" s="16" t="str">
        <f t="shared" si="8"/>
        <v>#DIV/0!</v>
      </c>
      <c r="H49" s="16" t="str">
        <f t="shared" si="8"/>
        <v>#DIV/0!</v>
      </c>
      <c r="I49" s="16" t="str">
        <f t="shared" si="8"/>
        <v>#DIV/0!</v>
      </c>
      <c r="J49" s="16" t="str">
        <f t="shared" si="8"/>
        <v>#DIV/0!</v>
      </c>
      <c r="K49" s="16" t="str">
        <f t="shared" si="8"/>
        <v>#DIV/0!</v>
      </c>
      <c r="L49" s="16" t="str">
        <f t="shared" si="8"/>
        <v>#DIV/0!</v>
      </c>
      <c r="M49" s="13"/>
    </row>
    <row r="50">
      <c r="B50" s="4"/>
      <c r="C50" s="4"/>
      <c r="D50" s="4"/>
      <c r="E50" s="4"/>
      <c r="F50" s="4"/>
      <c r="G50" s="4"/>
      <c r="H50" s="4"/>
      <c r="I50" s="6"/>
      <c r="J50" s="6"/>
      <c r="K50" s="6"/>
      <c r="L50" s="6"/>
      <c r="M50" s="4"/>
    </row>
    <row r="5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</sheetData>
  <drawing r:id="rId1"/>
</worksheet>
</file>