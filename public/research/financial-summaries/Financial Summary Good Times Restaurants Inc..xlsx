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<sst xmlns="http://schemas.openxmlformats.org/spreadsheetml/2006/main" count="40" uniqueCount="26">
  <si>
    <t>Good Times Restaurants Inc.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</si>
  <si>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</si>
  <si>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</si>
  <si>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</si>
  <si>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</si>
  <si>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</si>
  <si>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</si>
  <si>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</si>
  <si>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</si>
  <si>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</si>
  <si>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</si>
  <si>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</si>
  <si>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Total Dividends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</si>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</sst>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0"/>
    <numFmt numFmtId="166" formatCode="#,##0.0000"/>
    <numFmt numFmtId="167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4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8" width="13.38"/>
  </cols>
  <sheetData>
    <row r="1">
      <c r="A1" s="1" t="s">
        <v>0</v>
      </c>
      <c r="B1" s="2">
        <v>2008.0</v>
      </c>
      <c r="C1" s="2">
        <v>2009.0</v>
      </c>
      <c r="D1" s="2">
        <v>2010.0</v>
      </c>
      <c r="E1" s="2">
        <v>2011.0</v>
      </c>
      <c r="F1" s="2">
        <v>2012.0</v>
      </c>
      <c r="G1" s="2">
        <v>2013.0</v>
      </c>
      <c r="H1" s="2">
        <v>2014.0</v>
      </c>
      <c r="I1" s="2">
        <v>2015.0</v>
      </c>
      <c r="J1" s="2">
        <v>2016.0</v>
      </c>
      <c r="K1" s="2">
        <v>2017.0</v>
      </c>
      <c r="L1" s="2">
        <v>2018.0</v>
      </c>
      <c r="M1" s="2">
        <v>2019.0</v>
      </c>
      <c r="N1" s="2">
        <v>2020.0</v>
      </c>
      <c r="O1" s="2">
        <v>2021.0</v>
      </c>
      <c r="P1" s="2">
        <v>2022.0</v>
      </c>
      <c r="Q1" s="2">
        <v>2023.0</v>
      </c>
      <c r="R1" s="2">
        <v>2024.0</v>
      </c>
      <c r="S1" s="2">
        <v>2025.0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4" t="s">
        <v>1</v>
      </c>
      <c r="B3" s="5">
        <v>25.882</v>
      </c>
      <c r="C3" s="5">
        <v>23.749</v>
      </c>
      <c r="D3" s="5">
        <v>20.863</v>
      </c>
      <c r="E3" s="5">
        <v>20.603</v>
      </c>
      <c r="F3" s="5">
        <v>19.274</v>
      </c>
      <c r="G3" s="5">
        <v>22.523</v>
      </c>
      <c r="H3" s="5">
        <v>27.743</v>
      </c>
      <c r="I3" s="5">
        <v>44.057</v>
      </c>
      <c r="J3" s="5">
        <v>64.439</v>
      </c>
      <c r="K3" s="5">
        <v>79.08</v>
      </c>
      <c r="L3" s="5">
        <v>99.571</v>
      </c>
      <c r="M3" s="5">
        <v>110.758</v>
      </c>
      <c r="N3" s="5">
        <v>109.858</v>
      </c>
      <c r="O3" s="5">
        <v>123.953</v>
      </c>
      <c r="P3" s="5">
        <v>138.2</v>
      </c>
      <c r="Q3" s="5">
        <v>138.122</v>
      </c>
      <c r="R3" s="5">
        <v>142.38</v>
      </c>
      <c r="S3" s="5">
        <v>141.63</v>
      </c>
    </row>
    <row r="4">
      <c r="A4" s="4" t="s">
        <v>2</v>
      </c>
      <c r="B4" s="5">
        <v>-0.946</v>
      </c>
      <c r="C4" s="5">
        <v>-1.352</v>
      </c>
      <c r="D4" s="5">
        <v>-2.507</v>
      </c>
      <c r="E4" s="5">
        <v>-0.917</v>
      </c>
      <c r="F4" s="5">
        <v>-0.474</v>
      </c>
      <c r="G4" s="5">
        <v>-0.392</v>
      </c>
      <c r="H4" s="5">
        <v>-0.219</v>
      </c>
      <c r="I4" s="5">
        <v>-0.239</v>
      </c>
      <c r="J4" s="5">
        <v>-0.3</v>
      </c>
      <c r="K4" s="5">
        <v>-1.422</v>
      </c>
      <c r="L4" s="5">
        <v>0.372</v>
      </c>
      <c r="M4" s="5">
        <v>-3.495</v>
      </c>
      <c r="N4" s="5">
        <v>-12.041</v>
      </c>
      <c r="O4" s="5">
        <v>6.897</v>
      </c>
      <c r="P4" s="5">
        <v>-0.878</v>
      </c>
      <c r="Q4" s="5">
        <v>0.963</v>
      </c>
      <c r="R4" s="5">
        <v>1.38</v>
      </c>
      <c r="S4" s="5">
        <v>0.33</v>
      </c>
    </row>
    <row r="5">
      <c r="A5" s="4" t="s">
        <v>3</v>
      </c>
      <c r="B5" s="5">
        <v>-1.072</v>
      </c>
      <c r="C5" s="5">
        <v>-1.646</v>
      </c>
      <c r="D5" s="5">
        <v>-2.932</v>
      </c>
      <c r="E5" s="5">
        <v>-1.013</v>
      </c>
      <c r="F5" s="5">
        <v>-0.668</v>
      </c>
      <c r="G5" s="5">
        <v>-0.544</v>
      </c>
      <c r="H5" s="5">
        <v>-0.37</v>
      </c>
      <c r="I5" s="5">
        <v>-0.3</v>
      </c>
      <c r="J5" s="5">
        <v>-0.465</v>
      </c>
      <c r="K5" s="5">
        <v>-1.605</v>
      </c>
      <c r="L5" s="5">
        <v>-0.017</v>
      </c>
      <c r="M5" s="5">
        <v>-4.248</v>
      </c>
      <c r="N5" s="5">
        <v>-12.794</v>
      </c>
      <c r="O5" s="5">
        <v>18.406</v>
      </c>
      <c r="P5" s="5">
        <v>-0.932</v>
      </c>
      <c r="Q5" s="5">
        <v>0.885</v>
      </c>
      <c r="R5" s="5">
        <v>1.255</v>
      </c>
      <c r="S5" s="5">
        <v>0.274</v>
      </c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4" t="s">
        <v>5</v>
      </c>
      <c r="B7" s="5">
        <v>-1.076</v>
      </c>
      <c r="C7" s="5">
        <v>-1.646</v>
      </c>
      <c r="D7" s="5">
        <v>-2.932</v>
      </c>
      <c r="E7" s="5">
        <v>-1.013</v>
      </c>
      <c r="F7" s="5">
        <v>-0.668</v>
      </c>
      <c r="G7" s="5">
        <v>-0.544</v>
      </c>
      <c r="H7" s="5">
        <v>-0.37</v>
      </c>
      <c r="I7" s="5">
        <v>-0.3</v>
      </c>
      <c r="J7" s="5">
        <v>-0.465</v>
      </c>
      <c r="K7" s="5">
        <v>-1.605</v>
      </c>
      <c r="L7" s="5">
        <v>-0.017</v>
      </c>
      <c r="M7" s="5">
        <v>-4.248</v>
      </c>
      <c r="N7" s="5">
        <v>-12.794</v>
      </c>
      <c r="O7" s="5">
        <v>18.4</v>
      </c>
      <c r="P7" s="5">
        <v>-0.927</v>
      </c>
      <c r="Q7" s="5">
        <v>11.672</v>
      </c>
      <c r="R7" s="5">
        <v>1.879</v>
      </c>
      <c r="S7" s="5">
        <v>1.098</v>
      </c>
    </row>
    <row r="8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>
      <c r="A9" s="4" t="s">
        <v>6</v>
      </c>
      <c r="B9" s="5">
        <v>1.283</v>
      </c>
      <c r="C9" s="5">
        <v>1.262</v>
      </c>
      <c r="D9" s="5">
        <v>0.943</v>
      </c>
      <c r="E9" s="5">
        <v>0.888</v>
      </c>
      <c r="F9" s="5">
        <v>0.795</v>
      </c>
      <c r="G9" s="5">
        <v>0.719</v>
      </c>
      <c r="H9" s="5">
        <v>0.636</v>
      </c>
      <c r="I9" s="5">
        <v>1.246</v>
      </c>
      <c r="J9" s="5">
        <v>2.222</v>
      </c>
      <c r="K9" s="5">
        <v>2.897</v>
      </c>
      <c r="L9" s="5">
        <v>3.705</v>
      </c>
      <c r="M9" s="5">
        <v>4.345</v>
      </c>
      <c r="N9" s="5">
        <v>4.129</v>
      </c>
      <c r="O9" s="5">
        <v>3.842</v>
      </c>
      <c r="P9" s="5">
        <v>3.895</v>
      </c>
      <c r="Q9" s="5">
        <v>3.663</v>
      </c>
      <c r="R9" s="5">
        <v>3.755</v>
      </c>
      <c r="S9" s="5">
        <v>3.954</v>
      </c>
    </row>
    <row r="10">
      <c r="A10" s="4" t="s">
        <v>7</v>
      </c>
      <c r="B10" s="5">
        <v>1.414</v>
      </c>
      <c r="C10" s="5">
        <v>0.815</v>
      </c>
      <c r="D10" s="5">
        <v>0.429</v>
      </c>
      <c r="E10" s="5">
        <v>0.847</v>
      </c>
      <c r="F10" s="5">
        <v>0.616</v>
      </c>
      <c r="G10" s="5">
        <v>6.143</v>
      </c>
      <c r="H10" s="5">
        <v>9.894</v>
      </c>
      <c r="I10" s="5">
        <v>13.809</v>
      </c>
      <c r="J10" s="5">
        <v>6.33</v>
      </c>
      <c r="K10" s="5">
        <v>4.337</v>
      </c>
      <c r="L10" s="5">
        <v>3.477</v>
      </c>
      <c r="M10" s="5">
        <v>2.745</v>
      </c>
      <c r="N10" s="5">
        <v>11.454</v>
      </c>
      <c r="O10" s="5">
        <v>8.856</v>
      </c>
      <c r="P10" s="5">
        <v>8.906</v>
      </c>
      <c r="Q10" s="5">
        <v>4.182</v>
      </c>
      <c r="R10" s="5">
        <v>3.853</v>
      </c>
      <c r="S10" s="5">
        <v>2.605</v>
      </c>
    </row>
    <row r="11">
      <c r="A11" s="4" t="s">
        <v>8</v>
      </c>
      <c r="B11" s="5">
        <v>3.15</v>
      </c>
      <c r="C11" s="5">
        <v>3.505</v>
      </c>
      <c r="D11" s="5">
        <v>3.707</v>
      </c>
      <c r="E11" s="5">
        <v>2.262</v>
      </c>
      <c r="F11" s="5">
        <v>1.725</v>
      </c>
      <c r="G11" s="5">
        <v>0.138</v>
      </c>
      <c r="H11" s="5">
        <f>0.069+0.177+0.042</f>
        <v>0.288</v>
      </c>
      <c r="I11" s="5">
        <f>2.617+1.093+0.011</f>
        <v>3.721</v>
      </c>
      <c r="J11" s="5">
        <v>0.038</v>
      </c>
      <c r="K11" s="5">
        <v>5.356</v>
      </c>
      <c r="L11" s="5">
        <v>7.489</v>
      </c>
      <c r="M11" s="5">
        <v>12.85</v>
      </c>
      <c r="N11" s="5">
        <v>17.145</v>
      </c>
      <c r="O11" s="5">
        <v>0.0</v>
      </c>
      <c r="P11" s="5">
        <v>0.0</v>
      </c>
      <c r="Q11" s="5">
        <v>0.75</v>
      </c>
      <c r="R11" s="5">
        <v>0.872</v>
      </c>
      <c r="S11" s="5">
        <v>2.342</v>
      </c>
    </row>
    <row r="12">
      <c r="A12" s="4" t="s">
        <v>9</v>
      </c>
      <c r="B12" s="5">
        <v>5.409</v>
      </c>
      <c r="C12" s="5">
        <v>3.95</v>
      </c>
      <c r="D12" s="5">
        <v>1.694</v>
      </c>
      <c r="E12" s="5">
        <v>2.52</v>
      </c>
      <c r="F12" s="5">
        <v>3.26</v>
      </c>
      <c r="G12" s="5">
        <v>7.321</v>
      </c>
      <c r="H12" s="5">
        <v>13.321</v>
      </c>
      <c r="I12" s="5">
        <v>38.257</v>
      </c>
      <c r="J12" s="5">
        <v>37.798</v>
      </c>
      <c r="K12" s="5">
        <v>37.284</v>
      </c>
      <c r="L12" s="5">
        <v>37.221</v>
      </c>
      <c r="M12" s="5">
        <v>28.92</v>
      </c>
      <c r="N12" s="5">
        <v>14.983</v>
      </c>
      <c r="O12" s="5">
        <v>30.87</v>
      </c>
      <c r="P12" s="5">
        <v>27.788</v>
      </c>
      <c r="Q12" s="5">
        <v>32.994</v>
      </c>
      <c r="R12" s="5">
        <v>33.088</v>
      </c>
      <c r="S12" s="5">
        <v>33.811</v>
      </c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>
      <c r="A14" s="4" t="s">
        <v>10</v>
      </c>
      <c r="B14" s="5">
        <v>0.619</v>
      </c>
      <c r="C14" s="5">
        <v>-0.595</v>
      </c>
      <c r="D14" s="5">
        <v>-0.737</v>
      </c>
      <c r="E14" s="5">
        <v>-0.539</v>
      </c>
      <c r="F14" s="5">
        <v>-0.22</v>
      </c>
      <c r="G14" s="5">
        <v>0.703</v>
      </c>
      <c r="H14" s="5">
        <v>1.438</v>
      </c>
      <c r="I14" s="5">
        <v>3.168</v>
      </c>
      <c r="J14" s="5">
        <v>5.398</v>
      </c>
      <c r="K14" s="5">
        <v>4.983</v>
      </c>
      <c r="L14" s="5">
        <v>6.504</v>
      </c>
      <c r="M14" s="5">
        <v>6.771</v>
      </c>
      <c r="N14" s="5">
        <v>8.369</v>
      </c>
      <c r="O14" s="5">
        <v>9.145</v>
      </c>
      <c r="P14" s="5">
        <v>5.291</v>
      </c>
      <c r="Q14" s="5">
        <v>7.965</v>
      </c>
      <c r="R14" s="5">
        <v>5.13</v>
      </c>
      <c r="S14" s="5">
        <v>1.613</v>
      </c>
    </row>
    <row r="15">
      <c r="A15" s="4" t="s">
        <v>11</v>
      </c>
      <c r="B15" s="5">
        <v>3.282</v>
      </c>
      <c r="C15" s="5">
        <v>0.284</v>
      </c>
      <c r="D15" s="5">
        <v>0.061</v>
      </c>
      <c r="E15" s="5">
        <v>0.189</v>
      </c>
      <c r="F15" s="5">
        <v>0.314</v>
      </c>
      <c r="G15" s="5">
        <v>2.506</v>
      </c>
      <c r="H15" s="5">
        <v>3.397</v>
      </c>
      <c r="I15" s="5">
        <v>7.633</v>
      </c>
      <c r="J15" s="5">
        <v>8.501</v>
      </c>
      <c r="K15" s="5">
        <v>14.513</v>
      </c>
      <c r="L15" s="5">
        <v>10.444</v>
      </c>
      <c r="M15" s="5">
        <v>8.079</v>
      </c>
      <c r="N15" s="5">
        <v>2.596</v>
      </c>
      <c r="O15" s="5">
        <v>3.198</v>
      </c>
      <c r="P15" s="5">
        <v>2.641</v>
      </c>
      <c r="Q15" s="5">
        <v>4.771</v>
      </c>
      <c r="R15" s="5">
        <v>3.142</v>
      </c>
      <c r="S15" s="5">
        <v>3.067</v>
      </c>
    </row>
    <row r="16">
      <c r="A16" s="4" t="s">
        <v>12</v>
      </c>
      <c r="B16" s="5">
        <v>0.0</v>
      </c>
      <c r="C16" s="5">
        <v>0.0</v>
      </c>
      <c r="D16" s="5">
        <v>0.0</v>
      </c>
      <c r="E16" s="5">
        <v>0.12</v>
      </c>
      <c r="F16" s="5">
        <v>0.0</v>
      </c>
      <c r="G16" s="5">
        <v>0.12</v>
      </c>
      <c r="H16" s="5">
        <v>0.059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</row>
    <row r="17">
      <c r="A17" s="4" t="s">
        <v>13</v>
      </c>
      <c r="B17" s="7">
        <f t="shared" ref="B17:S17" si="1">B16/B18</f>
        <v>0</v>
      </c>
      <c r="C17" s="7">
        <f t="shared" si="1"/>
        <v>0</v>
      </c>
      <c r="D17" s="7">
        <f t="shared" si="1"/>
        <v>0</v>
      </c>
      <c r="E17" s="7">
        <f t="shared" si="1"/>
        <v>0.04916299993</v>
      </c>
      <c r="F17" s="7">
        <f t="shared" si="1"/>
        <v>0</v>
      </c>
      <c r="G17" s="7">
        <f t="shared" si="1"/>
        <v>0.04044066848</v>
      </c>
      <c r="H17" s="7">
        <f t="shared" si="1"/>
        <v>0.009590996038</v>
      </c>
      <c r="I17" s="7">
        <f t="shared" si="1"/>
        <v>0</v>
      </c>
      <c r="J17" s="7">
        <f t="shared" si="1"/>
        <v>0</v>
      </c>
      <c r="K17" s="7">
        <f t="shared" si="1"/>
        <v>0</v>
      </c>
      <c r="L17" s="7">
        <f t="shared" si="1"/>
        <v>0</v>
      </c>
      <c r="M17" s="7">
        <f t="shared" si="1"/>
        <v>0</v>
      </c>
      <c r="N17" s="7">
        <f t="shared" si="1"/>
        <v>0</v>
      </c>
      <c r="O17" s="7">
        <f t="shared" si="1"/>
        <v>0</v>
      </c>
      <c r="P17" s="7">
        <f t="shared" si="1"/>
        <v>0</v>
      </c>
      <c r="Q17" s="7">
        <f t="shared" si="1"/>
        <v>0</v>
      </c>
      <c r="R17" s="7">
        <f t="shared" si="1"/>
        <v>0</v>
      </c>
      <c r="S17" s="7">
        <f t="shared" si="1"/>
        <v>0</v>
      </c>
    </row>
    <row r="18">
      <c r="A18" s="4" t="s">
        <v>14</v>
      </c>
      <c r="B18" s="8">
        <f>3.88673/3</f>
        <v>1.295576667</v>
      </c>
      <c r="C18" s="8">
        <f>3.898559/3</f>
        <v>1.299519667</v>
      </c>
      <c r="D18" s="8">
        <v>1.29952</v>
      </c>
      <c r="E18" s="8">
        <v>2.44086</v>
      </c>
      <c r="F18" s="8">
        <v>2.726214</v>
      </c>
      <c r="G18" s="8">
        <v>2.96731</v>
      </c>
      <c r="H18" s="8">
        <v>6.151603</v>
      </c>
      <c r="I18" s="8">
        <v>10.510105</v>
      </c>
      <c r="J18" s="8">
        <v>12.269036</v>
      </c>
      <c r="K18" s="8">
        <v>12.320909</v>
      </c>
      <c r="L18" s="8">
        <v>12.46376</v>
      </c>
      <c r="M18" s="8">
        <v>12.522728</v>
      </c>
      <c r="N18" s="8">
        <v>12.594952</v>
      </c>
      <c r="O18" s="8">
        <v>12.82818</v>
      </c>
      <c r="P18" s="8">
        <v>12.464408</v>
      </c>
      <c r="Q18" s="8">
        <v>11.827752</v>
      </c>
      <c r="R18" s="8">
        <v>11.147563</v>
      </c>
      <c r="S18" s="8">
        <v>10.703219</v>
      </c>
    </row>
    <row r="19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4" t="s">
        <v>15</v>
      </c>
      <c r="B20" s="10">
        <v>0.25</v>
      </c>
      <c r="C20" s="10">
        <v>0.25</v>
      </c>
      <c r="D20" s="10">
        <v>0.25</v>
      </c>
      <c r="E20" s="10">
        <v>0.25</v>
      </c>
      <c r="F20" s="10">
        <v>0.25</v>
      </c>
      <c r="G20" s="10">
        <v>0.25</v>
      </c>
      <c r="H20" s="10">
        <v>0.25</v>
      </c>
      <c r="I20" s="10">
        <v>0.25</v>
      </c>
      <c r="J20" s="10">
        <v>0.25</v>
      </c>
      <c r="K20" s="10">
        <v>0.25</v>
      </c>
      <c r="L20" s="10">
        <v>0.25</v>
      </c>
      <c r="M20" s="10">
        <v>0.25</v>
      </c>
      <c r="N20" s="10">
        <v>0.25</v>
      </c>
      <c r="O20" s="10">
        <v>0.25</v>
      </c>
      <c r="P20" s="10">
        <v>0.25</v>
      </c>
      <c r="Q20" s="10">
        <v>0.25</v>
      </c>
      <c r="R20" s="10">
        <v>0.25</v>
      </c>
      <c r="S20" s="10">
        <v>0.25</v>
      </c>
    </row>
    <row r="21">
      <c r="A21" s="4" t="s">
        <v>16</v>
      </c>
      <c r="B21" s="11">
        <f t="shared" ref="B21:S21" si="2">B4*(1-B20)</f>
        <v>-0.7095</v>
      </c>
      <c r="C21" s="11">
        <f t="shared" si="2"/>
        <v>-1.014</v>
      </c>
      <c r="D21" s="11">
        <f t="shared" si="2"/>
        <v>-1.88025</v>
      </c>
      <c r="E21" s="11">
        <f t="shared" si="2"/>
        <v>-0.68775</v>
      </c>
      <c r="F21" s="11">
        <f t="shared" si="2"/>
        <v>-0.3555</v>
      </c>
      <c r="G21" s="11">
        <f t="shared" si="2"/>
        <v>-0.294</v>
      </c>
      <c r="H21" s="11">
        <f t="shared" si="2"/>
        <v>-0.16425</v>
      </c>
      <c r="I21" s="11">
        <f t="shared" si="2"/>
        <v>-0.17925</v>
      </c>
      <c r="J21" s="11">
        <f t="shared" si="2"/>
        <v>-0.225</v>
      </c>
      <c r="K21" s="11">
        <f t="shared" si="2"/>
        <v>-1.0665</v>
      </c>
      <c r="L21" s="11">
        <f t="shared" si="2"/>
        <v>0.279</v>
      </c>
      <c r="M21" s="11">
        <f t="shared" si="2"/>
        <v>-2.62125</v>
      </c>
      <c r="N21" s="11">
        <f t="shared" si="2"/>
        <v>-9.03075</v>
      </c>
      <c r="O21" s="11">
        <f t="shared" si="2"/>
        <v>5.17275</v>
      </c>
      <c r="P21" s="11">
        <f t="shared" si="2"/>
        <v>-0.6585</v>
      </c>
      <c r="Q21" s="11">
        <f t="shared" si="2"/>
        <v>0.72225</v>
      </c>
      <c r="R21" s="11">
        <f t="shared" si="2"/>
        <v>1.035</v>
      </c>
      <c r="S21" s="11">
        <f t="shared" si="2"/>
        <v>0.2475</v>
      </c>
    </row>
    <row r="22">
      <c r="A22" s="4" t="s">
        <v>17</v>
      </c>
      <c r="B22" s="11">
        <f t="shared" ref="B22:S22" si="3">B11+B12-B10</f>
        <v>7.145</v>
      </c>
      <c r="C22" s="11">
        <f t="shared" si="3"/>
        <v>6.64</v>
      </c>
      <c r="D22" s="11">
        <f t="shared" si="3"/>
        <v>4.972</v>
      </c>
      <c r="E22" s="11">
        <f t="shared" si="3"/>
        <v>3.935</v>
      </c>
      <c r="F22" s="11">
        <f t="shared" si="3"/>
        <v>4.369</v>
      </c>
      <c r="G22" s="11">
        <f t="shared" si="3"/>
        <v>1.316</v>
      </c>
      <c r="H22" s="11">
        <f t="shared" si="3"/>
        <v>3.715</v>
      </c>
      <c r="I22" s="11">
        <f t="shared" si="3"/>
        <v>28.169</v>
      </c>
      <c r="J22" s="11">
        <f t="shared" si="3"/>
        <v>31.506</v>
      </c>
      <c r="K22" s="11">
        <f t="shared" si="3"/>
        <v>38.303</v>
      </c>
      <c r="L22" s="11">
        <f t="shared" si="3"/>
        <v>41.233</v>
      </c>
      <c r="M22" s="11">
        <f t="shared" si="3"/>
        <v>39.025</v>
      </c>
      <c r="N22" s="11">
        <f t="shared" si="3"/>
        <v>20.674</v>
      </c>
      <c r="O22" s="11">
        <f t="shared" si="3"/>
        <v>22.014</v>
      </c>
      <c r="P22" s="11">
        <f t="shared" si="3"/>
        <v>18.882</v>
      </c>
      <c r="Q22" s="11">
        <f t="shared" si="3"/>
        <v>29.562</v>
      </c>
      <c r="R22" s="11">
        <f t="shared" si="3"/>
        <v>30.107</v>
      </c>
      <c r="S22" s="11">
        <f t="shared" si="3"/>
        <v>33.548</v>
      </c>
    </row>
    <row r="23">
      <c r="A23" s="4" t="s">
        <v>18</v>
      </c>
      <c r="B23" s="11">
        <f t="shared" ref="B23:S23" si="4">B14-B15</f>
        <v>-2.663</v>
      </c>
      <c r="C23" s="11">
        <f t="shared" si="4"/>
        <v>-0.879</v>
      </c>
      <c r="D23" s="11">
        <f t="shared" si="4"/>
        <v>-0.798</v>
      </c>
      <c r="E23" s="11">
        <f t="shared" si="4"/>
        <v>-0.728</v>
      </c>
      <c r="F23" s="11">
        <f t="shared" si="4"/>
        <v>-0.534</v>
      </c>
      <c r="G23" s="11">
        <f t="shared" si="4"/>
        <v>-1.803</v>
      </c>
      <c r="H23" s="11">
        <f t="shared" si="4"/>
        <v>-1.959</v>
      </c>
      <c r="I23" s="11">
        <f t="shared" si="4"/>
        <v>-4.465</v>
      </c>
      <c r="J23" s="11">
        <f t="shared" si="4"/>
        <v>-3.103</v>
      </c>
      <c r="K23" s="11">
        <f t="shared" si="4"/>
        <v>-9.53</v>
      </c>
      <c r="L23" s="11">
        <f t="shared" si="4"/>
        <v>-3.94</v>
      </c>
      <c r="M23" s="11">
        <f t="shared" si="4"/>
        <v>-1.308</v>
      </c>
      <c r="N23" s="11">
        <f t="shared" si="4"/>
        <v>5.773</v>
      </c>
      <c r="O23" s="11">
        <f t="shared" si="4"/>
        <v>5.947</v>
      </c>
      <c r="P23" s="11">
        <f t="shared" si="4"/>
        <v>2.65</v>
      </c>
      <c r="Q23" s="11">
        <f t="shared" si="4"/>
        <v>3.194</v>
      </c>
      <c r="R23" s="11">
        <f t="shared" si="4"/>
        <v>1.988</v>
      </c>
      <c r="S23" s="11">
        <f t="shared" si="4"/>
        <v>-1.454</v>
      </c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>
      <c r="A25" s="4" t="s">
        <v>19</v>
      </c>
      <c r="B25" s="12">
        <f t="shared" ref="B25:S25" si="5">B21/B22</f>
        <v>-0.09930020994</v>
      </c>
      <c r="C25" s="12">
        <f t="shared" si="5"/>
        <v>-0.1527108434</v>
      </c>
      <c r="D25" s="12">
        <f t="shared" si="5"/>
        <v>-0.3781677393</v>
      </c>
      <c r="E25" s="12">
        <f t="shared" si="5"/>
        <v>-0.1747776366</v>
      </c>
      <c r="F25" s="12">
        <f t="shared" si="5"/>
        <v>-0.08136873426</v>
      </c>
      <c r="G25" s="12">
        <f t="shared" si="5"/>
        <v>-0.2234042553</v>
      </c>
      <c r="H25" s="12">
        <f t="shared" si="5"/>
        <v>-0.04421265141</v>
      </c>
      <c r="I25" s="12">
        <f t="shared" si="5"/>
        <v>-0.006363378182</v>
      </c>
      <c r="J25" s="12">
        <f t="shared" si="5"/>
        <v>-0.007141496858</v>
      </c>
      <c r="K25" s="12">
        <f t="shared" si="5"/>
        <v>-0.02784377203</v>
      </c>
      <c r="L25" s="12">
        <f t="shared" si="5"/>
        <v>0.006766424951</v>
      </c>
      <c r="M25" s="12">
        <f t="shared" si="5"/>
        <v>-0.06716848174</v>
      </c>
      <c r="N25" s="12">
        <f t="shared" si="5"/>
        <v>-0.4368167747</v>
      </c>
      <c r="O25" s="12">
        <f t="shared" si="5"/>
        <v>0.2349754702</v>
      </c>
      <c r="P25" s="12">
        <f t="shared" si="5"/>
        <v>-0.03487448364</v>
      </c>
      <c r="Q25" s="12">
        <f t="shared" si="5"/>
        <v>0.02443170286</v>
      </c>
      <c r="R25" s="12">
        <f t="shared" si="5"/>
        <v>0.03437738732</v>
      </c>
      <c r="S25" s="12">
        <f t="shared" si="5"/>
        <v>0.007377488971</v>
      </c>
    </row>
    <row r="26">
      <c r="A26" s="4" t="s">
        <v>20</v>
      </c>
      <c r="B26" s="12">
        <f t="shared" ref="B26:S26" si="6">B4/B3</f>
        <v>-0.03655049842</v>
      </c>
      <c r="C26" s="12">
        <f t="shared" si="6"/>
        <v>-0.05692871279</v>
      </c>
      <c r="D26" s="12">
        <f t="shared" si="6"/>
        <v>-0.1201648852</v>
      </c>
      <c r="E26" s="12">
        <f t="shared" si="6"/>
        <v>-0.04450808135</v>
      </c>
      <c r="F26" s="12">
        <f t="shared" si="6"/>
        <v>-0.02459271558</v>
      </c>
      <c r="G26" s="12">
        <f t="shared" si="6"/>
        <v>-0.01740443103</v>
      </c>
      <c r="H26" s="12">
        <f t="shared" si="6"/>
        <v>-0.007893883142</v>
      </c>
      <c r="I26" s="12">
        <f t="shared" si="6"/>
        <v>-0.005424790612</v>
      </c>
      <c r="J26" s="12">
        <f t="shared" si="6"/>
        <v>-0.004655565729</v>
      </c>
      <c r="K26" s="12">
        <f t="shared" si="6"/>
        <v>-0.01798179059</v>
      </c>
      <c r="L26" s="12">
        <f t="shared" si="6"/>
        <v>0.003736027558</v>
      </c>
      <c r="M26" s="12">
        <f t="shared" si="6"/>
        <v>-0.03155528269</v>
      </c>
      <c r="N26" s="12">
        <f t="shared" si="6"/>
        <v>-0.1096051266</v>
      </c>
      <c r="O26" s="12">
        <f t="shared" si="6"/>
        <v>0.05564205788</v>
      </c>
      <c r="P26" s="12">
        <f t="shared" si="6"/>
        <v>-0.006353111433</v>
      </c>
      <c r="Q26" s="12">
        <f t="shared" si="6"/>
        <v>0.006972097132</v>
      </c>
      <c r="R26" s="12">
        <f t="shared" si="6"/>
        <v>0.009692372524</v>
      </c>
      <c r="S26" s="12">
        <f t="shared" si="6"/>
        <v>0.002330014827</v>
      </c>
    </row>
    <row r="27">
      <c r="A27" s="4" t="s">
        <v>21</v>
      </c>
      <c r="B27" s="12">
        <f t="shared" ref="B27:S27" si="7">B11/B12</f>
        <v>0.5823627288</v>
      </c>
      <c r="C27" s="12">
        <f t="shared" si="7"/>
        <v>0.8873417722</v>
      </c>
      <c r="D27" s="12">
        <f t="shared" si="7"/>
        <v>2.188311688</v>
      </c>
      <c r="E27" s="12">
        <f t="shared" si="7"/>
        <v>0.8976190476</v>
      </c>
      <c r="F27" s="12">
        <f t="shared" si="7"/>
        <v>0.5291411043</v>
      </c>
      <c r="G27" s="12">
        <f t="shared" si="7"/>
        <v>0.0188498839</v>
      </c>
      <c r="H27" s="12">
        <f t="shared" si="7"/>
        <v>0.0216199985</v>
      </c>
      <c r="I27" s="12">
        <f t="shared" si="7"/>
        <v>0.09726324594</v>
      </c>
      <c r="J27" s="12">
        <f t="shared" si="7"/>
        <v>0.001005344198</v>
      </c>
      <c r="K27" s="12">
        <f t="shared" si="7"/>
        <v>0.1436541144</v>
      </c>
      <c r="L27" s="12">
        <f t="shared" si="7"/>
        <v>0.2012036216</v>
      </c>
      <c r="M27" s="12">
        <f t="shared" si="7"/>
        <v>0.444329184</v>
      </c>
      <c r="N27" s="12">
        <f t="shared" si="7"/>
        <v>1.14429687</v>
      </c>
      <c r="O27" s="12">
        <f t="shared" si="7"/>
        <v>0</v>
      </c>
      <c r="P27" s="12">
        <f t="shared" si="7"/>
        <v>0</v>
      </c>
      <c r="Q27" s="12">
        <f t="shared" si="7"/>
        <v>0.02273140571</v>
      </c>
      <c r="R27" s="12">
        <f t="shared" si="7"/>
        <v>0.02635396518</v>
      </c>
      <c r="S27" s="12">
        <f t="shared" si="7"/>
        <v>0.06926739818</v>
      </c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A29" s="4" t="s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>
      <c r="A31" s="13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>
      <c r="A32" s="1" t="s">
        <v>24</v>
      </c>
      <c r="B32" s="2">
        <v>2008.0</v>
      </c>
      <c r="C32" s="2">
        <v>2009.0</v>
      </c>
      <c r="D32" s="2">
        <v>2010.0</v>
      </c>
      <c r="E32" s="2">
        <v>2011.0</v>
      </c>
      <c r="F32" s="2">
        <v>2012.0</v>
      </c>
      <c r="G32" s="2">
        <v>2013.0</v>
      </c>
      <c r="H32" s="2">
        <v>2014.0</v>
      </c>
      <c r="I32" s="2">
        <v>2015.0</v>
      </c>
      <c r="J32" s="2">
        <v>2016.0</v>
      </c>
      <c r="K32" s="2">
        <v>2017.0</v>
      </c>
      <c r="L32" s="2">
        <v>2018.0</v>
      </c>
      <c r="M32" s="2">
        <v>2019.0</v>
      </c>
      <c r="N32" s="2">
        <v>2020.0</v>
      </c>
      <c r="O32" s="2">
        <v>2021.0</v>
      </c>
      <c r="P32" s="2">
        <v>2022.0</v>
      </c>
      <c r="Q32" s="2">
        <v>2023.0</v>
      </c>
      <c r="R32" s="2">
        <v>2024.0</v>
      </c>
      <c r="S32" s="6"/>
    </row>
    <row r="33">
      <c r="A33" s="4" t="s">
        <v>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3"/>
      <c r="R33" s="3"/>
      <c r="S33" s="6"/>
    </row>
    <row r="34">
      <c r="A34" s="4" t="s">
        <v>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3"/>
      <c r="R34" s="3"/>
      <c r="S34" s="6"/>
    </row>
    <row r="35">
      <c r="A35" s="4" t="s">
        <v>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3"/>
      <c r="R35" s="3"/>
      <c r="S35" s="6"/>
    </row>
    <row r="36">
      <c r="A36" s="4" t="s">
        <v>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3"/>
      <c r="R36" s="3"/>
      <c r="S36" s="6"/>
    </row>
    <row r="37">
      <c r="A37" s="4" t="s">
        <v>25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3"/>
      <c r="R37" s="3"/>
      <c r="S37" s="6"/>
    </row>
    <row r="38">
      <c r="A38" s="4" t="s">
        <v>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3"/>
      <c r="R38" s="3"/>
      <c r="S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>
      <c r="A40" s="4" t="s">
        <v>19</v>
      </c>
      <c r="B40" s="12" t="str">
        <f t="shared" ref="B40:R40" si="8">(B33*(1-(B35/B34)))/(B37+B38-B36)</f>
        <v>#DIV/0!</v>
      </c>
      <c r="C40" s="12" t="str">
        <f t="shared" si="8"/>
        <v>#DIV/0!</v>
      </c>
      <c r="D40" s="12" t="str">
        <f t="shared" si="8"/>
        <v>#DIV/0!</v>
      </c>
      <c r="E40" s="12" t="str">
        <f t="shared" si="8"/>
        <v>#DIV/0!</v>
      </c>
      <c r="F40" s="12" t="str">
        <f t="shared" si="8"/>
        <v>#DIV/0!</v>
      </c>
      <c r="G40" s="12" t="str">
        <f t="shared" si="8"/>
        <v>#DIV/0!</v>
      </c>
      <c r="H40" s="12" t="str">
        <f t="shared" si="8"/>
        <v>#DIV/0!</v>
      </c>
      <c r="I40" s="12" t="str">
        <f t="shared" si="8"/>
        <v>#DIV/0!</v>
      </c>
      <c r="J40" s="12" t="str">
        <f t="shared" si="8"/>
        <v>#DIV/0!</v>
      </c>
      <c r="K40" s="12" t="str">
        <f t="shared" si="8"/>
        <v>#DIV/0!</v>
      </c>
      <c r="L40" s="12" t="str">
        <f t="shared" si="8"/>
        <v>#DIV/0!</v>
      </c>
      <c r="M40" s="12" t="str">
        <f t="shared" si="8"/>
        <v>#DIV/0!</v>
      </c>
      <c r="N40" s="12" t="str">
        <f t="shared" si="8"/>
        <v>#DIV/0!</v>
      </c>
      <c r="O40" s="12" t="str">
        <f t="shared" si="8"/>
        <v>#DIV/0!</v>
      </c>
      <c r="P40" s="12" t="str">
        <f t="shared" si="8"/>
        <v>#DIV/0!</v>
      </c>
      <c r="Q40" s="12" t="str">
        <f t="shared" si="8"/>
        <v>#DIV/0!</v>
      </c>
      <c r="R40" s="12" t="str">
        <f t="shared" si="8"/>
        <v>#DIV/0!</v>
      </c>
      <c r="S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>
      <c r="A42" s="1" t="s">
        <v>24</v>
      </c>
      <c r="B42" s="2">
        <v>2008.0</v>
      </c>
      <c r="C42" s="2">
        <v>2009.0</v>
      </c>
      <c r="D42" s="2">
        <v>2010.0</v>
      </c>
      <c r="E42" s="2">
        <v>2011.0</v>
      </c>
      <c r="F42" s="2">
        <v>2012.0</v>
      </c>
      <c r="G42" s="2">
        <v>2013.0</v>
      </c>
      <c r="H42" s="2">
        <v>2014.0</v>
      </c>
      <c r="I42" s="2">
        <v>2015.0</v>
      </c>
      <c r="J42" s="2">
        <v>2016.0</v>
      </c>
      <c r="K42" s="2">
        <v>2017.0</v>
      </c>
      <c r="L42" s="2">
        <v>2018.0</v>
      </c>
      <c r="M42" s="2">
        <v>2019.0</v>
      </c>
      <c r="N42" s="2">
        <v>2020.0</v>
      </c>
      <c r="O42" s="2">
        <v>2021.0</v>
      </c>
      <c r="P42" s="2">
        <v>2022.0</v>
      </c>
      <c r="Q42" s="2">
        <v>2023.0</v>
      </c>
      <c r="R42" s="2">
        <v>2024.0</v>
      </c>
      <c r="S42" s="6"/>
    </row>
    <row r="43">
      <c r="A43" s="4" t="s">
        <v>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3"/>
      <c r="Q43" s="3"/>
      <c r="R43" s="3"/>
      <c r="S43" s="6"/>
    </row>
    <row r="44">
      <c r="A44" s="4" t="s">
        <v>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3"/>
      <c r="Q44" s="3"/>
      <c r="R44" s="3"/>
      <c r="S44" s="6"/>
    </row>
    <row r="45">
      <c r="A45" s="4" t="s">
        <v>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3"/>
      <c r="Q45" s="3"/>
      <c r="R45" s="3"/>
      <c r="S45" s="6"/>
    </row>
    <row r="46">
      <c r="A46" s="4" t="s">
        <v>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3"/>
      <c r="P46" s="3"/>
      <c r="Q46" s="3"/>
      <c r="R46" s="3"/>
      <c r="S46" s="6"/>
    </row>
    <row r="47">
      <c r="A47" s="4" t="s">
        <v>25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3"/>
      <c r="P47" s="3"/>
      <c r="Q47" s="3"/>
      <c r="R47" s="3"/>
      <c r="S47" s="6"/>
    </row>
    <row r="48">
      <c r="A48" s="15" t="s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/>
      <c r="P48" s="17"/>
      <c r="Q48" s="17"/>
      <c r="R48" s="17"/>
      <c r="S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A50" s="15" t="s">
        <v>19</v>
      </c>
      <c r="B50" s="19" t="str">
        <f t="shared" ref="B50:R50" si="9">(B43*(1-(B45/B44)))/(B47+B48-B46)</f>
        <v>#DIV/0!</v>
      </c>
      <c r="C50" s="19" t="str">
        <f t="shared" si="9"/>
        <v>#DIV/0!</v>
      </c>
      <c r="D50" s="19" t="str">
        <f t="shared" si="9"/>
        <v>#DIV/0!</v>
      </c>
      <c r="E50" s="19" t="str">
        <f t="shared" si="9"/>
        <v>#DIV/0!</v>
      </c>
      <c r="F50" s="19" t="str">
        <f t="shared" si="9"/>
        <v>#DIV/0!</v>
      </c>
      <c r="G50" s="19" t="str">
        <f t="shared" si="9"/>
        <v>#DIV/0!</v>
      </c>
      <c r="H50" s="19" t="str">
        <f t="shared" si="9"/>
        <v>#DIV/0!</v>
      </c>
      <c r="I50" s="19" t="str">
        <f t="shared" si="9"/>
        <v>#DIV/0!</v>
      </c>
      <c r="J50" s="19" t="str">
        <f t="shared" si="9"/>
        <v>#DIV/0!</v>
      </c>
      <c r="K50" s="19" t="str">
        <f t="shared" si="9"/>
        <v>#DIV/0!</v>
      </c>
      <c r="L50" s="19" t="str">
        <f t="shared" si="9"/>
        <v>#DIV/0!</v>
      </c>
      <c r="M50" s="19" t="str">
        <f t="shared" si="9"/>
        <v>#DIV/0!</v>
      </c>
      <c r="N50" s="19" t="str">
        <f t="shared" si="9"/>
        <v>#DIV/0!</v>
      </c>
      <c r="O50" s="19" t="str">
        <f t="shared" si="9"/>
        <v>#DIV/0!</v>
      </c>
      <c r="P50" s="19" t="str">
        <f t="shared" si="9"/>
        <v>#DIV/0!</v>
      </c>
      <c r="Q50" s="19" t="str">
        <f t="shared" si="9"/>
        <v>#DIV/0!</v>
      </c>
      <c r="R50" s="19" t="str">
        <f t="shared" si="9"/>
        <v>#DIV/0!</v>
      </c>
      <c r="S50" s="1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12"/>
      <c r="P51" s="12"/>
      <c r="Q51" s="12"/>
      <c r="R51" s="12"/>
      <c r="S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</sheetData>
  <drawing r:id="rId1"/>
</worksheet>
</file>