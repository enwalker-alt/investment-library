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<sst xmlns="http://schemas.openxmlformats.org/spreadsheetml/2006/main" count="40" uniqueCount="40">
  <si>
    <t>Barrett Business Services, Inc.</t>
  </si>
  <si>
    <t>Revenue</t>
  </si>
  <si>
    <t>Gross Profit</t>
  </si>
  <si>
    <t>Operating Income</t>
  </si>
  <si>
    <t>Income Before Tax</t>
  </si>
  <si>
    <t>Income Tax Expense</t>
  </si>
  <si>
    <t>Net Income</t>
  </si>
  <si>
    <t>Cash</t>
  </si>
  <si>
    <t>Total Debt</t>
  </si>
  <si>
    <t>Shareholder Equity</t>
  </si>
  <si>
    <t>Operating Cash Flow</t>
  </si>
  <si>
    <t>Capital Expenditures</t>
  </si>
  <si>
    <t>Shares Outstanding</t>
  </si>
  <si>
    <t>Tax Rate</t>
  </si>
  <si>
    <t>NOPAT</t>
  </si>
  <si>
    <t>Invested Capital</t>
  </si>
  <si>
    <t>Free Cash Flow</t>
  </si>
  <si>
    <t>Overall</t>
  </si>
  <si>
    <t>Past 10 Years</t>
  </si>
  <si>
    <t>ROIC</t>
  </si>
  <si>
    <t>Operating Margin</t>
  </si>
  <si>
    <t>Debt / Equity</t>
  </si>
  <si>
    <t>Insurance Data</t>
  </si>
  <si>
    <t>Workers Comp Expense</t>
  </si>
  <si>
    <t>Workers Comps Claims Liability (Current)</t>
  </si>
  <si>
    <t>Workers Comps Claims Liability (Long)</t>
  </si>
  <si>
    <t>Premium Payable</t>
  </si>
  <si>
    <t>Customer Deposits</t>
  </si>
  <si>
    <t>Investment Income</t>
  </si>
  <si>
    <t>Total Investments</t>
  </si>
  <si>
    <t>Insurance Float</t>
  </si>
  <si>
    <t>Totals</t>
  </si>
  <si>
    <t>Float/Equity</t>
  </si>
  <si>
    <t>Loss Ratio</t>
  </si>
  <si>
    <t>Underwriting Margin</t>
  </si>
  <si>
    <t>Investment Yield</t>
  </si>
  <si>
    <t>Investment Income Contribution</t>
  </si>
  <si>
    <t>Float Efficiency</t>
  </si>
  <si>
    <t>Float Growth Rate</t>
  </si>
  <si>
    <t>Float/Revenue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</si>
</sst>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color rgb="FF000000"/>
      <name val="Arial"/>
      <scheme val="minor"/>
    </font>
    <font>
      <b/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0" xfId="0" applyFont="1" applyNumberFormat="1"/>
    <xf borderId="0" fillId="0" fontId="2" numFmtId="3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3" numFmtId="10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10" xfId="0" applyFont="1" applyNumberFormat="1"/>
    <xf borderId="0" fillId="0" fontId="5" numFmtId="10" xfId="0" applyAlignment="1" applyFont="1" applyNumberFormat="1">
      <alignment horizontal="center"/>
    </xf>
    <xf borderId="0" fillId="0" fontId="4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63"/>
    <col customWidth="1" min="2" max="21" width="13.75"/>
  </cols>
  <sheetData>
    <row r="1">
      <c r="A1" s="1" t="s">
        <v>0</v>
      </c>
      <c r="B1" s="2">
        <v>2005.0</v>
      </c>
      <c r="C1" s="2">
        <v>2006.0</v>
      </c>
      <c r="D1" s="2">
        <v>2007.0</v>
      </c>
      <c r="E1" s="2">
        <v>2008.0</v>
      </c>
      <c r="F1" s="2">
        <v>2009.0</v>
      </c>
      <c r="G1" s="2">
        <v>2010.0</v>
      </c>
      <c r="H1" s="2">
        <v>2011.0</v>
      </c>
      <c r="I1" s="2">
        <v>2012.0</v>
      </c>
      <c r="J1" s="2">
        <v>2013.0</v>
      </c>
      <c r="K1" s="2">
        <v>2014.0</v>
      </c>
      <c r="L1" s="2">
        <v>2015.0</v>
      </c>
      <c r="M1" s="2">
        <v>2016.0</v>
      </c>
      <c r="N1" s="2">
        <v>2017.0</v>
      </c>
      <c r="O1" s="2">
        <v>2018.0</v>
      </c>
      <c r="P1" s="2">
        <v>2019.0</v>
      </c>
      <c r="Q1" s="2">
        <v>2020.0</v>
      </c>
      <c r="R1" s="2">
        <v>2021.0</v>
      </c>
      <c r="S1" s="2">
        <v>2022.0</v>
      </c>
      <c r="T1" s="2">
        <v>2023.0</v>
      </c>
      <c r="U1" s="2">
        <v>2024.0</v>
      </c>
      <c r="V1" s="2">
        <v>2025.0</v>
      </c>
      <c r="W1" s="2"/>
      <c r="X1" s="2"/>
      <c r="Y1" s="2"/>
      <c r="Z1" s="2"/>
    </row>
    <row r="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2" t="s">
        <v>1</v>
      </c>
      <c r="B3" s="3">
        <v>2.31389E8</v>
      </c>
      <c r="C3" s="3">
        <v>2.59184E8</v>
      </c>
      <c r="D3" s="3">
        <v>2.89213E8</v>
      </c>
      <c r="E3" s="3">
        <v>2.80468E8</v>
      </c>
      <c r="F3" s="3">
        <v>2.3646E8</v>
      </c>
      <c r="G3" s="3">
        <v>2.73123E8</v>
      </c>
      <c r="H3" s="3">
        <v>3.14874E8</v>
      </c>
      <c r="I3" s="3">
        <v>4.02652E8</v>
      </c>
      <c r="J3" s="3">
        <v>5.32844E8</v>
      </c>
      <c r="K3" s="3">
        <v>6.36355E8</v>
      </c>
      <c r="L3" s="3">
        <v>7.40841E8</v>
      </c>
      <c r="M3" s="3">
        <v>8.40586E8</v>
      </c>
      <c r="N3" s="3">
        <v>9.20432E8</v>
      </c>
      <c r="O3" s="3">
        <v>9.40698E8</v>
      </c>
      <c r="P3" s="3">
        <v>9.42311E8</v>
      </c>
      <c r="Q3" s="3">
        <v>8.80824E8</v>
      </c>
      <c r="R3" s="3">
        <v>9.55166E8</v>
      </c>
      <c r="S3" s="3">
        <v>1.054326E9</v>
      </c>
      <c r="T3" s="3">
        <v>1.069307E9</v>
      </c>
      <c r="U3" s="3">
        <v>1.144531E9</v>
      </c>
      <c r="V3" s="3">
        <v>1.240298E9</v>
      </c>
      <c r="W3" s="3"/>
      <c r="X3" s="4"/>
      <c r="Y3" s="3"/>
      <c r="Z3" s="3"/>
    </row>
    <row r="4">
      <c r="A4" s="2" t="s">
        <v>2</v>
      </c>
      <c r="B4" s="3">
        <v>4.5827E7</v>
      </c>
      <c r="C4" s="3">
        <v>5.5553E7</v>
      </c>
      <c r="D4" s="3">
        <v>5.891E7</v>
      </c>
      <c r="E4" s="3">
        <v>4.961E7</v>
      </c>
      <c r="F4" s="3">
        <v>2.5595E7</v>
      </c>
      <c r="G4" s="3">
        <v>4.474E7</v>
      </c>
      <c r="H4" s="3">
        <v>4.3452E7</v>
      </c>
      <c r="I4" s="3">
        <v>6.6714E7</v>
      </c>
      <c r="J4" s="3">
        <v>8.6524E7</v>
      </c>
      <c r="K4" s="3">
        <v>3.3405E7</v>
      </c>
      <c r="L4" s="3">
        <v>1.29456E8</v>
      </c>
      <c r="M4" s="3">
        <v>1.45536E8</v>
      </c>
      <c r="N4" s="3">
        <v>1.58531E8</v>
      </c>
      <c r="O4" s="3">
        <v>1.86673E8</v>
      </c>
      <c r="P4" s="3">
        <v>2.08253E8</v>
      </c>
      <c r="Q4" s="3">
        <v>1.82907E8</v>
      </c>
      <c r="R4" s="3">
        <v>2.04508E8</v>
      </c>
      <c r="S4" s="3">
        <v>2.34845E8</v>
      </c>
      <c r="T4" s="3">
        <v>2.42532E8</v>
      </c>
      <c r="U4" s="3">
        <v>2.53251E8</v>
      </c>
      <c r="V4" s="3">
        <v>2.60913E8</v>
      </c>
      <c r="W4" s="3"/>
      <c r="X4" s="3"/>
      <c r="Y4" s="3"/>
      <c r="Z4" s="3"/>
    </row>
    <row r="5">
      <c r="A5" s="2" t="s">
        <v>3</v>
      </c>
      <c r="B5" s="3">
        <v>1.9183E7</v>
      </c>
      <c r="C5" s="3">
        <v>2.2643E7</v>
      </c>
      <c r="D5" s="3">
        <v>2.2835E7</v>
      </c>
      <c r="E5" s="3">
        <v>1.142E7</v>
      </c>
      <c r="F5" s="3">
        <v>-9527000.0</v>
      </c>
      <c r="G5" s="3">
        <v>7916000.0</v>
      </c>
      <c r="H5" s="3">
        <v>3934000.0</v>
      </c>
      <c r="I5" s="3">
        <v>1.8787E7</v>
      </c>
      <c r="J5" s="3">
        <v>2.4426E7</v>
      </c>
      <c r="K5" s="3">
        <v>-4.3166E7</v>
      </c>
      <c r="L5" s="3">
        <v>3.6428E7</v>
      </c>
      <c r="M5" s="3">
        <v>2.8941E7</v>
      </c>
      <c r="N5" s="3">
        <v>2.9941E7</v>
      </c>
      <c r="O5" s="3">
        <v>3.6989E7</v>
      </c>
      <c r="P5" s="3">
        <v>5.0488E7</v>
      </c>
      <c r="Q5" s="3">
        <v>3.6147E7</v>
      </c>
      <c r="R5" s="3">
        <v>4.9923E7</v>
      </c>
      <c r="S5" s="3">
        <v>5.8975E7</v>
      </c>
      <c r="T5" s="3">
        <v>6.065E7</v>
      </c>
      <c r="U5" s="3">
        <v>5.9781E7</v>
      </c>
      <c r="V5" s="3">
        <v>6.2163E7</v>
      </c>
      <c r="W5" s="3"/>
      <c r="X5" s="3"/>
      <c r="Y5" s="3"/>
      <c r="Z5" s="3"/>
    </row>
    <row r="6">
      <c r="A6" s="2" t="s">
        <v>4</v>
      </c>
      <c r="B6" s="3">
        <v>1.993E7</v>
      </c>
      <c r="C6" s="3">
        <v>2.549E7</v>
      </c>
      <c r="D6" s="3">
        <v>2.5918E7</v>
      </c>
      <c r="E6" s="3">
        <v>9991000.0</v>
      </c>
      <c r="F6" s="3">
        <v>-7887000.0</v>
      </c>
      <c r="G6" s="3">
        <v>9927000.0</v>
      </c>
      <c r="H6" s="3">
        <v>1.5155E7</v>
      </c>
      <c r="I6" s="3">
        <v>1.9459E7</v>
      </c>
      <c r="J6" s="3">
        <v>2.4902E7</v>
      </c>
      <c r="K6" s="3">
        <v>-4.2644E7</v>
      </c>
      <c r="L6" s="3">
        <v>3.5146E7</v>
      </c>
      <c r="M6" s="3">
        <v>2.5586E7</v>
      </c>
      <c r="N6" s="3">
        <v>3.4378E7</v>
      </c>
      <c r="O6" s="3">
        <v>4.4769E7</v>
      </c>
      <c r="P6" s="3">
        <v>6.1138E7</v>
      </c>
      <c r="Q6" s="3">
        <v>4.2596E7</v>
      </c>
      <c r="R6" s="3">
        <v>5.0661E7</v>
      </c>
      <c r="S6" s="3">
        <v>6.5303E7</v>
      </c>
      <c r="T6" s="3">
        <v>6.8988E7</v>
      </c>
      <c r="U6" s="3">
        <v>7.0822E7</v>
      </c>
      <c r="V6" s="3">
        <v>7.1399E7</v>
      </c>
      <c r="W6" s="3"/>
      <c r="X6" s="3"/>
      <c r="Y6" s="3"/>
      <c r="Z6" s="3"/>
    </row>
    <row r="7">
      <c r="A7" s="2" t="s">
        <v>5</v>
      </c>
      <c r="B7" s="3">
        <v>7440000.0</v>
      </c>
      <c r="C7" s="3">
        <v>9154000.0</v>
      </c>
      <c r="D7" s="3">
        <v>9112000.0</v>
      </c>
      <c r="E7" s="3">
        <v>3728000.0</v>
      </c>
      <c r="F7" s="3">
        <v>-3119000.0</v>
      </c>
      <c r="G7" s="3">
        <v>2574000.0</v>
      </c>
      <c r="H7" s="3">
        <v>837000.0</v>
      </c>
      <c r="I7" s="3">
        <v>6328000.0</v>
      </c>
      <c r="J7" s="3">
        <v>7010000.0</v>
      </c>
      <c r="K7" s="3">
        <v>-1.7098E7</v>
      </c>
      <c r="L7" s="3">
        <v>9652000.0</v>
      </c>
      <c r="M7" s="3">
        <v>6787000.0</v>
      </c>
      <c r="N7" s="3">
        <v>9208000.0</v>
      </c>
      <c r="O7" s="3">
        <v>6707000.0</v>
      </c>
      <c r="P7" s="3">
        <v>1.2846E7</v>
      </c>
      <c r="Q7" s="3">
        <v>8831000.0</v>
      </c>
      <c r="R7" s="3">
        <v>1.2582E7</v>
      </c>
      <c r="S7" s="3">
        <v>1.8035E7</v>
      </c>
      <c r="T7" s="3">
        <v>1.8376E7</v>
      </c>
      <c r="U7" s="3">
        <v>1.7829E7</v>
      </c>
      <c r="V7" s="3">
        <v>1.6951E7</v>
      </c>
      <c r="W7" s="3"/>
      <c r="X7" s="3"/>
      <c r="Y7" s="3"/>
      <c r="Z7" s="3"/>
    </row>
    <row r="8">
      <c r="A8" s="2" t="s">
        <v>6</v>
      </c>
      <c r="B8" s="3">
        <v>1.249E7</v>
      </c>
      <c r="C8" s="3">
        <v>1.6336E7</v>
      </c>
      <c r="D8" s="3">
        <v>1.6806E7</v>
      </c>
      <c r="E8" s="3">
        <v>6263000.0</v>
      </c>
      <c r="F8" s="3">
        <v>-4768000.0</v>
      </c>
      <c r="G8" s="3">
        <v>7353000.0</v>
      </c>
      <c r="H8" s="3">
        <v>1.4318E7</v>
      </c>
      <c r="I8" s="3">
        <v>1.3131E7</v>
      </c>
      <c r="J8" s="3">
        <v>1.7892E7</v>
      </c>
      <c r="K8" s="3">
        <v>-2.5546E7</v>
      </c>
      <c r="L8" s="3">
        <v>2.5494E7</v>
      </c>
      <c r="M8" s="3">
        <v>1.8799E7</v>
      </c>
      <c r="N8" s="3">
        <v>2.517E7</v>
      </c>
      <c r="O8" s="3">
        <v>3.8062E7</v>
      </c>
      <c r="P8" s="3">
        <v>4.8292E7</v>
      </c>
      <c r="Q8" s="3">
        <v>3.3765E7</v>
      </c>
      <c r="R8" s="3">
        <v>3.8079E7</v>
      </c>
      <c r="S8" s="3">
        <v>4.7268E7</v>
      </c>
      <c r="T8" s="3">
        <v>5.0612E7</v>
      </c>
      <c r="U8" s="3">
        <v>5.2993E7</v>
      </c>
      <c r="V8" s="3">
        <v>5.4448E7</v>
      </c>
      <c r="W8" s="3"/>
      <c r="X8" s="3"/>
      <c r="Y8" s="3"/>
      <c r="Z8" s="3"/>
    </row>
    <row r="11">
      <c r="A11" s="2" t="s">
        <v>7</v>
      </c>
      <c r="B11" s="3">
        <v>6.1361E7</v>
      </c>
      <c r="C11" s="3">
        <v>6.9874E7</v>
      </c>
      <c r="D11" s="3">
        <v>6.2779E7</v>
      </c>
      <c r="E11" s="3">
        <v>4.2214E7</v>
      </c>
      <c r="F11" s="3">
        <v>3.6671E7</v>
      </c>
      <c r="G11" s="3">
        <v>3.0924E7</v>
      </c>
      <c r="H11" s="3">
        <v>4.9571E7</v>
      </c>
      <c r="I11" s="3">
        <v>4.5747E7</v>
      </c>
      <c r="J11" s="3">
        <v>9.3557E7</v>
      </c>
      <c r="K11" s="3">
        <v>1.1544E7</v>
      </c>
      <c r="L11" s="3">
        <v>2.5218E7</v>
      </c>
      <c r="M11" s="3">
        <v>5.0768E7</v>
      </c>
      <c r="N11" s="3">
        <v>5.9835E7</v>
      </c>
      <c r="O11" s="3">
        <v>3.5371E7</v>
      </c>
      <c r="P11" s="3">
        <v>4.457E7</v>
      </c>
      <c r="Q11" s="3">
        <v>6.8688E7</v>
      </c>
      <c r="R11" s="3">
        <v>6.9405E7</v>
      </c>
      <c r="S11" s="3">
        <v>9.1423E7</v>
      </c>
      <c r="T11" s="3">
        <v>7.1168E7</v>
      </c>
      <c r="U11" s="3">
        <v>5.5367E7</v>
      </c>
      <c r="V11" s="3">
        <v>9.5033E7</v>
      </c>
      <c r="W11" s="3"/>
      <c r="X11" s="3"/>
      <c r="Y11" s="3"/>
      <c r="Z11" s="3"/>
    </row>
    <row r="12">
      <c r="A12" s="2" t="s">
        <v>8</v>
      </c>
      <c r="B12" s="3">
        <v>1442000.0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1.0025E7</v>
      </c>
      <c r="J12" s="3">
        <v>5273000.0</v>
      </c>
      <c r="K12" s="3">
        <v>4.5053E7</v>
      </c>
      <c r="L12" s="3">
        <v>1.9833E7</v>
      </c>
      <c r="M12" s="3">
        <v>4613000.0</v>
      </c>
      <c r="N12" s="3">
        <v>4392000.0</v>
      </c>
      <c r="O12" s="3">
        <v>4172000.0</v>
      </c>
      <c r="P12" s="3">
        <v>3951000.0</v>
      </c>
      <c r="Q12" s="3">
        <v>3731000.0</v>
      </c>
      <c r="R12" s="3">
        <v>3510000.0</v>
      </c>
      <c r="S12" s="3">
        <v>0.0</v>
      </c>
      <c r="T12" s="3">
        <v>0.0</v>
      </c>
      <c r="U12" s="3">
        <v>0.0</v>
      </c>
      <c r="V12" s="3">
        <v>0.0</v>
      </c>
      <c r="W12" s="3"/>
      <c r="X12" s="3"/>
      <c r="Y12" s="3"/>
      <c r="Z12" s="3"/>
    </row>
    <row r="13">
      <c r="A13" s="2" t="s">
        <v>9</v>
      </c>
      <c r="B13" s="3">
        <v>8.585E7</v>
      </c>
      <c r="C13" s="3">
        <v>1.037E8</v>
      </c>
      <c r="D13" s="3">
        <v>1.13748E8</v>
      </c>
      <c r="E13" s="3">
        <v>1.10622E8</v>
      </c>
      <c r="F13" s="3">
        <v>1.00127E8</v>
      </c>
      <c r="G13" s="3">
        <v>9.5365E7</v>
      </c>
      <c r="H13" s="3">
        <v>1.01655E8</v>
      </c>
      <c r="I13" s="3">
        <v>5.3896E7</v>
      </c>
      <c r="J13" s="3">
        <v>7.2553E7</v>
      </c>
      <c r="K13" s="3">
        <v>3.282E7</v>
      </c>
      <c r="L13" s="3">
        <v>5.4551E7</v>
      </c>
      <c r="M13" s="3">
        <v>6.9693E7</v>
      </c>
      <c r="N13" s="3">
        <v>8.8834E7</v>
      </c>
      <c r="O13" s="3">
        <v>1.19037E8</v>
      </c>
      <c r="P13" s="3">
        <v>1.71799E8</v>
      </c>
      <c r="Q13" s="3">
        <v>1.98235E8</v>
      </c>
      <c r="R13" s="3">
        <v>2.0853E8</v>
      </c>
      <c r="S13" s="3">
        <v>1.77842E8</v>
      </c>
      <c r="T13" s="3">
        <v>1.9914E8</v>
      </c>
      <c r="U13" s="3">
        <v>2.21404E8</v>
      </c>
      <c r="V13" s="3">
        <v>2.41E8</v>
      </c>
      <c r="W13" s="3"/>
      <c r="X13" s="3"/>
      <c r="Y13" s="3"/>
      <c r="Z13" s="3"/>
    </row>
    <row r="15">
      <c r="A15" s="2" t="s">
        <v>10</v>
      </c>
      <c r="B15" s="3">
        <v>2.471E7</v>
      </c>
      <c r="C15" s="3">
        <v>1.5399E7</v>
      </c>
      <c r="D15" s="3">
        <v>1.7291E7</v>
      </c>
      <c r="E15" s="3">
        <v>1.4166E7</v>
      </c>
      <c r="F15" s="3">
        <v>3025000.0</v>
      </c>
      <c r="G15" s="3">
        <v>1.7946E7</v>
      </c>
      <c r="H15" s="3">
        <v>3.1355E7</v>
      </c>
      <c r="I15" s="3">
        <v>4.5657E7</v>
      </c>
      <c r="J15" s="3">
        <v>7.0196E7</v>
      </c>
      <c r="K15" s="3">
        <v>6.9596E7</v>
      </c>
      <c r="L15" s="3">
        <v>1.00631E8</v>
      </c>
      <c r="M15" s="3">
        <v>8.0307E7</v>
      </c>
      <c r="N15" s="3">
        <v>1.12859E8</v>
      </c>
      <c r="O15" s="3">
        <v>6.9784E7</v>
      </c>
      <c r="P15" s="3">
        <v>7.7137E7</v>
      </c>
      <c r="Q15" s="3">
        <v>-2.7915E7</v>
      </c>
      <c r="R15" s="3">
        <v>-1.5459E7</v>
      </c>
      <c r="S15" s="3">
        <v>2.7778E7</v>
      </c>
      <c r="T15" s="3">
        <v>6.7222E7</v>
      </c>
      <c r="U15" s="3">
        <v>1.0087E7</v>
      </c>
      <c r="V15" s="3">
        <v>6.5955E7</v>
      </c>
      <c r="W15" s="3"/>
      <c r="X15" s="3"/>
      <c r="Y15" s="3"/>
      <c r="Z15" s="3"/>
    </row>
    <row r="16">
      <c r="A16" s="2" t="s">
        <v>11</v>
      </c>
      <c r="B16" s="3">
        <v>9724000.0</v>
      </c>
      <c r="C16" s="3">
        <v>1697000.0</v>
      </c>
      <c r="D16" s="3">
        <v>3860000.0</v>
      </c>
      <c r="E16" s="3">
        <v>830000.0</v>
      </c>
      <c r="F16" s="3">
        <v>881000.0</v>
      </c>
      <c r="G16" s="3">
        <v>1606000.0</v>
      </c>
      <c r="H16" s="3">
        <v>1247000.0</v>
      </c>
      <c r="I16" s="3">
        <v>3712000.0</v>
      </c>
      <c r="J16" s="3">
        <v>4097000.0</v>
      </c>
      <c r="K16" s="3">
        <v>4632000.0</v>
      </c>
      <c r="L16" s="3">
        <v>2996000.0</v>
      </c>
      <c r="M16" s="3">
        <v>7106000.0</v>
      </c>
      <c r="N16" s="3">
        <v>3687000.0</v>
      </c>
      <c r="O16" s="3">
        <v>5679000.0</v>
      </c>
      <c r="P16" s="3">
        <v>1.0798E7</v>
      </c>
      <c r="Q16" s="3">
        <v>8610000.0</v>
      </c>
      <c r="R16" s="3">
        <v>6801000.0</v>
      </c>
      <c r="S16" s="3">
        <v>1.5973E7</v>
      </c>
      <c r="T16" s="3">
        <v>1.1827E7</v>
      </c>
      <c r="U16" s="3">
        <v>1.416E7</v>
      </c>
      <c r="V16" s="3">
        <v>1.8777E7</v>
      </c>
      <c r="W16" s="3"/>
      <c r="X16" s="3"/>
      <c r="Y16" s="3"/>
      <c r="Z16" s="3"/>
    </row>
    <row r="17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" t="s">
        <v>12</v>
      </c>
      <c r="B18" s="6">
        <v>4.4188E7</v>
      </c>
      <c r="C18" s="6">
        <v>4.5012E7</v>
      </c>
      <c r="D18" s="6">
        <v>4.4508E7</v>
      </c>
      <c r="E18" s="6">
        <v>4.2332E7</v>
      </c>
      <c r="F18" s="6">
        <v>4.1864E7</v>
      </c>
      <c r="G18" s="6">
        <v>4.0808E7</v>
      </c>
      <c r="H18" s="6">
        <v>3.9484E7</v>
      </c>
      <c r="I18" s="6">
        <v>2.8068E7</v>
      </c>
      <c r="J18" s="6">
        <v>2.866E7</v>
      </c>
      <c r="K18" s="6">
        <v>2.8864E7</v>
      </c>
      <c r="L18" s="6">
        <v>2.8812E7</v>
      </c>
      <c r="M18" s="6">
        <v>2.8976E7</v>
      </c>
      <c r="N18" s="6">
        <v>2.9204E7</v>
      </c>
      <c r="O18" s="6">
        <v>2.958E7</v>
      </c>
      <c r="P18" s="6">
        <v>3.0056E7</v>
      </c>
      <c r="Q18" s="6">
        <v>3.0264E7</v>
      </c>
      <c r="R18" s="6">
        <v>2.966E7</v>
      </c>
      <c r="S18" s="6">
        <v>2.7484E7</v>
      </c>
      <c r="T18" s="6">
        <f>6572000*4</f>
        <v>26288000</v>
      </c>
      <c r="U18" s="6">
        <v>2.5784E7</v>
      </c>
      <c r="V18" s="6">
        <v>2.5179E7</v>
      </c>
      <c r="W18" s="6"/>
      <c r="X18" s="6"/>
      <c r="Y18" s="6"/>
      <c r="Z18" s="6"/>
    </row>
    <row r="19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" t="s">
        <v>13</v>
      </c>
      <c r="B20" s="4">
        <f t="shared" ref="B20:V20" si="1">B7/B6</f>
        <v>0.373306573</v>
      </c>
      <c r="C20" s="4">
        <f t="shared" si="1"/>
        <v>0.359121224</v>
      </c>
      <c r="D20" s="4">
        <f t="shared" si="1"/>
        <v>0.3515703372</v>
      </c>
      <c r="E20" s="4">
        <f t="shared" si="1"/>
        <v>0.3731358222</v>
      </c>
      <c r="F20" s="4">
        <f t="shared" si="1"/>
        <v>0.395460885</v>
      </c>
      <c r="G20" s="4">
        <f t="shared" si="1"/>
        <v>0.2592928377</v>
      </c>
      <c r="H20" s="4">
        <f t="shared" si="1"/>
        <v>0.05522929726</v>
      </c>
      <c r="I20" s="4">
        <f t="shared" si="1"/>
        <v>0.3251965671</v>
      </c>
      <c r="J20" s="4">
        <f t="shared" si="1"/>
        <v>0.2815034937</v>
      </c>
      <c r="K20" s="4">
        <f t="shared" si="1"/>
        <v>0.4009473783</v>
      </c>
      <c r="L20" s="4">
        <f t="shared" si="1"/>
        <v>0.2746258465</v>
      </c>
      <c r="M20" s="4">
        <f t="shared" si="1"/>
        <v>0.2652622528</v>
      </c>
      <c r="N20" s="4">
        <f t="shared" si="1"/>
        <v>0.2678457153</v>
      </c>
      <c r="O20" s="4">
        <f t="shared" si="1"/>
        <v>0.149813487</v>
      </c>
      <c r="P20" s="4">
        <f t="shared" si="1"/>
        <v>0.2101148222</v>
      </c>
      <c r="Q20" s="4">
        <f t="shared" si="1"/>
        <v>0.2073199361</v>
      </c>
      <c r="R20" s="4">
        <f t="shared" si="1"/>
        <v>0.2483567241</v>
      </c>
      <c r="S20" s="4">
        <f t="shared" si="1"/>
        <v>0.2761741421</v>
      </c>
      <c r="T20" s="4">
        <f t="shared" si="1"/>
        <v>0.266365165</v>
      </c>
      <c r="U20" s="4">
        <f t="shared" si="1"/>
        <v>0.2517438084</v>
      </c>
      <c r="V20" s="4">
        <f t="shared" si="1"/>
        <v>0.2374122887</v>
      </c>
      <c r="W20" s="4"/>
      <c r="X20" s="4"/>
      <c r="Y20" s="4"/>
      <c r="Z20" s="4"/>
    </row>
    <row r="21">
      <c r="A21" s="2" t="s">
        <v>14</v>
      </c>
      <c r="B21" s="7">
        <f t="shared" ref="B21:V21" si="2">B5*(1-B20)</f>
        <v>12021860.01</v>
      </c>
      <c r="C21" s="7">
        <f t="shared" si="2"/>
        <v>14511418.12</v>
      </c>
      <c r="D21" s="7">
        <f t="shared" si="2"/>
        <v>14806891.35</v>
      </c>
      <c r="E21" s="7">
        <f t="shared" si="2"/>
        <v>7158788.91</v>
      </c>
      <c r="F21" s="7">
        <f t="shared" si="2"/>
        <v>-5759444.149</v>
      </c>
      <c r="G21" s="7">
        <f t="shared" si="2"/>
        <v>5863437.897</v>
      </c>
      <c r="H21" s="7">
        <f t="shared" si="2"/>
        <v>3716727.945</v>
      </c>
      <c r="I21" s="7">
        <f t="shared" si="2"/>
        <v>12677532.09</v>
      </c>
      <c r="J21" s="7">
        <f t="shared" si="2"/>
        <v>17549995.66</v>
      </c>
      <c r="K21" s="7">
        <f t="shared" si="2"/>
        <v>-25858705.47</v>
      </c>
      <c r="L21" s="7">
        <f t="shared" si="2"/>
        <v>26423929.66</v>
      </c>
      <c r="M21" s="7">
        <f t="shared" si="2"/>
        <v>21264045.14</v>
      </c>
      <c r="N21" s="7">
        <f t="shared" si="2"/>
        <v>21921431.44</v>
      </c>
      <c r="O21" s="7">
        <f t="shared" si="2"/>
        <v>31447548.93</v>
      </c>
      <c r="P21" s="7">
        <f t="shared" si="2"/>
        <v>39879722.86</v>
      </c>
      <c r="Q21" s="7">
        <f t="shared" si="2"/>
        <v>28653006.27</v>
      </c>
      <c r="R21" s="7">
        <f t="shared" si="2"/>
        <v>37524287.26</v>
      </c>
      <c r="S21" s="7">
        <f t="shared" si="2"/>
        <v>42687629.97</v>
      </c>
      <c r="T21" s="7">
        <f t="shared" si="2"/>
        <v>44494952.75</v>
      </c>
      <c r="U21" s="7">
        <f t="shared" si="2"/>
        <v>44731503.39</v>
      </c>
      <c r="V21" s="7">
        <f t="shared" si="2"/>
        <v>47404739.9</v>
      </c>
      <c r="W21" s="7"/>
      <c r="X21" s="7"/>
      <c r="Y21" s="7"/>
      <c r="Z21" s="7"/>
    </row>
    <row r="22">
      <c r="A22" s="2" t="s">
        <v>15</v>
      </c>
      <c r="B22" s="7">
        <f t="shared" ref="B22:V22" si="3">B12+B13</f>
        <v>87292000</v>
      </c>
      <c r="C22" s="7">
        <f t="shared" si="3"/>
        <v>103700000</v>
      </c>
      <c r="D22" s="7">
        <f t="shared" si="3"/>
        <v>113748000</v>
      </c>
      <c r="E22" s="7">
        <f t="shared" si="3"/>
        <v>110622000</v>
      </c>
      <c r="F22" s="7">
        <f t="shared" si="3"/>
        <v>100127000</v>
      </c>
      <c r="G22" s="7">
        <f t="shared" si="3"/>
        <v>95365000</v>
      </c>
      <c r="H22" s="7">
        <f t="shared" si="3"/>
        <v>101655000</v>
      </c>
      <c r="I22" s="7">
        <f t="shared" si="3"/>
        <v>63921000</v>
      </c>
      <c r="J22" s="7">
        <f t="shared" si="3"/>
        <v>77826000</v>
      </c>
      <c r="K22" s="7">
        <f t="shared" si="3"/>
        <v>77873000</v>
      </c>
      <c r="L22" s="7">
        <f t="shared" si="3"/>
        <v>74384000</v>
      </c>
      <c r="M22" s="7">
        <f t="shared" si="3"/>
        <v>74306000</v>
      </c>
      <c r="N22" s="7">
        <f t="shared" si="3"/>
        <v>93226000</v>
      </c>
      <c r="O22" s="7">
        <f t="shared" si="3"/>
        <v>123209000</v>
      </c>
      <c r="P22" s="7">
        <f t="shared" si="3"/>
        <v>175750000</v>
      </c>
      <c r="Q22" s="7">
        <f t="shared" si="3"/>
        <v>201966000</v>
      </c>
      <c r="R22" s="7">
        <f t="shared" si="3"/>
        <v>212040000</v>
      </c>
      <c r="S22" s="7">
        <f t="shared" si="3"/>
        <v>177842000</v>
      </c>
      <c r="T22" s="7">
        <f t="shared" si="3"/>
        <v>199140000</v>
      </c>
      <c r="U22" s="7">
        <f t="shared" si="3"/>
        <v>221404000</v>
      </c>
      <c r="V22" s="7">
        <f t="shared" si="3"/>
        <v>241000000</v>
      </c>
      <c r="W22" s="7"/>
      <c r="X22" s="7"/>
      <c r="Y22" s="7"/>
      <c r="Z22" s="7"/>
    </row>
    <row r="23">
      <c r="A23" s="2" t="s">
        <v>16</v>
      </c>
      <c r="B23" s="7">
        <f t="shared" ref="B23:V23" si="4">B15-B16</f>
        <v>14986000</v>
      </c>
      <c r="C23" s="7">
        <f t="shared" si="4"/>
        <v>13702000</v>
      </c>
      <c r="D23" s="7">
        <f t="shared" si="4"/>
        <v>13431000</v>
      </c>
      <c r="E23" s="7">
        <f t="shared" si="4"/>
        <v>13336000</v>
      </c>
      <c r="F23" s="7">
        <f t="shared" si="4"/>
        <v>2144000</v>
      </c>
      <c r="G23" s="7">
        <f t="shared" si="4"/>
        <v>16340000</v>
      </c>
      <c r="H23" s="7">
        <f t="shared" si="4"/>
        <v>30108000</v>
      </c>
      <c r="I23" s="7">
        <f t="shared" si="4"/>
        <v>41945000</v>
      </c>
      <c r="J23" s="7">
        <f t="shared" si="4"/>
        <v>66099000</v>
      </c>
      <c r="K23" s="7">
        <f t="shared" si="4"/>
        <v>64964000</v>
      </c>
      <c r="L23" s="7">
        <f t="shared" si="4"/>
        <v>97635000</v>
      </c>
      <c r="M23" s="7">
        <f t="shared" si="4"/>
        <v>73201000</v>
      </c>
      <c r="N23" s="7">
        <f t="shared" si="4"/>
        <v>109172000</v>
      </c>
      <c r="O23" s="7">
        <f t="shared" si="4"/>
        <v>64105000</v>
      </c>
      <c r="P23" s="7">
        <f t="shared" si="4"/>
        <v>66339000</v>
      </c>
      <c r="Q23" s="7">
        <f t="shared" si="4"/>
        <v>-36525000</v>
      </c>
      <c r="R23" s="7">
        <f t="shared" si="4"/>
        <v>-22260000</v>
      </c>
      <c r="S23" s="7">
        <f t="shared" si="4"/>
        <v>11805000</v>
      </c>
      <c r="T23" s="7">
        <f t="shared" si="4"/>
        <v>55395000</v>
      </c>
      <c r="U23" s="7">
        <f t="shared" si="4"/>
        <v>-4073000</v>
      </c>
      <c r="V23" s="7">
        <f t="shared" si="4"/>
        <v>47178000</v>
      </c>
      <c r="W23" s="7"/>
      <c r="X23" s="7"/>
      <c r="Y23" s="7"/>
      <c r="Z23" s="7"/>
    </row>
    <row r="24">
      <c r="W24" s="8" t="s">
        <v>17</v>
      </c>
      <c r="X24" s="8" t="s">
        <v>18</v>
      </c>
    </row>
    <row r="25">
      <c r="A25" s="2" t="s">
        <v>19</v>
      </c>
      <c r="B25" s="5">
        <f t="shared" ref="B25:V25" si="5">B21/B22</f>
        <v>0.1377200661</v>
      </c>
      <c r="C25" s="5">
        <f t="shared" si="5"/>
        <v>0.1399365297</v>
      </c>
      <c r="D25" s="5">
        <f t="shared" si="5"/>
        <v>0.1301727622</v>
      </c>
      <c r="E25" s="5">
        <f t="shared" si="5"/>
        <v>0.06471397109</v>
      </c>
      <c r="F25" s="5">
        <f t="shared" si="5"/>
        <v>-0.05752138932</v>
      </c>
      <c r="G25" s="5">
        <f t="shared" si="5"/>
        <v>0.06148417026</v>
      </c>
      <c r="H25" s="5">
        <f t="shared" si="5"/>
        <v>0.03656217544</v>
      </c>
      <c r="I25" s="5">
        <f t="shared" si="5"/>
        <v>0.1983312541</v>
      </c>
      <c r="J25" s="5">
        <f t="shared" si="5"/>
        <v>0.2255029895</v>
      </c>
      <c r="K25" s="5">
        <f t="shared" si="5"/>
        <v>-0.3320625309</v>
      </c>
      <c r="L25" s="5">
        <f t="shared" si="5"/>
        <v>0.35523674</v>
      </c>
      <c r="M25" s="5">
        <f t="shared" si="5"/>
        <v>0.2861686155</v>
      </c>
      <c r="N25" s="5">
        <f t="shared" si="5"/>
        <v>0.235142894</v>
      </c>
      <c r="O25" s="5">
        <f t="shared" si="5"/>
        <v>0.2552374334</v>
      </c>
      <c r="P25" s="5">
        <f t="shared" si="5"/>
        <v>0.2269116521</v>
      </c>
      <c r="Q25" s="5">
        <f t="shared" si="5"/>
        <v>0.1418704449</v>
      </c>
      <c r="R25" s="5">
        <f t="shared" si="5"/>
        <v>0.1769679648</v>
      </c>
      <c r="S25" s="5">
        <f t="shared" si="5"/>
        <v>0.2400312073</v>
      </c>
      <c r="T25" s="5">
        <f t="shared" si="5"/>
        <v>0.2234355365</v>
      </c>
      <c r="U25" s="5">
        <f t="shared" si="5"/>
        <v>0.2020356606</v>
      </c>
      <c r="V25" s="5">
        <f t="shared" si="5"/>
        <v>0.1967001656</v>
      </c>
      <c r="W25" s="9">
        <f>AVERAGE(B25:V25)</f>
        <v>0.1497418244</v>
      </c>
      <c r="X25" s="9">
        <f>AVERAGE(L25:V25)</f>
        <v>0.2308853013</v>
      </c>
      <c r="Y25" s="5"/>
      <c r="Z25" s="5"/>
    </row>
    <row r="26">
      <c r="A26" s="2" t="s">
        <v>20</v>
      </c>
      <c r="B26" s="5">
        <f t="shared" ref="B26:V26" si="6">B5/B3</f>
        <v>0.08290368168</v>
      </c>
      <c r="C26" s="5">
        <f t="shared" si="6"/>
        <v>0.08736264584</v>
      </c>
      <c r="D26" s="5">
        <f t="shared" si="6"/>
        <v>0.07895564861</v>
      </c>
      <c r="E26" s="5">
        <f t="shared" si="6"/>
        <v>0.04071765763</v>
      </c>
      <c r="F26" s="5">
        <f t="shared" si="6"/>
        <v>-0.04029011249</v>
      </c>
      <c r="G26" s="5">
        <f t="shared" si="6"/>
        <v>0.0289832786</v>
      </c>
      <c r="H26" s="5">
        <f t="shared" si="6"/>
        <v>0.01249388644</v>
      </c>
      <c r="I26" s="5">
        <f t="shared" si="6"/>
        <v>0.04665815642</v>
      </c>
      <c r="J26" s="5">
        <f t="shared" si="6"/>
        <v>0.04584080894</v>
      </c>
      <c r="K26" s="5">
        <f t="shared" si="6"/>
        <v>-0.06783320631</v>
      </c>
      <c r="L26" s="5">
        <f t="shared" si="6"/>
        <v>0.04917114469</v>
      </c>
      <c r="M26" s="5">
        <f t="shared" si="6"/>
        <v>0.03442955272</v>
      </c>
      <c r="N26" s="5">
        <f t="shared" si="6"/>
        <v>0.03252929059</v>
      </c>
      <c r="O26" s="5">
        <f t="shared" si="6"/>
        <v>0.03932080221</v>
      </c>
      <c r="P26" s="5">
        <f t="shared" si="6"/>
        <v>0.05357891397</v>
      </c>
      <c r="Q26" s="5">
        <f t="shared" si="6"/>
        <v>0.04103771014</v>
      </c>
      <c r="R26" s="5">
        <f t="shared" si="6"/>
        <v>0.05226630764</v>
      </c>
      <c r="S26" s="5">
        <f t="shared" si="6"/>
        <v>0.05593620948</v>
      </c>
      <c r="T26" s="5">
        <f t="shared" si="6"/>
        <v>0.05671897781</v>
      </c>
      <c r="U26" s="5">
        <f t="shared" si="6"/>
        <v>0.05223187489</v>
      </c>
      <c r="V26" s="5">
        <f t="shared" si="6"/>
        <v>0.05011940679</v>
      </c>
      <c r="W26" s="5"/>
      <c r="X26" s="5"/>
      <c r="Y26" s="5"/>
      <c r="Z26" s="5"/>
    </row>
    <row r="27">
      <c r="A27" s="2" t="s">
        <v>21</v>
      </c>
      <c r="B27" s="5">
        <f t="shared" ref="B27:V27" si="7">B12/B13</f>
        <v>0.0167967385</v>
      </c>
      <c r="C27" s="5">
        <f t="shared" si="7"/>
        <v>0</v>
      </c>
      <c r="D27" s="5">
        <f t="shared" si="7"/>
        <v>0</v>
      </c>
      <c r="E27" s="5">
        <f t="shared" si="7"/>
        <v>0</v>
      </c>
      <c r="F27" s="5">
        <f t="shared" si="7"/>
        <v>0</v>
      </c>
      <c r="G27" s="5">
        <f t="shared" si="7"/>
        <v>0</v>
      </c>
      <c r="H27" s="5">
        <f t="shared" si="7"/>
        <v>0</v>
      </c>
      <c r="I27" s="5">
        <f t="shared" si="7"/>
        <v>0.1860063827</v>
      </c>
      <c r="J27" s="5">
        <f t="shared" si="7"/>
        <v>0.07267790443</v>
      </c>
      <c r="K27" s="5">
        <f t="shared" si="7"/>
        <v>1.372730043</v>
      </c>
      <c r="L27" s="5">
        <f t="shared" si="7"/>
        <v>0.3635680372</v>
      </c>
      <c r="M27" s="5">
        <f t="shared" si="7"/>
        <v>0.06619029171</v>
      </c>
      <c r="N27" s="5">
        <f t="shared" si="7"/>
        <v>0.04944052953</v>
      </c>
      <c r="O27" s="5">
        <f t="shared" si="7"/>
        <v>0.03504792628</v>
      </c>
      <c r="P27" s="5">
        <f t="shared" si="7"/>
        <v>0.02299780558</v>
      </c>
      <c r="Q27" s="5">
        <f t="shared" si="7"/>
        <v>0.01882109617</v>
      </c>
      <c r="R27" s="5">
        <f t="shared" si="7"/>
        <v>0.01683211049</v>
      </c>
      <c r="S27" s="5">
        <f t="shared" si="7"/>
        <v>0</v>
      </c>
      <c r="T27" s="5">
        <f t="shared" si="7"/>
        <v>0</v>
      </c>
      <c r="U27" s="5">
        <f t="shared" si="7"/>
        <v>0</v>
      </c>
      <c r="V27" s="5">
        <f t="shared" si="7"/>
        <v>0</v>
      </c>
      <c r="W27" s="5"/>
      <c r="X27" s="5"/>
      <c r="Y27" s="5"/>
      <c r="Z27" s="5"/>
    </row>
    <row r="29">
      <c r="A29" s="1" t="s">
        <v>22</v>
      </c>
    </row>
    <row r="30">
      <c r="A30" s="2" t="s">
        <v>23</v>
      </c>
      <c r="B30" s="3">
        <v>2.4667E7</v>
      </c>
      <c r="C30" s="3">
        <v>2.7199E7</v>
      </c>
      <c r="D30" s="3">
        <v>2.9031E7</v>
      </c>
      <c r="E30" s="3">
        <v>3.0887E7</v>
      </c>
      <c r="F30" s="3">
        <v>4.1109E7</v>
      </c>
      <c r="G30" s="3">
        <v>3.6284E7</v>
      </c>
      <c r="H30" s="3">
        <v>5.3837E7</v>
      </c>
      <c r="I30" s="3">
        <v>7.1086E7</v>
      </c>
      <c r="J30" s="3">
        <v>1.08617E8</v>
      </c>
      <c r="K30" s="3">
        <v>2.13451E8</v>
      </c>
      <c r="L30" s="3">
        <v>1.71137E8</v>
      </c>
      <c r="M30" s="3">
        <v>2.1043E8</v>
      </c>
      <c r="N30" s="3">
        <v>2.34681E8</v>
      </c>
      <c r="O30" s="3">
        <v>2.35579E8</v>
      </c>
      <c r="P30" s="3">
        <v>2.1189E8</v>
      </c>
      <c r="Q30" s="3">
        <v>2.00744E8</v>
      </c>
      <c r="R30" s="3">
        <v>1.96949E8</v>
      </c>
      <c r="S30" s="3">
        <v>2.09145E8</v>
      </c>
      <c r="T30" s="3">
        <v>2.05975E8</v>
      </c>
      <c r="U30" s="3">
        <v>2.01736E8</v>
      </c>
      <c r="V30" s="3">
        <v>2.04144E8</v>
      </c>
    </row>
    <row r="31">
      <c r="A31" s="2" t="s">
        <v>24</v>
      </c>
      <c r="B31" s="3">
        <v>5729000.0</v>
      </c>
      <c r="C31" s="3">
        <v>3843000.0</v>
      </c>
      <c r="D31" s="3">
        <v>6031000.0</v>
      </c>
      <c r="E31" s="3">
        <v>7186000.0</v>
      </c>
      <c r="F31" s="3">
        <v>1.0509E7</v>
      </c>
      <c r="G31" s="3">
        <v>1.4768E7</v>
      </c>
      <c r="H31" s="3">
        <v>1.8718E7</v>
      </c>
      <c r="I31" s="3">
        <v>2.4541E7</v>
      </c>
      <c r="J31" s="3">
        <v>3.5841E7</v>
      </c>
      <c r="K31" s="3">
        <v>6.1064E7</v>
      </c>
      <c r="L31" s="3">
        <v>6.5581E7</v>
      </c>
      <c r="M31" s="3">
        <v>8.1339E7</v>
      </c>
      <c r="N31" s="3">
        <v>9.7673E7</v>
      </c>
      <c r="O31" s="3">
        <v>1.09319E8</v>
      </c>
      <c r="P31" s="3">
        <v>1.18273E8</v>
      </c>
      <c r="Q31" s="3">
        <v>1.0204E8</v>
      </c>
      <c r="R31" s="3">
        <v>8.0028E7</v>
      </c>
      <c r="S31" s="3">
        <v>6.2917E7</v>
      </c>
      <c r="T31" s="3">
        <v>5.0006E7</v>
      </c>
      <c r="U31" s="3">
        <v>3.9081E7</v>
      </c>
      <c r="V31" s="3">
        <v>3.2875E7</v>
      </c>
    </row>
    <row r="32">
      <c r="A32" s="2" t="s">
        <v>25</v>
      </c>
      <c r="B32" s="3">
        <v>8532000.0</v>
      </c>
      <c r="C32" s="3">
        <v>5295000.0</v>
      </c>
      <c r="D32" s="3">
        <v>4021000.0</v>
      </c>
      <c r="E32" s="3">
        <v>5235000.0</v>
      </c>
      <c r="F32" s="3">
        <v>1.456E7</v>
      </c>
      <c r="G32" s="3">
        <v>2.1847E7</v>
      </c>
      <c r="H32" s="3">
        <v>3.0596E7</v>
      </c>
      <c r="I32" s="3">
        <v>4.6023E7</v>
      </c>
      <c r="J32" s="3">
        <v>7.6603E7</v>
      </c>
      <c r="K32" s="3">
        <v>1.64214E8</v>
      </c>
      <c r="L32" s="3">
        <v>1.90094E8</v>
      </c>
      <c r="M32" s="3">
        <v>2.31198E8</v>
      </c>
      <c r="N32" s="3">
        <v>2.65844E8</v>
      </c>
      <c r="O32" s="3">
        <v>3.04078E8</v>
      </c>
      <c r="P32" s="3">
        <v>3.20713E8</v>
      </c>
      <c r="Q32" s="3">
        <v>2.55706E8</v>
      </c>
      <c r="R32" s="3">
        <v>1.99379E8</v>
      </c>
      <c r="S32" s="3">
        <v>1.5307E8</v>
      </c>
      <c r="T32" s="3">
        <v>1.17757E8</v>
      </c>
      <c r="U32" s="3">
        <v>8.9365E7</v>
      </c>
      <c r="V32" s="3">
        <v>7.5709E7</v>
      </c>
    </row>
    <row r="33">
      <c r="A33" s="2" t="s">
        <v>26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1.892E7</v>
      </c>
      <c r="T33" s="3">
        <v>7.3088E7</v>
      </c>
      <c r="U33" s="3">
        <v>8.0974E7</v>
      </c>
      <c r="V33" s="3">
        <v>6.5017E7</v>
      </c>
    </row>
    <row r="34">
      <c r="A34" s="2" t="s">
        <v>27</v>
      </c>
      <c r="B34" s="3">
        <v>663000.0</v>
      </c>
      <c r="C34" s="3">
        <v>817000.0</v>
      </c>
      <c r="D34" s="3">
        <v>752000.0</v>
      </c>
      <c r="E34" s="3">
        <v>706000.0</v>
      </c>
      <c r="F34" s="3">
        <v>600000.0</v>
      </c>
      <c r="G34" s="3">
        <v>1400000.0</v>
      </c>
      <c r="H34" s="3">
        <v>1450000.0</v>
      </c>
      <c r="I34" s="3">
        <v>1786000.0</v>
      </c>
      <c r="J34" s="3">
        <v>1862000.0</v>
      </c>
      <c r="K34" s="3">
        <v>1675000.0</v>
      </c>
      <c r="L34" s="3">
        <v>1483000.0</v>
      </c>
      <c r="M34" s="3">
        <v>1441000.0</v>
      </c>
      <c r="N34" s="3">
        <v>1381000.0</v>
      </c>
      <c r="O34" s="3">
        <v>2285000.0</v>
      </c>
      <c r="P34" s="3">
        <v>4682000.0</v>
      </c>
      <c r="Q34" s="3">
        <v>5925000.0</v>
      </c>
      <c r="R34" s="3">
        <v>7362000.0</v>
      </c>
      <c r="S34" s="3">
        <v>7070000.0</v>
      </c>
      <c r="T34" s="3">
        <v>8987000.0</v>
      </c>
      <c r="U34" s="3">
        <v>1.0788E7</v>
      </c>
      <c r="V34" s="3">
        <v>1.2977E7</v>
      </c>
    </row>
    <row r="35">
      <c r="A35" s="2" t="s">
        <v>28</v>
      </c>
      <c r="B35" s="3">
        <v>945000.0</v>
      </c>
      <c r="C35" s="3">
        <v>2869000.0</v>
      </c>
      <c r="D35" s="3">
        <v>3183000.0</v>
      </c>
      <c r="E35" s="3">
        <v>2080000.0</v>
      </c>
      <c r="F35" s="3">
        <v>1003000.0</v>
      </c>
      <c r="G35" s="3">
        <v>849000.0</v>
      </c>
      <c r="H35" s="3">
        <v>1174000.0</v>
      </c>
      <c r="I35" s="3">
        <v>776000.0</v>
      </c>
      <c r="J35" s="3">
        <v>723000.0</v>
      </c>
      <c r="K35" s="3">
        <v>543000.0</v>
      </c>
      <c r="L35" s="3">
        <v>771000.0</v>
      </c>
      <c r="M35" s="3">
        <v>956000.0</v>
      </c>
      <c r="N35" s="3">
        <v>4668000.0</v>
      </c>
      <c r="O35" s="3">
        <v>9077000.0</v>
      </c>
      <c r="P35" s="3">
        <v>1.252E7</v>
      </c>
      <c r="Q35" s="3">
        <v>7977000.0</v>
      </c>
      <c r="R35" s="3">
        <v>7215000.0</v>
      </c>
      <c r="S35" s="3">
        <v>6476000.0</v>
      </c>
      <c r="T35" s="3">
        <v>8643000.0</v>
      </c>
      <c r="U35" s="3">
        <v>1.113E7</v>
      </c>
      <c r="V35" s="3">
        <v>9259000.0</v>
      </c>
    </row>
    <row r="36">
      <c r="A36" s="2" t="s">
        <v>29</v>
      </c>
      <c r="B36" s="3">
        <v>5985000.0</v>
      </c>
      <c r="C36" s="3">
        <v>6181000.0</v>
      </c>
      <c r="D36" s="3">
        <v>4884000.0</v>
      </c>
      <c r="E36" s="3">
        <v>2.1096E7</v>
      </c>
      <c r="F36" s="3">
        <v>2.3905E7</v>
      </c>
      <c r="G36" s="3">
        <v>3.9243E7</v>
      </c>
      <c r="H36" s="3">
        <v>4.2196E7</v>
      </c>
      <c r="I36" s="3">
        <v>3.6373E7</v>
      </c>
      <c r="J36" s="3">
        <v>3.6901E7</v>
      </c>
      <c r="K36" s="3">
        <v>1.13196E8</v>
      </c>
      <c r="L36" s="3">
        <v>2.70108E8</v>
      </c>
      <c r="M36" s="3">
        <v>6317000.0</v>
      </c>
      <c r="N36" s="3">
        <v>1873000.0</v>
      </c>
      <c r="O36" s="3">
        <v>2103000.0</v>
      </c>
      <c r="P36" s="3">
        <v>8.259E7</v>
      </c>
      <c r="Q36" s="3">
        <v>1.01244E8</v>
      </c>
      <c r="R36" s="3">
        <v>9.6763E7</v>
      </c>
      <c r="S36" s="3">
        <v>2.83591E8</v>
      </c>
      <c r="T36" s="3">
        <v>3.2408E8</v>
      </c>
      <c r="U36" s="3">
        <v>2.98636E8</v>
      </c>
      <c r="V36" s="3">
        <v>2.6558E8</v>
      </c>
    </row>
    <row r="38">
      <c r="A38" s="2" t="s">
        <v>30</v>
      </c>
      <c r="B38" s="7">
        <f t="shared" ref="B38:V38" si="8">B31+B32+B33+B34</f>
        <v>14924000</v>
      </c>
      <c r="C38" s="7">
        <f t="shared" si="8"/>
        <v>9955000</v>
      </c>
      <c r="D38" s="7">
        <f t="shared" si="8"/>
        <v>10804000</v>
      </c>
      <c r="E38" s="7">
        <f t="shared" si="8"/>
        <v>13127000</v>
      </c>
      <c r="F38" s="7">
        <f t="shared" si="8"/>
        <v>25669000</v>
      </c>
      <c r="G38" s="7">
        <f t="shared" si="8"/>
        <v>38015000</v>
      </c>
      <c r="H38" s="7">
        <f t="shared" si="8"/>
        <v>50764000</v>
      </c>
      <c r="I38" s="7">
        <f t="shared" si="8"/>
        <v>72350000</v>
      </c>
      <c r="J38" s="7">
        <f t="shared" si="8"/>
        <v>114306000</v>
      </c>
      <c r="K38" s="7">
        <f t="shared" si="8"/>
        <v>226953000</v>
      </c>
      <c r="L38" s="7">
        <f t="shared" si="8"/>
        <v>257158000</v>
      </c>
      <c r="M38" s="7">
        <f t="shared" si="8"/>
        <v>313978000</v>
      </c>
      <c r="N38" s="7">
        <f t="shared" si="8"/>
        <v>364898000</v>
      </c>
      <c r="O38" s="7">
        <f t="shared" si="8"/>
        <v>415682000</v>
      </c>
      <c r="P38" s="7">
        <f t="shared" si="8"/>
        <v>443668000</v>
      </c>
      <c r="Q38" s="7">
        <f t="shared" si="8"/>
        <v>363671000</v>
      </c>
      <c r="R38" s="7">
        <f t="shared" si="8"/>
        <v>286769000</v>
      </c>
      <c r="S38" s="7">
        <f t="shared" si="8"/>
        <v>241977000</v>
      </c>
      <c r="T38" s="7">
        <f t="shared" si="8"/>
        <v>249838000</v>
      </c>
      <c r="U38" s="7">
        <f t="shared" si="8"/>
        <v>220208000</v>
      </c>
      <c r="V38" s="7">
        <f t="shared" si="8"/>
        <v>186578000</v>
      </c>
      <c r="W38" s="10" t="s">
        <v>31</v>
      </c>
    </row>
    <row r="39">
      <c r="A39" s="2" t="s">
        <v>32</v>
      </c>
      <c r="B39" s="5">
        <f t="shared" ref="B39:V39" si="9">B38/B13</f>
        <v>0.1738380897</v>
      </c>
      <c r="C39" s="5">
        <f t="shared" si="9"/>
        <v>0.09599807136</v>
      </c>
      <c r="D39" s="5">
        <f t="shared" si="9"/>
        <v>0.09498188979</v>
      </c>
      <c r="E39" s="5">
        <f t="shared" si="9"/>
        <v>0.1186653649</v>
      </c>
      <c r="F39" s="5">
        <f t="shared" si="9"/>
        <v>0.2563644172</v>
      </c>
      <c r="G39" s="5">
        <f t="shared" si="9"/>
        <v>0.3986263304</v>
      </c>
      <c r="H39" s="5">
        <f t="shared" si="9"/>
        <v>0.4993753382</v>
      </c>
      <c r="I39" s="5">
        <f t="shared" si="9"/>
        <v>1.342400178</v>
      </c>
      <c r="J39" s="5">
        <f t="shared" si="9"/>
        <v>1.575482751</v>
      </c>
      <c r="K39" s="5">
        <f t="shared" si="9"/>
        <v>6.915082267</v>
      </c>
      <c r="L39" s="5">
        <f t="shared" si="9"/>
        <v>4.714084068</v>
      </c>
      <c r="M39" s="5">
        <f t="shared" si="9"/>
        <v>4.505158337</v>
      </c>
      <c r="N39" s="5">
        <f t="shared" si="9"/>
        <v>4.107638967</v>
      </c>
      <c r="O39" s="5">
        <f t="shared" si="9"/>
        <v>3.49204029</v>
      </c>
      <c r="P39" s="5">
        <f t="shared" si="9"/>
        <v>2.582483018</v>
      </c>
      <c r="Q39" s="5">
        <f t="shared" si="9"/>
        <v>1.834544858</v>
      </c>
      <c r="R39" s="5">
        <f t="shared" si="9"/>
        <v>1.375193018</v>
      </c>
      <c r="S39" s="5">
        <f t="shared" si="9"/>
        <v>1.360629098</v>
      </c>
      <c r="T39" s="5">
        <f t="shared" si="9"/>
        <v>1.254584714</v>
      </c>
      <c r="U39" s="5">
        <f t="shared" si="9"/>
        <v>0.9945981102</v>
      </c>
      <c r="V39" s="5">
        <f t="shared" si="9"/>
        <v>0.7741825726</v>
      </c>
      <c r="W39" s="11">
        <f>AVERAGE(B39:V39)</f>
        <v>1.831711988</v>
      </c>
    </row>
    <row r="40">
      <c r="W40" s="12"/>
    </row>
    <row r="41">
      <c r="A41" s="2" t="s">
        <v>33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f t="shared" ref="S41:V41" si="10">S30/S3</f>
        <v>0.1983684363</v>
      </c>
      <c r="T41" s="5">
        <f t="shared" si="10"/>
        <v>0.192624756</v>
      </c>
      <c r="U41" s="5">
        <f t="shared" si="10"/>
        <v>0.176260844</v>
      </c>
      <c r="V41" s="5">
        <f t="shared" si="10"/>
        <v>0.1645927027</v>
      </c>
      <c r="W41" s="11">
        <f t="shared" ref="W41:W42" si="12">AVERAGE(B41:V41)</f>
        <v>0.1829616848</v>
      </c>
    </row>
    <row r="42">
      <c r="A42" s="2" t="s">
        <v>34</v>
      </c>
      <c r="S42" s="5">
        <f t="shared" ref="S42:V42" si="11">1-S41</f>
        <v>0.8016315637</v>
      </c>
      <c r="T42" s="5">
        <f t="shared" si="11"/>
        <v>0.807375244</v>
      </c>
      <c r="U42" s="5">
        <f t="shared" si="11"/>
        <v>0.823739156</v>
      </c>
      <c r="V42" s="5">
        <f t="shared" si="11"/>
        <v>0.8354072973</v>
      </c>
      <c r="W42" s="11">
        <f t="shared" si="12"/>
        <v>0.8170383152</v>
      </c>
    </row>
    <row r="43">
      <c r="W43" s="12"/>
    </row>
    <row r="44">
      <c r="A44" s="2" t="s">
        <v>35</v>
      </c>
      <c r="B44" s="5">
        <f t="shared" ref="B44:V44" si="13">B35/(B11+B36)</f>
        <v>0.01403201378</v>
      </c>
      <c r="C44" s="5">
        <f t="shared" si="13"/>
        <v>0.03772270068</v>
      </c>
      <c r="D44" s="5">
        <f t="shared" si="13"/>
        <v>0.04704195794</v>
      </c>
      <c r="E44" s="5">
        <f t="shared" si="13"/>
        <v>0.03285420945</v>
      </c>
      <c r="F44" s="5">
        <f t="shared" si="13"/>
        <v>0.01655771263</v>
      </c>
      <c r="G44" s="5">
        <f t="shared" si="13"/>
        <v>0.01209970499</v>
      </c>
      <c r="H44" s="5">
        <f t="shared" si="13"/>
        <v>0.01279326991</v>
      </c>
      <c r="I44" s="5">
        <f t="shared" si="13"/>
        <v>0.009449585972</v>
      </c>
      <c r="J44" s="5">
        <f t="shared" si="13"/>
        <v>0.005542013522</v>
      </c>
      <c r="K44" s="5">
        <f t="shared" si="13"/>
        <v>0.004353054353</v>
      </c>
      <c r="L44" s="5">
        <f t="shared" si="13"/>
        <v>0.002610674306</v>
      </c>
      <c r="M44" s="5">
        <f t="shared" si="13"/>
        <v>0.01674695629</v>
      </c>
      <c r="N44" s="5">
        <f t="shared" si="13"/>
        <v>0.07564659363</v>
      </c>
      <c r="O44" s="5">
        <f t="shared" si="13"/>
        <v>0.2422212734</v>
      </c>
      <c r="P44" s="5">
        <f t="shared" si="13"/>
        <v>0.09845863479</v>
      </c>
      <c r="Q44" s="5">
        <f t="shared" si="13"/>
        <v>0.04694230633</v>
      </c>
      <c r="R44" s="5">
        <f t="shared" si="13"/>
        <v>0.04341991238</v>
      </c>
      <c r="S44" s="5">
        <f t="shared" si="13"/>
        <v>0.01726868864</v>
      </c>
      <c r="T44" s="5">
        <f t="shared" si="13"/>
        <v>0.02186728333</v>
      </c>
      <c r="U44" s="5">
        <f t="shared" si="13"/>
        <v>0.03144041152</v>
      </c>
      <c r="V44" s="5">
        <f t="shared" si="13"/>
        <v>0.02567572439</v>
      </c>
      <c r="W44" s="11">
        <f t="shared" ref="W44:W45" si="15">AVERAGE(B44:V44)</f>
        <v>0.03879736582</v>
      </c>
    </row>
    <row r="45">
      <c r="A45" s="2" t="s">
        <v>36</v>
      </c>
      <c r="B45" s="5">
        <f t="shared" ref="B45:V45" si="14">B35/B5</f>
        <v>0.04926236772</v>
      </c>
      <c r="C45" s="5">
        <f t="shared" si="14"/>
        <v>0.1267058252</v>
      </c>
      <c r="D45" s="5">
        <f t="shared" si="14"/>
        <v>0.1393912853</v>
      </c>
      <c r="E45" s="5">
        <f t="shared" si="14"/>
        <v>0.1821366025</v>
      </c>
      <c r="F45" s="5">
        <f t="shared" si="14"/>
        <v>-0.1052797313</v>
      </c>
      <c r="G45" s="5">
        <f t="shared" si="14"/>
        <v>0.1072511369</v>
      </c>
      <c r="H45" s="5">
        <f t="shared" si="14"/>
        <v>0.2984239959</v>
      </c>
      <c r="I45" s="5">
        <f t="shared" si="14"/>
        <v>0.04130515782</v>
      </c>
      <c r="J45" s="5">
        <f t="shared" si="14"/>
        <v>0.02959960698</v>
      </c>
      <c r="K45" s="5">
        <f t="shared" si="14"/>
        <v>-0.01257934485</v>
      </c>
      <c r="L45" s="5">
        <f t="shared" si="14"/>
        <v>0.02116503788</v>
      </c>
      <c r="M45" s="5">
        <f t="shared" si="14"/>
        <v>0.03303272174</v>
      </c>
      <c r="N45" s="5">
        <f t="shared" si="14"/>
        <v>0.1559066163</v>
      </c>
      <c r="O45" s="5">
        <f t="shared" si="14"/>
        <v>0.2453972803</v>
      </c>
      <c r="P45" s="5">
        <f t="shared" si="14"/>
        <v>0.247979718</v>
      </c>
      <c r="Q45" s="5">
        <f t="shared" si="14"/>
        <v>0.2206822143</v>
      </c>
      <c r="R45" s="5">
        <f t="shared" si="14"/>
        <v>0.1445225647</v>
      </c>
      <c r="S45" s="5">
        <f t="shared" si="14"/>
        <v>0.1098092412</v>
      </c>
      <c r="T45" s="5">
        <f t="shared" si="14"/>
        <v>0.142506183</v>
      </c>
      <c r="U45" s="5">
        <f t="shared" si="14"/>
        <v>0.1861795554</v>
      </c>
      <c r="V45" s="5">
        <f t="shared" si="14"/>
        <v>0.1489471229</v>
      </c>
      <c r="W45" s="11">
        <f t="shared" si="15"/>
        <v>0.1196354837</v>
      </c>
    </row>
    <row r="46">
      <c r="W46" s="12"/>
    </row>
    <row r="47">
      <c r="A47" s="13" t="s">
        <v>37</v>
      </c>
      <c r="B47" s="14">
        <f t="shared" ref="B47:V47" si="16">B35/B13</f>
        <v>0.01100757135</v>
      </c>
      <c r="C47" s="14">
        <f t="shared" si="16"/>
        <v>0.02766634523</v>
      </c>
      <c r="D47" s="14">
        <f t="shared" si="16"/>
        <v>0.02798290959</v>
      </c>
      <c r="E47" s="14">
        <f t="shared" si="16"/>
        <v>0.01880276979</v>
      </c>
      <c r="F47" s="14">
        <f t="shared" si="16"/>
        <v>0.01001727806</v>
      </c>
      <c r="G47" s="14">
        <f t="shared" si="16"/>
        <v>0.008902637236</v>
      </c>
      <c r="H47" s="14">
        <f t="shared" si="16"/>
        <v>0.01154886626</v>
      </c>
      <c r="I47" s="14">
        <f t="shared" si="16"/>
        <v>0.01439810004</v>
      </c>
      <c r="J47" s="14">
        <f t="shared" si="16"/>
        <v>0.00996512894</v>
      </c>
      <c r="K47" s="14">
        <f t="shared" si="16"/>
        <v>0.01654478976</v>
      </c>
      <c r="L47" s="14">
        <f t="shared" si="16"/>
        <v>0.01413356309</v>
      </c>
      <c r="M47" s="14">
        <f t="shared" si="16"/>
        <v>0.01371730303</v>
      </c>
      <c r="N47" s="14">
        <f t="shared" si="16"/>
        <v>0.05254744805</v>
      </c>
      <c r="O47" s="14">
        <f t="shared" si="16"/>
        <v>0.07625360182</v>
      </c>
      <c r="P47" s="14">
        <f t="shared" si="16"/>
        <v>0.07287586074</v>
      </c>
      <c r="Q47" s="14">
        <f t="shared" si="16"/>
        <v>0.04024011905</v>
      </c>
      <c r="R47" s="14">
        <f t="shared" si="16"/>
        <v>0.03459933822</v>
      </c>
      <c r="S47" s="14">
        <f t="shared" si="16"/>
        <v>0.03641434532</v>
      </c>
      <c r="T47" s="14">
        <f t="shared" si="16"/>
        <v>0.043401627</v>
      </c>
      <c r="U47" s="14">
        <f t="shared" si="16"/>
        <v>0.05027009449</v>
      </c>
      <c r="V47" s="14">
        <f t="shared" si="16"/>
        <v>0.03841908714</v>
      </c>
      <c r="W47" s="15">
        <f>AVERAGE(B47:V47)</f>
        <v>0.02998613258</v>
      </c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7"/>
      <c r="X48" s="16"/>
      <c r="Y48" s="16"/>
      <c r="Z48" s="16"/>
    </row>
    <row r="49">
      <c r="A49" s="13" t="s">
        <v>38</v>
      </c>
      <c r="B49" s="14">
        <f t="shared" ref="B49:U49" si="17">(C38-B38)/B38</f>
        <v>-0.3329536317</v>
      </c>
      <c r="C49" s="14">
        <f t="shared" si="17"/>
        <v>0.085283777</v>
      </c>
      <c r="D49" s="14">
        <f t="shared" si="17"/>
        <v>0.2150129582</v>
      </c>
      <c r="E49" s="14">
        <f t="shared" si="17"/>
        <v>0.9554353622</v>
      </c>
      <c r="F49" s="14">
        <f t="shared" si="17"/>
        <v>0.4809692625</v>
      </c>
      <c r="G49" s="14">
        <f t="shared" si="17"/>
        <v>0.335367618</v>
      </c>
      <c r="H49" s="14">
        <f t="shared" si="17"/>
        <v>0.4252225987</v>
      </c>
      <c r="I49" s="14">
        <f t="shared" si="17"/>
        <v>0.5799032481</v>
      </c>
      <c r="J49" s="14">
        <f t="shared" si="17"/>
        <v>0.9854863262</v>
      </c>
      <c r="K49" s="14">
        <f t="shared" si="17"/>
        <v>0.1330892299</v>
      </c>
      <c r="L49" s="14">
        <f t="shared" si="17"/>
        <v>0.220953655</v>
      </c>
      <c r="M49" s="14">
        <f t="shared" si="17"/>
        <v>0.1621769678</v>
      </c>
      <c r="N49" s="14">
        <f t="shared" si="17"/>
        <v>0.1391731388</v>
      </c>
      <c r="O49" s="14">
        <f t="shared" si="17"/>
        <v>0.06732550363</v>
      </c>
      <c r="P49" s="14">
        <f t="shared" si="17"/>
        <v>-0.1803082485</v>
      </c>
      <c r="Q49" s="14">
        <f t="shared" si="17"/>
        <v>-0.2114603584</v>
      </c>
      <c r="R49" s="14">
        <f t="shared" si="17"/>
        <v>-0.1561954047</v>
      </c>
      <c r="S49" s="14">
        <f t="shared" si="17"/>
        <v>0.03248655864</v>
      </c>
      <c r="T49" s="14">
        <f t="shared" si="17"/>
        <v>-0.1185968508</v>
      </c>
      <c r="U49" s="14">
        <f t="shared" si="17"/>
        <v>-0.1527192473</v>
      </c>
      <c r="V49" s="14"/>
      <c r="W49" s="15">
        <f>AVERAGE(B49:V49)</f>
        <v>0.1832826232</v>
      </c>
      <c r="X49" s="16"/>
      <c r="Y49" s="16"/>
      <c r="Z49" s="16"/>
    </row>
    <row r="50">
      <c r="R50" s="5"/>
      <c r="S50" s="5"/>
      <c r="T50" s="5"/>
      <c r="U50" s="5"/>
      <c r="W50" s="12"/>
    </row>
    <row r="51">
      <c r="A51" s="2" t="s">
        <v>39</v>
      </c>
      <c r="B51" s="5">
        <f t="shared" ref="B51:V51" si="18">B38/B3</f>
        <v>0.06449744802</v>
      </c>
      <c r="C51" s="5">
        <f t="shared" si="18"/>
        <v>0.03840900673</v>
      </c>
      <c r="D51" s="5">
        <f t="shared" si="18"/>
        <v>0.03735655036</v>
      </c>
      <c r="E51" s="5">
        <f t="shared" si="18"/>
        <v>0.04680391346</v>
      </c>
      <c r="F51" s="5">
        <f t="shared" si="18"/>
        <v>0.1085553582</v>
      </c>
      <c r="G51" s="5">
        <f t="shared" si="18"/>
        <v>0.1391863739</v>
      </c>
      <c r="H51" s="5">
        <f t="shared" si="18"/>
        <v>0.1612200436</v>
      </c>
      <c r="I51" s="5">
        <f t="shared" si="18"/>
        <v>0.1796836971</v>
      </c>
      <c r="J51" s="5">
        <f t="shared" si="18"/>
        <v>0.2145205726</v>
      </c>
      <c r="K51" s="5">
        <f t="shared" si="18"/>
        <v>0.3566452688</v>
      </c>
      <c r="L51" s="5">
        <f t="shared" si="18"/>
        <v>0.3471163178</v>
      </c>
      <c r="M51" s="5">
        <f t="shared" si="18"/>
        <v>0.3735227567</v>
      </c>
      <c r="N51" s="5">
        <f t="shared" si="18"/>
        <v>0.3964421054</v>
      </c>
      <c r="O51" s="5">
        <f t="shared" si="18"/>
        <v>0.4418867692</v>
      </c>
      <c r="P51" s="5">
        <f t="shared" si="18"/>
        <v>0.4708296942</v>
      </c>
      <c r="Q51" s="5">
        <f t="shared" si="18"/>
        <v>0.412875898</v>
      </c>
      <c r="R51" s="5">
        <f t="shared" si="18"/>
        <v>0.3002294889</v>
      </c>
      <c r="S51" s="5">
        <f t="shared" si="18"/>
        <v>0.2295087098</v>
      </c>
      <c r="T51" s="5">
        <f t="shared" si="18"/>
        <v>0.2336447812</v>
      </c>
      <c r="U51" s="5">
        <f t="shared" si="18"/>
        <v>0.1924002058</v>
      </c>
      <c r="V51" s="5">
        <f t="shared" si="18"/>
        <v>0.1504299773</v>
      </c>
      <c r="W51" s="11">
        <f>AVERAGE(A51:V51)</f>
        <v>0.2331316637</v>
      </c>
    </row>
  </sheetData>
  <drawing r:id="rId1"/>
</worksheet>
</file>