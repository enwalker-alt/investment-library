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<sst xmlns="http://schemas.openxmlformats.org/spreadsheetml/2006/main" count="39" uniqueCount="26">
  <si>
    <t>American Woodmark</t>
  </si>
  <si>
    <t>Total</t>
  </si>
  <si>
    <t>Revenue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</si>
  <si>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</si>
  <si>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</si>
  <si>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</si>
  <si>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</si>
  <si>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</si>
  <si>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</si>
  <si>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</si>
  <si>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</si>
  <si>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</si>
  <si>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</si>
  <si>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</si>
  <si>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</si>
  <si>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</si>
  <si>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</si>
  <si>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</si>
  <si>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</si>
  <si>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</si>
  <si>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</si>
  <si>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Acquisition of RSI Home Products</t>
  </si>
  <si>
    <t>Competitors</t>
  </si>
  <si>
    <t>MasterBrand</t>
  </si>
  <si>
    <t>Debt</t>
  </si>
  <si>
    <t>Masco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</si>
</sst>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10" xfId="0" applyFont="1" applyNumberFormat="1"/>
    <xf borderId="0" fillId="0" fontId="1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63"/>
    <col customWidth="1" min="2" max="2" width="14.13"/>
    <col customWidth="1" min="3" max="3" width="13.38"/>
    <col customWidth="1" min="4" max="4" width="12.75"/>
    <col customWidth="1" min="5" max="5" width="15.0"/>
    <col customWidth="1" min="6" max="6" width="14.88"/>
    <col customWidth="1" min="7" max="7" width="15.25"/>
    <col customWidth="1" min="8" max="8" width="14.63"/>
    <col customWidth="1" min="9" max="9" width="11.25"/>
    <col customWidth="1" min="10" max="10" width="11.0"/>
    <col customWidth="1" min="11" max="11" width="12.0"/>
    <col customWidth="1" min="12" max="15" width="11.25"/>
    <col customWidth="1" min="16" max="16" width="12.63"/>
    <col customWidth="1" min="17" max="17" width="26.13"/>
    <col customWidth="1" min="18" max="23" width="12.63"/>
  </cols>
  <sheetData>
    <row r="1">
      <c r="A1" s="1" t="s">
        <v>0</v>
      </c>
      <c r="B1" s="2">
        <v>2003.0</v>
      </c>
      <c r="C1" s="2">
        <v>2004.0</v>
      </c>
      <c r="D1" s="2">
        <v>2005.0</v>
      </c>
      <c r="E1" s="2">
        <v>2006.0</v>
      </c>
      <c r="F1" s="2">
        <v>2007.0</v>
      </c>
      <c r="G1" s="2">
        <v>2008.0</v>
      </c>
      <c r="H1" s="2">
        <v>2009.0</v>
      </c>
      <c r="I1" s="2">
        <v>2010.0</v>
      </c>
      <c r="J1" s="2">
        <v>2011.0</v>
      </c>
      <c r="K1" s="2">
        <v>2012.0</v>
      </c>
      <c r="L1" s="2">
        <v>2013.0</v>
      </c>
      <c r="M1" s="2">
        <v>2014.0</v>
      </c>
      <c r="N1" s="2">
        <v>2015.0</v>
      </c>
      <c r="O1" s="2">
        <v>2016.0</v>
      </c>
      <c r="P1" s="2">
        <v>2017.0</v>
      </c>
      <c r="Q1" s="2">
        <v>2018.0</v>
      </c>
      <c r="R1" s="2">
        <v>2019.0</v>
      </c>
      <c r="S1" s="2">
        <v>2020.0</v>
      </c>
      <c r="T1" s="2">
        <v>2021.0</v>
      </c>
      <c r="U1" s="2">
        <v>2022.0</v>
      </c>
      <c r="V1" s="2">
        <v>2023.0</v>
      </c>
      <c r="W1" s="2">
        <v>2024.0</v>
      </c>
      <c r="X1" s="3" t="s">
        <v>1</v>
      </c>
    </row>
    <row r="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>
      <c r="A3" s="2" t="s">
        <v>2</v>
      </c>
      <c r="B3" s="4">
        <v>5.63466E8</v>
      </c>
      <c r="C3" s="4">
        <v>6.67547E8</v>
      </c>
      <c r="D3" s="4">
        <v>7.7699E8</v>
      </c>
      <c r="E3" s="4">
        <v>8.37671E8</v>
      </c>
      <c r="F3" s="4">
        <v>7.60925E8</v>
      </c>
      <c r="G3" s="4">
        <v>6.02426E8</v>
      </c>
      <c r="H3" s="4">
        <v>5.35934E8</v>
      </c>
      <c r="I3" s="4">
        <v>4.0654E8</v>
      </c>
      <c r="J3" s="4">
        <v>4.52589E8</v>
      </c>
      <c r="K3" s="4">
        <v>5.15814E8</v>
      </c>
      <c r="L3" s="4">
        <v>6.30437E8</v>
      </c>
      <c r="M3" s="4">
        <v>7.26515E8</v>
      </c>
      <c r="N3" s="4">
        <v>8.25465E8</v>
      </c>
      <c r="O3" s="4">
        <v>9.47045E8</v>
      </c>
      <c r="P3" s="4">
        <v>1.030248E9</v>
      </c>
      <c r="Q3" s="4">
        <v>1.250274E9</v>
      </c>
      <c r="R3" s="4">
        <v>1.645319E9</v>
      </c>
      <c r="S3" s="4">
        <v>1.650333E9</v>
      </c>
      <c r="T3" s="4">
        <v>1.744014E9</v>
      </c>
      <c r="U3" s="4">
        <v>1.857186E9</v>
      </c>
      <c r="V3" s="4">
        <v>2.0662E9</v>
      </c>
      <c r="W3" s="4">
        <v>1.847502E9</v>
      </c>
      <c r="X3" s="5"/>
    </row>
    <row r="4">
      <c r="A4" s="2" t="s">
        <v>3</v>
      </c>
      <c r="B4" s="4">
        <v>5.3893E7</v>
      </c>
      <c r="C4" s="4">
        <v>5.2404E7</v>
      </c>
      <c r="D4" s="4">
        <v>5.8367E7</v>
      </c>
      <c r="E4" s="4">
        <v>5.3419E7</v>
      </c>
      <c r="F4" s="4">
        <v>4.9408E7</v>
      </c>
      <c r="G4" s="4">
        <v>4382000.0</v>
      </c>
      <c r="H4" s="4">
        <v>-7161000.0</v>
      </c>
      <c r="I4" s="4">
        <v>-3.7256E7</v>
      </c>
      <c r="J4" s="4">
        <v>-3.1054E7</v>
      </c>
      <c r="K4" s="4">
        <v>-3.3446E7</v>
      </c>
      <c r="L4" s="4">
        <v>1.7221E7</v>
      </c>
      <c r="M4" s="4">
        <v>3.4088E7</v>
      </c>
      <c r="N4" s="4">
        <v>5.4695E7</v>
      </c>
      <c r="O4" s="4">
        <v>9.316E7</v>
      </c>
      <c r="P4" s="4">
        <v>1.08238E8</v>
      </c>
      <c r="Q4" s="4">
        <v>1.07705E8</v>
      </c>
      <c r="R4" s="4">
        <v>1.41694E8</v>
      </c>
      <c r="S4" s="4">
        <v>1.32262E8</v>
      </c>
      <c r="T4" s="4">
        <v>1.1168E8</v>
      </c>
      <c r="U4" s="4">
        <v>3.6159E7</v>
      </c>
      <c r="V4" s="4">
        <v>1.36352E8</v>
      </c>
      <c r="W4" s="4">
        <v>1.61394E8</v>
      </c>
      <c r="X4" s="5"/>
    </row>
    <row r="5">
      <c r="A5" s="2" t="s">
        <v>4</v>
      </c>
      <c r="B5" s="4">
        <v>5.3893E7</v>
      </c>
      <c r="C5" s="4">
        <v>5.1996E7</v>
      </c>
      <c r="D5" s="4">
        <v>5.8345E7</v>
      </c>
      <c r="E5" s="4">
        <v>5.3701E7</v>
      </c>
      <c r="F5" s="4">
        <v>5.1178E7</v>
      </c>
      <c r="G5" s="4">
        <v>5685000.0</v>
      </c>
      <c r="H5" s="4">
        <v>-6151000.0</v>
      </c>
      <c r="I5" s="4">
        <v>-3.7055E7</v>
      </c>
      <c r="J5" s="4">
        <v>-2.996E7</v>
      </c>
      <c r="K5" s="4">
        <v>-3.3288E7</v>
      </c>
      <c r="L5" s="4">
        <v>1.674E7</v>
      </c>
      <c r="M5" s="4">
        <v>3.367E7</v>
      </c>
      <c r="N5" s="4">
        <v>5.4387E7</v>
      </c>
      <c r="O5" s="4">
        <v>9.1786E7</v>
      </c>
      <c r="P5" s="4">
        <v>1.08925E8</v>
      </c>
      <c r="Q5" s="4">
        <v>9.476E7</v>
      </c>
      <c r="R5" s="4">
        <v>1.10888E8</v>
      </c>
      <c r="S5" s="4">
        <v>1.00548E8</v>
      </c>
      <c r="T5" s="4">
        <v>7.7435E7</v>
      </c>
      <c r="U5" s="4">
        <v>-4.2979E7</v>
      </c>
      <c r="V5" s="4">
        <v>1.22686E8</v>
      </c>
      <c r="W5" s="4">
        <v>1.51968E8</v>
      </c>
      <c r="X5" s="5"/>
    </row>
    <row r="6">
      <c r="A6" s="2" t="s">
        <v>5</v>
      </c>
      <c r="B6" s="4">
        <v>2.1189E7</v>
      </c>
      <c r="C6" s="4">
        <v>2.0289E7</v>
      </c>
      <c r="D6" s="4">
        <v>2.2754E7</v>
      </c>
      <c r="E6" s="4">
        <v>2.0491E7</v>
      </c>
      <c r="F6" s="4">
        <v>1.8617E7</v>
      </c>
      <c r="G6" s="4">
        <v>1414000.0</v>
      </c>
      <c r="H6" s="4">
        <v>-2917000.0</v>
      </c>
      <c r="I6" s="4">
        <v>-1.4714E7</v>
      </c>
      <c r="J6" s="4">
        <v>-9942000.0</v>
      </c>
      <c r="K6" s="4">
        <v>-1.2502E7</v>
      </c>
      <c r="L6" s="4">
        <v>6982000.0</v>
      </c>
      <c r="M6" s="4">
        <v>1.3209E7</v>
      </c>
      <c r="N6" s="4">
        <v>1.8888E7</v>
      </c>
      <c r="O6" s="4">
        <v>3.3063E7</v>
      </c>
      <c r="P6" s="4">
        <v>3.7726E7</v>
      </c>
      <c r="Q6" s="4">
        <v>3.1619E7</v>
      </c>
      <c r="R6" s="4">
        <v>2.72E7</v>
      </c>
      <c r="S6" s="4">
        <v>2.5687E7</v>
      </c>
      <c r="T6" s="4">
        <v>1.8672E7</v>
      </c>
      <c r="U6" s="4">
        <v>-1.3257E7</v>
      </c>
      <c r="V6" s="4">
        <v>2.8936E7</v>
      </c>
      <c r="W6" s="4">
        <v>3.5752E7</v>
      </c>
      <c r="X6" s="5"/>
    </row>
    <row r="7">
      <c r="A7" s="2" t="s">
        <v>6</v>
      </c>
      <c r="B7" s="4">
        <v>3.2704E7</v>
      </c>
      <c r="C7" s="4">
        <v>3.1707E7</v>
      </c>
      <c r="D7" s="4">
        <v>3.5591E7</v>
      </c>
      <c r="E7" s="4">
        <v>3.321E7</v>
      </c>
      <c r="F7" s="4">
        <v>3.2561E7</v>
      </c>
      <c r="G7" s="4">
        <v>4271000.0</v>
      </c>
      <c r="H7" s="4">
        <v>-3234000.0</v>
      </c>
      <c r="I7" s="4">
        <v>-2.2341E7</v>
      </c>
      <c r="J7" s="4">
        <v>-2.0018E7</v>
      </c>
      <c r="K7" s="4">
        <v>-2.0786E7</v>
      </c>
      <c r="L7" s="4">
        <v>9758000.0</v>
      </c>
      <c r="M7" s="4">
        <v>2.0461E7</v>
      </c>
      <c r="N7" s="4">
        <v>3.5499E7</v>
      </c>
      <c r="O7" s="4">
        <v>5.8723E7</v>
      </c>
      <c r="P7" s="4">
        <v>7.1199E7</v>
      </c>
      <c r="Q7" s="4">
        <v>6.3141E7</v>
      </c>
      <c r="R7" s="4">
        <v>8.3688E7</v>
      </c>
      <c r="S7" s="4">
        <v>7.4861E7</v>
      </c>
      <c r="T7" s="4">
        <v>5.8763E7</v>
      </c>
      <c r="U7" s="4">
        <v>-2.9722E7</v>
      </c>
      <c r="V7" s="4">
        <v>9.3723E7</v>
      </c>
      <c r="W7" s="4">
        <v>1.16216E8</v>
      </c>
      <c r="X7" s="5"/>
    </row>
    <row r="8">
      <c r="X8" s="5"/>
    </row>
    <row r="9">
      <c r="X9" s="5"/>
    </row>
    <row r="10">
      <c r="A10" s="2" t="s">
        <v>7</v>
      </c>
      <c r="B10" s="4">
        <v>1.5512E7</v>
      </c>
      <c r="C10" s="4">
        <v>2.9432E7</v>
      </c>
      <c r="D10" s="4">
        <v>2.4406E7</v>
      </c>
      <c r="E10" s="4">
        <v>4.7955E7</v>
      </c>
      <c r="F10" s="4">
        <v>5.8125E7</v>
      </c>
      <c r="G10" s="4">
        <v>5.6932E7</v>
      </c>
      <c r="H10" s="4">
        <v>8.2821E7</v>
      </c>
      <c r="I10" s="4">
        <v>5.3233E7</v>
      </c>
      <c r="J10" s="4">
        <v>5.542E7</v>
      </c>
      <c r="K10" s="4">
        <v>6.662E7</v>
      </c>
      <c r="L10" s="4">
        <v>9.6971E7</v>
      </c>
      <c r="M10" s="4">
        <v>1.357E8</v>
      </c>
      <c r="N10" s="4">
        <v>1.49541E8</v>
      </c>
      <c r="O10" s="4">
        <v>1.74463E8</v>
      </c>
      <c r="P10" s="4">
        <v>1.76978E8</v>
      </c>
      <c r="Q10" s="4">
        <v>7.841E7</v>
      </c>
      <c r="R10" s="4">
        <v>5.7656E7</v>
      </c>
      <c r="S10" s="4">
        <v>9.7059E7</v>
      </c>
      <c r="T10" s="4">
        <v>9.1071E7</v>
      </c>
      <c r="U10" s="4">
        <v>2.2325E7</v>
      </c>
      <c r="V10" s="4">
        <v>4.1732E7</v>
      </c>
      <c r="W10" s="4">
        <v>8.7398E7</v>
      </c>
      <c r="X10" s="5"/>
    </row>
    <row r="11">
      <c r="A11" s="2" t="s">
        <v>8</v>
      </c>
      <c r="B11" s="4">
        <v>1.9948E7</v>
      </c>
      <c r="C11" s="4">
        <v>1.9016E7</v>
      </c>
      <c r="D11" s="4">
        <v>3.0263E7</v>
      </c>
      <c r="E11" s="4">
        <v>2.9217E7</v>
      </c>
      <c r="F11" s="4">
        <v>2.7762E7</v>
      </c>
      <c r="G11" s="4">
        <v>2.6907E7</v>
      </c>
      <c r="H11" s="4">
        <v>2.7334E7</v>
      </c>
      <c r="I11" s="4">
        <v>2.6475E7</v>
      </c>
      <c r="J11" s="4">
        <v>2.5583E7</v>
      </c>
      <c r="K11" s="4">
        <v>2.4665E7</v>
      </c>
      <c r="L11" s="4">
        <v>2.4749E7</v>
      </c>
      <c r="M11" s="4">
        <v>2.1599E7</v>
      </c>
      <c r="N11" s="4">
        <v>2.2955E7</v>
      </c>
      <c r="O11" s="4">
        <v>2.4052E7</v>
      </c>
      <c r="P11" s="4">
        <v>1.6877E7</v>
      </c>
      <c r="Q11" s="4">
        <v>8.1404E8</v>
      </c>
      <c r="R11" s="4">
        <v>6.91491E8</v>
      </c>
      <c r="S11" s="4">
        <v>5.97137E8</v>
      </c>
      <c r="T11" s="4">
        <v>5.21772E8</v>
      </c>
      <c r="U11" s="4">
        <v>5.08996E8</v>
      </c>
      <c r="V11" s="4">
        <v>3.71659E8</v>
      </c>
      <c r="W11" s="4">
        <v>3.74483E8</v>
      </c>
      <c r="X11" s="5"/>
    </row>
    <row r="12">
      <c r="A12" s="2" t="s">
        <v>9</v>
      </c>
      <c r="B12" s="4">
        <v>1.60099E8</v>
      </c>
      <c r="C12" s="4">
        <v>1.93145E8</v>
      </c>
      <c r="D12" s="4">
        <v>2.15191E8</v>
      </c>
      <c r="E12" s="4">
        <v>2.41661E8</v>
      </c>
      <c r="F12" s="4">
        <v>2.26097E8</v>
      </c>
      <c r="G12" s="4">
        <v>2.14634E8</v>
      </c>
      <c r="H12" s="4">
        <v>2.03682E8</v>
      </c>
      <c r="I12" s="4">
        <v>1.75318E8</v>
      </c>
      <c r="J12" s="4">
        <v>1.53965E8</v>
      </c>
      <c r="K12" s="4">
        <v>1.3002E8</v>
      </c>
      <c r="L12" s="4">
        <v>1.46195E8</v>
      </c>
      <c r="M12" s="4">
        <v>1.90545E8</v>
      </c>
      <c r="N12" s="4">
        <v>2.29842E8</v>
      </c>
      <c r="O12" s="4">
        <v>2.80761E8</v>
      </c>
      <c r="P12" s="4">
        <v>3.52449E8</v>
      </c>
      <c r="Q12" s="4">
        <v>5.81665E8</v>
      </c>
      <c r="R12" s="4">
        <v>6.20353E8</v>
      </c>
      <c r="S12" s="4">
        <v>7.00538E8</v>
      </c>
      <c r="T12" s="4">
        <v>7.42896E8</v>
      </c>
      <c r="U12" s="4">
        <v>7.72883E8</v>
      </c>
      <c r="V12" s="4">
        <v>8.73788E8</v>
      </c>
      <c r="W12" s="4">
        <v>9.10376E8</v>
      </c>
      <c r="X12" s="5"/>
    </row>
    <row r="13">
      <c r="B13" s="6"/>
      <c r="C13" s="6"/>
      <c r="X13" s="5"/>
    </row>
    <row r="14">
      <c r="A14" s="2" t="s">
        <v>10</v>
      </c>
      <c r="B14" s="4">
        <v>3.9181E7</v>
      </c>
      <c r="C14" s="4">
        <v>4.0978E7</v>
      </c>
      <c r="D14" s="4">
        <v>6.5674E7</v>
      </c>
      <c r="E14" s="4">
        <v>6.6629E7</v>
      </c>
      <c r="F14" s="4">
        <v>8.6479E7</v>
      </c>
      <c r="G14" s="4">
        <v>4.7639E7</v>
      </c>
      <c r="H14" s="4">
        <v>4.6812E7</v>
      </c>
      <c r="I14" s="4">
        <v>1292000.0</v>
      </c>
      <c r="J14" s="4">
        <v>1.3196E7</v>
      </c>
      <c r="K14" s="4">
        <v>1.6053E7</v>
      </c>
      <c r="L14" s="4">
        <v>2.4527E7</v>
      </c>
      <c r="M14" s="4">
        <v>4.0535E7</v>
      </c>
      <c r="N14" s="4">
        <v>5.8737E7</v>
      </c>
      <c r="O14" s="4">
        <v>7.1778E7</v>
      </c>
      <c r="P14" s="4">
        <v>7.708E7</v>
      </c>
      <c r="Q14" s="4">
        <v>8.6775E7</v>
      </c>
      <c r="R14" s="4">
        <v>1.90845E8</v>
      </c>
      <c r="S14" s="4">
        <v>1.77542E8</v>
      </c>
      <c r="T14" s="4">
        <v>1.51763E8</v>
      </c>
      <c r="U14" s="4">
        <v>2.4445E7</v>
      </c>
      <c r="V14" s="4">
        <v>1.98837E8</v>
      </c>
      <c r="W14" s="4">
        <v>2.3075E8</v>
      </c>
      <c r="X14" s="5"/>
    </row>
    <row r="15">
      <c r="A15" s="2" t="s">
        <v>11</v>
      </c>
      <c r="B15" s="4">
        <v>2.8918E7</v>
      </c>
      <c r="C15" s="4">
        <v>2.2755E7</v>
      </c>
      <c r="D15" s="4">
        <v>6.1054E7</v>
      </c>
      <c r="E15" s="4">
        <v>1.3243E7</v>
      </c>
      <c r="F15" s="4">
        <v>1.4681E7</v>
      </c>
      <c r="G15" s="4">
        <v>8252000.0</v>
      </c>
      <c r="H15" s="4">
        <v>4824000.0</v>
      </c>
      <c r="I15" s="4">
        <v>2861000.0</v>
      </c>
      <c r="J15" s="4">
        <v>4952000.0</v>
      </c>
      <c r="K15" s="4">
        <v>6679000.0</v>
      </c>
      <c r="L15" s="4">
        <v>8860000.0</v>
      </c>
      <c r="M15" s="4">
        <v>7903000.0</v>
      </c>
      <c r="N15" s="4">
        <v>2.0015E7</v>
      </c>
      <c r="O15" s="4">
        <v>2.8685E7</v>
      </c>
      <c r="P15" s="4">
        <v>2.1811E7</v>
      </c>
      <c r="Q15" s="4">
        <v>4.759E7</v>
      </c>
      <c r="R15" s="4">
        <v>3.2128E7</v>
      </c>
      <c r="S15" s="4">
        <v>3.167E7</v>
      </c>
      <c r="T15" s="4">
        <v>3.5734E7</v>
      </c>
      <c r="U15" s="4">
        <v>4.4122E7</v>
      </c>
      <c r="V15" s="4">
        <v>4.26E7</v>
      </c>
      <c r="W15" s="4">
        <v>9.1048E7</v>
      </c>
      <c r="X15" s="7"/>
      <c r="Y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5"/>
    </row>
    <row r="17">
      <c r="A17" s="2" t="s">
        <v>12</v>
      </c>
      <c r="B17" s="8">
        <f>8080098*2</f>
        <v>16160196</v>
      </c>
      <c r="C17" s="8">
        <f>8229943*2</f>
        <v>16459886</v>
      </c>
      <c r="D17" s="8">
        <v>1.639752E7</v>
      </c>
      <c r="E17" s="8">
        <v>1.5958496E7</v>
      </c>
      <c r="F17" s="8">
        <v>1.4919939E7</v>
      </c>
      <c r="G17" s="8">
        <v>1.415029E7</v>
      </c>
      <c r="H17" s="8">
        <v>1.4094449E7</v>
      </c>
      <c r="I17" s="8">
        <v>1.4205462E7</v>
      </c>
      <c r="J17" s="8">
        <v>1.429554E7</v>
      </c>
      <c r="K17" s="8">
        <v>1.4395273E7</v>
      </c>
      <c r="L17" s="8">
        <v>1.482258E7</v>
      </c>
      <c r="M17" s="8">
        <v>1.5476298E7</v>
      </c>
      <c r="N17" s="8">
        <v>1.6079671E7</v>
      </c>
      <c r="O17" s="8">
        <v>1.6244041E7</v>
      </c>
      <c r="P17" s="8">
        <v>1.6232775E7</v>
      </c>
      <c r="Q17" s="8">
        <v>1.7503922E7</v>
      </c>
      <c r="R17" s="8">
        <v>1.6849026E7</v>
      </c>
      <c r="S17" s="8">
        <v>1.6926537E7</v>
      </c>
      <c r="T17" s="8">
        <v>1.6801101E7</v>
      </c>
      <c r="U17" s="8">
        <v>1.6570619E7</v>
      </c>
      <c r="V17" s="8">
        <v>1.6635295E7</v>
      </c>
      <c r="W17" s="8">
        <v>1.5653463E7</v>
      </c>
      <c r="X17" s="5"/>
    </row>
    <row r="18">
      <c r="B18" s="4"/>
      <c r="C18" s="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5"/>
    </row>
    <row r="19">
      <c r="A19" s="2" t="s">
        <v>13</v>
      </c>
      <c r="B19" s="10">
        <f t="shared" ref="B19:W19" si="1">B6/B5</f>
        <v>0.3931679439</v>
      </c>
      <c r="C19" s="10">
        <f t="shared" si="1"/>
        <v>0.3902030925</v>
      </c>
      <c r="D19" s="10">
        <f t="shared" si="1"/>
        <v>0.3899905733</v>
      </c>
      <c r="E19" s="10">
        <f t="shared" si="1"/>
        <v>0.3815757621</v>
      </c>
      <c r="F19" s="10">
        <f t="shared" si="1"/>
        <v>0.3637695885</v>
      </c>
      <c r="G19" s="10">
        <f t="shared" si="1"/>
        <v>0.2487247142</v>
      </c>
      <c r="H19" s="10">
        <f t="shared" si="1"/>
        <v>0.4742318322</v>
      </c>
      <c r="I19" s="10">
        <f t="shared" si="1"/>
        <v>0.3970854136</v>
      </c>
      <c r="J19" s="10">
        <f t="shared" si="1"/>
        <v>0.3318424566</v>
      </c>
      <c r="K19" s="10">
        <f t="shared" si="1"/>
        <v>0.3755707763</v>
      </c>
      <c r="L19" s="10">
        <f t="shared" si="1"/>
        <v>0.4170848268</v>
      </c>
      <c r="M19" s="10">
        <f t="shared" si="1"/>
        <v>0.3923076923</v>
      </c>
      <c r="N19" s="10">
        <f t="shared" si="1"/>
        <v>0.3472888742</v>
      </c>
      <c r="O19" s="10">
        <f t="shared" si="1"/>
        <v>0.360218334</v>
      </c>
      <c r="P19" s="10">
        <f t="shared" si="1"/>
        <v>0.3463484049</v>
      </c>
      <c r="Q19" s="10">
        <f t="shared" si="1"/>
        <v>0.3336745462</v>
      </c>
      <c r="R19" s="10">
        <f t="shared" si="1"/>
        <v>0.2452925474</v>
      </c>
      <c r="S19" s="10">
        <f t="shared" si="1"/>
        <v>0.2554700243</v>
      </c>
      <c r="T19" s="10">
        <f t="shared" si="1"/>
        <v>0.2411312714</v>
      </c>
      <c r="U19" s="10">
        <f t="shared" si="1"/>
        <v>0.3084529654</v>
      </c>
      <c r="V19" s="10">
        <f t="shared" si="1"/>
        <v>0.2358541317</v>
      </c>
      <c r="W19" s="10">
        <f t="shared" si="1"/>
        <v>0.2352600547</v>
      </c>
      <c r="X19" s="11">
        <v>0.3393</v>
      </c>
    </row>
    <row r="20">
      <c r="A20" s="2" t="s">
        <v>14</v>
      </c>
      <c r="B20" s="9">
        <f t="shared" ref="B20:W20" si="2">B4*(1-B19)</f>
        <v>32704000</v>
      </c>
      <c r="C20" s="9">
        <f t="shared" si="2"/>
        <v>31955797.14</v>
      </c>
      <c r="D20" s="9">
        <f t="shared" si="2"/>
        <v>35604420.21</v>
      </c>
      <c r="E20" s="9">
        <f t="shared" si="2"/>
        <v>33035604.36</v>
      </c>
      <c r="F20" s="9">
        <f t="shared" si="2"/>
        <v>31434872.17</v>
      </c>
      <c r="G20" s="9">
        <f t="shared" si="2"/>
        <v>3292088.303</v>
      </c>
      <c r="H20" s="9">
        <f t="shared" si="2"/>
        <v>-3765025.849</v>
      </c>
      <c r="I20" s="9">
        <f t="shared" si="2"/>
        <v>-22462185.83</v>
      </c>
      <c r="J20" s="9">
        <f t="shared" si="2"/>
        <v>-20748964.35</v>
      </c>
      <c r="K20" s="9">
        <f t="shared" si="2"/>
        <v>-20884659.82</v>
      </c>
      <c r="L20" s="9">
        <f t="shared" si="2"/>
        <v>10038382.2</v>
      </c>
      <c r="M20" s="9">
        <f t="shared" si="2"/>
        <v>20715015.38</v>
      </c>
      <c r="N20" s="9">
        <f t="shared" si="2"/>
        <v>35700035.03</v>
      </c>
      <c r="O20" s="9">
        <f t="shared" si="2"/>
        <v>59602060.01</v>
      </c>
      <c r="P20" s="9">
        <f t="shared" si="2"/>
        <v>70749941.35</v>
      </c>
      <c r="Q20" s="9">
        <f t="shared" si="2"/>
        <v>71766583</v>
      </c>
      <c r="R20" s="9">
        <f t="shared" si="2"/>
        <v>106937517.8</v>
      </c>
      <c r="S20" s="9">
        <f t="shared" si="2"/>
        <v>98473023.65</v>
      </c>
      <c r="T20" s="9">
        <f t="shared" si="2"/>
        <v>84750459.61</v>
      </c>
      <c r="U20" s="9">
        <f t="shared" si="2"/>
        <v>25005649.22</v>
      </c>
      <c r="V20" s="9">
        <f t="shared" si="2"/>
        <v>104192817.4</v>
      </c>
      <c r="W20" s="9">
        <f t="shared" si="2"/>
        <v>123424438.7</v>
      </c>
      <c r="X20" s="7"/>
    </row>
    <row r="21">
      <c r="A21" s="2" t="s">
        <v>15</v>
      </c>
      <c r="B21" s="9">
        <f t="shared" ref="B21:W21" si="3">B11+B12-B10</f>
        <v>164535000</v>
      </c>
      <c r="C21" s="9">
        <f t="shared" si="3"/>
        <v>182729000</v>
      </c>
      <c r="D21" s="9">
        <f t="shared" si="3"/>
        <v>221048000</v>
      </c>
      <c r="E21" s="9">
        <f t="shared" si="3"/>
        <v>222923000</v>
      </c>
      <c r="F21" s="9">
        <f t="shared" si="3"/>
        <v>195734000</v>
      </c>
      <c r="G21" s="9">
        <f t="shared" si="3"/>
        <v>184609000</v>
      </c>
      <c r="H21" s="9">
        <f t="shared" si="3"/>
        <v>148195000</v>
      </c>
      <c r="I21" s="9">
        <f t="shared" si="3"/>
        <v>148560000</v>
      </c>
      <c r="J21" s="9">
        <f t="shared" si="3"/>
        <v>124128000</v>
      </c>
      <c r="K21" s="9">
        <f t="shared" si="3"/>
        <v>88065000</v>
      </c>
      <c r="L21" s="9">
        <f t="shared" si="3"/>
        <v>73973000</v>
      </c>
      <c r="M21" s="9">
        <f t="shared" si="3"/>
        <v>76444000</v>
      </c>
      <c r="N21" s="9">
        <f t="shared" si="3"/>
        <v>103256000</v>
      </c>
      <c r="O21" s="9">
        <f t="shared" si="3"/>
        <v>130350000</v>
      </c>
      <c r="P21" s="9">
        <f t="shared" si="3"/>
        <v>192348000</v>
      </c>
      <c r="Q21" s="9">
        <f t="shared" si="3"/>
        <v>1317295000</v>
      </c>
      <c r="R21" s="9">
        <f t="shared" si="3"/>
        <v>1254188000</v>
      </c>
      <c r="S21" s="9">
        <f t="shared" si="3"/>
        <v>1200616000</v>
      </c>
      <c r="T21" s="9">
        <f t="shared" si="3"/>
        <v>1173597000</v>
      </c>
      <c r="U21" s="9">
        <f t="shared" si="3"/>
        <v>1259554000</v>
      </c>
      <c r="V21" s="9">
        <f t="shared" si="3"/>
        <v>1203715000</v>
      </c>
      <c r="W21" s="9">
        <f t="shared" si="3"/>
        <v>1197461000</v>
      </c>
      <c r="X21" s="7"/>
    </row>
    <row r="22">
      <c r="A22" s="2" t="s">
        <v>16</v>
      </c>
      <c r="B22" s="9">
        <f t="shared" ref="B22:W22" si="4">B14-B15</f>
        <v>10263000</v>
      </c>
      <c r="C22" s="9">
        <f t="shared" si="4"/>
        <v>18223000</v>
      </c>
      <c r="D22" s="9">
        <f t="shared" si="4"/>
        <v>4620000</v>
      </c>
      <c r="E22" s="9">
        <f t="shared" si="4"/>
        <v>53386000</v>
      </c>
      <c r="F22" s="9">
        <f t="shared" si="4"/>
        <v>71798000</v>
      </c>
      <c r="G22" s="9">
        <f t="shared" si="4"/>
        <v>39387000</v>
      </c>
      <c r="H22" s="9">
        <f t="shared" si="4"/>
        <v>41988000</v>
      </c>
      <c r="I22" s="9">
        <f t="shared" si="4"/>
        <v>-1569000</v>
      </c>
      <c r="J22" s="9">
        <f t="shared" si="4"/>
        <v>8244000</v>
      </c>
      <c r="K22" s="9">
        <f t="shared" si="4"/>
        <v>9374000</v>
      </c>
      <c r="L22" s="9">
        <f t="shared" si="4"/>
        <v>15667000</v>
      </c>
      <c r="M22" s="9">
        <f t="shared" si="4"/>
        <v>32632000</v>
      </c>
      <c r="N22" s="9">
        <f t="shared" si="4"/>
        <v>38722000</v>
      </c>
      <c r="O22" s="9">
        <f t="shared" si="4"/>
        <v>43093000</v>
      </c>
      <c r="P22" s="9">
        <f t="shared" si="4"/>
        <v>55269000</v>
      </c>
      <c r="Q22" s="9">
        <f t="shared" si="4"/>
        <v>39185000</v>
      </c>
      <c r="R22" s="9">
        <f t="shared" si="4"/>
        <v>158717000</v>
      </c>
      <c r="S22" s="9">
        <f t="shared" si="4"/>
        <v>145872000</v>
      </c>
      <c r="T22" s="9">
        <f t="shared" si="4"/>
        <v>116029000</v>
      </c>
      <c r="U22" s="9">
        <f t="shared" si="4"/>
        <v>-19677000</v>
      </c>
      <c r="V22" s="9">
        <f t="shared" si="4"/>
        <v>156237000</v>
      </c>
      <c r="W22" s="9">
        <f t="shared" si="4"/>
        <v>139702000</v>
      </c>
      <c r="X22" s="7"/>
    </row>
    <row r="23">
      <c r="X23" s="7"/>
    </row>
    <row r="24">
      <c r="A24" s="2" t="s">
        <v>17</v>
      </c>
      <c r="B24" s="6">
        <f t="shared" ref="B24:W24" si="5">B20/B21</f>
        <v>0.19876622</v>
      </c>
      <c r="C24" s="6">
        <f t="shared" si="5"/>
        <v>0.1748808188</v>
      </c>
      <c r="D24" s="6">
        <f t="shared" si="5"/>
        <v>0.16107099</v>
      </c>
      <c r="E24" s="6">
        <f t="shared" si="5"/>
        <v>0.1481928934</v>
      </c>
      <c r="F24" s="6">
        <f t="shared" si="5"/>
        <v>0.160599958</v>
      </c>
      <c r="G24" s="6">
        <f t="shared" si="5"/>
        <v>0.01783276169</v>
      </c>
      <c r="H24" s="6">
        <f t="shared" si="5"/>
        <v>-0.02540588987</v>
      </c>
      <c r="I24" s="6">
        <f t="shared" si="5"/>
        <v>-0.15119942</v>
      </c>
      <c r="J24" s="6">
        <f t="shared" si="5"/>
        <v>-0.1671578077</v>
      </c>
      <c r="K24" s="6">
        <f t="shared" si="5"/>
        <v>-0.2371505118</v>
      </c>
      <c r="L24" s="6">
        <f t="shared" si="5"/>
        <v>0.1357033269</v>
      </c>
      <c r="M24" s="6">
        <f t="shared" si="5"/>
        <v>0.2709828814</v>
      </c>
      <c r="N24" s="6">
        <f t="shared" si="5"/>
        <v>0.3457429595</v>
      </c>
      <c r="O24" s="6">
        <f t="shared" si="5"/>
        <v>0.4572463369</v>
      </c>
      <c r="P24" s="6">
        <f t="shared" si="5"/>
        <v>0.3678225994</v>
      </c>
      <c r="Q24" s="6">
        <f t="shared" si="5"/>
        <v>0.05448026676</v>
      </c>
      <c r="R24" s="6">
        <f t="shared" si="5"/>
        <v>0.08526434457</v>
      </c>
      <c r="S24" s="6">
        <f t="shared" si="5"/>
        <v>0.08201875008</v>
      </c>
      <c r="T24" s="6">
        <f t="shared" si="5"/>
        <v>0.07221427765</v>
      </c>
      <c r="U24" s="6">
        <f t="shared" si="5"/>
        <v>0.01985278061</v>
      </c>
      <c r="V24" s="6">
        <f t="shared" si="5"/>
        <v>0.08655937447</v>
      </c>
      <c r="W24" s="6">
        <f t="shared" si="5"/>
        <v>0.1030717816</v>
      </c>
      <c r="X24" s="11">
        <v>0.1073</v>
      </c>
    </row>
    <row r="25">
      <c r="A25" s="2" t="s">
        <v>18</v>
      </c>
      <c r="B25" s="6">
        <f t="shared" ref="B25:W25" si="6">B4/B3</f>
        <v>0.09564552253</v>
      </c>
      <c r="C25" s="6">
        <f t="shared" si="6"/>
        <v>0.07850233766</v>
      </c>
      <c r="D25" s="6">
        <f t="shared" si="6"/>
        <v>0.07511937091</v>
      </c>
      <c r="E25" s="6">
        <f t="shared" si="6"/>
        <v>0.06377085992</v>
      </c>
      <c r="F25" s="6">
        <f t="shared" si="6"/>
        <v>0.06493149785</v>
      </c>
      <c r="G25" s="6">
        <f t="shared" si="6"/>
        <v>0.00727392244</v>
      </c>
      <c r="H25" s="6">
        <f t="shared" si="6"/>
        <v>-0.01336171991</v>
      </c>
      <c r="I25" s="6">
        <f t="shared" si="6"/>
        <v>-0.09164165888</v>
      </c>
      <c r="J25" s="6">
        <f t="shared" si="6"/>
        <v>-0.06861412893</v>
      </c>
      <c r="K25" s="6">
        <f t="shared" si="6"/>
        <v>-0.06484120245</v>
      </c>
      <c r="L25" s="6">
        <f t="shared" si="6"/>
        <v>0.02731597289</v>
      </c>
      <c r="M25" s="6">
        <f t="shared" si="6"/>
        <v>0.04691988465</v>
      </c>
      <c r="N25" s="6">
        <f t="shared" si="6"/>
        <v>0.06625962336</v>
      </c>
      <c r="O25" s="6">
        <f t="shared" si="6"/>
        <v>0.09836913769</v>
      </c>
      <c r="P25" s="6">
        <f t="shared" si="6"/>
        <v>0.1050601409</v>
      </c>
      <c r="Q25" s="6">
        <f t="shared" si="6"/>
        <v>0.08614511699</v>
      </c>
      <c r="R25" s="6">
        <f t="shared" si="6"/>
        <v>0.08611946984</v>
      </c>
      <c r="S25" s="6">
        <f t="shared" si="6"/>
        <v>0.08014261364</v>
      </c>
      <c r="T25" s="6">
        <f t="shared" si="6"/>
        <v>0.0640361832</v>
      </c>
      <c r="U25" s="6">
        <f t="shared" si="6"/>
        <v>0.01946977847</v>
      </c>
      <c r="V25" s="6">
        <f t="shared" si="6"/>
        <v>0.06599167554</v>
      </c>
      <c r="W25" s="6">
        <f t="shared" si="6"/>
        <v>0.08735795685</v>
      </c>
      <c r="X25" s="11">
        <v>0.0445</v>
      </c>
    </row>
    <row r="26">
      <c r="A26" s="2" t="s">
        <v>19</v>
      </c>
      <c r="B26" s="6">
        <f t="shared" ref="B26:W26" si="7">B11/B12</f>
        <v>0.124597905</v>
      </c>
      <c r="C26" s="6">
        <f t="shared" si="7"/>
        <v>0.09845452898</v>
      </c>
      <c r="D26" s="6">
        <f t="shared" si="7"/>
        <v>0.1406332049</v>
      </c>
      <c r="E26" s="6">
        <f t="shared" si="7"/>
        <v>0.1209007659</v>
      </c>
      <c r="F26" s="6">
        <f t="shared" si="7"/>
        <v>0.1227880069</v>
      </c>
      <c r="G26" s="6">
        <f t="shared" si="7"/>
        <v>0.1253622446</v>
      </c>
      <c r="H26" s="6">
        <f t="shared" si="7"/>
        <v>0.1341993892</v>
      </c>
      <c r="I26" s="6">
        <f t="shared" si="7"/>
        <v>0.1510113052</v>
      </c>
      <c r="J26" s="6">
        <f t="shared" si="7"/>
        <v>0.1661611405</v>
      </c>
      <c r="K26" s="6">
        <f t="shared" si="7"/>
        <v>0.1897015844</v>
      </c>
      <c r="L26" s="6">
        <f t="shared" si="7"/>
        <v>0.1692875953</v>
      </c>
      <c r="M26" s="6">
        <f t="shared" si="7"/>
        <v>0.1133538009</v>
      </c>
      <c r="N26" s="6">
        <f t="shared" si="7"/>
        <v>0.0998729562</v>
      </c>
      <c r="O26" s="6">
        <f t="shared" si="7"/>
        <v>0.08566716887</v>
      </c>
      <c r="P26" s="6">
        <f t="shared" si="7"/>
        <v>0.04788494222</v>
      </c>
      <c r="Q26" s="6">
        <f t="shared" si="7"/>
        <v>1.399499712</v>
      </c>
      <c r="R26" s="6">
        <f t="shared" si="7"/>
        <v>1.11467342</v>
      </c>
      <c r="S26" s="6">
        <f t="shared" si="7"/>
        <v>0.8523977286</v>
      </c>
      <c r="T26" s="6">
        <f t="shared" si="7"/>
        <v>0.7023486464</v>
      </c>
      <c r="U26" s="6">
        <f t="shared" si="7"/>
        <v>0.6585679851</v>
      </c>
      <c r="V26" s="6">
        <f t="shared" si="7"/>
        <v>0.4253423027</v>
      </c>
      <c r="W26" s="6">
        <f t="shared" si="7"/>
        <v>0.4113498159</v>
      </c>
      <c r="X26" s="11">
        <v>0.3388</v>
      </c>
    </row>
    <row r="27">
      <c r="X27" s="5"/>
    </row>
    <row r="28">
      <c r="A28" s="2" t="s">
        <v>20</v>
      </c>
      <c r="Q28" s="2" t="s">
        <v>21</v>
      </c>
      <c r="X28" s="5"/>
    </row>
    <row r="29">
      <c r="X29" s="5"/>
    </row>
    <row r="30">
      <c r="A30" s="12" t="s">
        <v>22</v>
      </c>
      <c r="X30" s="5"/>
    </row>
    <row r="31">
      <c r="A31" s="1" t="s">
        <v>23</v>
      </c>
      <c r="B31" s="2">
        <v>2003.0</v>
      </c>
      <c r="C31" s="2">
        <v>2004.0</v>
      </c>
      <c r="D31" s="2">
        <v>2005.0</v>
      </c>
      <c r="E31" s="2">
        <v>2006.0</v>
      </c>
      <c r="F31" s="2">
        <v>2007.0</v>
      </c>
      <c r="G31" s="2">
        <v>2008.0</v>
      </c>
      <c r="H31" s="2">
        <v>2009.0</v>
      </c>
      <c r="I31" s="2">
        <v>2010.0</v>
      </c>
      <c r="J31" s="2">
        <v>2011.0</v>
      </c>
      <c r="K31" s="2">
        <v>2012.0</v>
      </c>
      <c r="L31" s="2">
        <v>2013.0</v>
      </c>
      <c r="M31" s="2">
        <v>2014.0</v>
      </c>
      <c r="N31" s="2">
        <v>2015.0</v>
      </c>
      <c r="O31" s="2">
        <v>2016.0</v>
      </c>
      <c r="P31" s="2">
        <v>2017.0</v>
      </c>
      <c r="Q31" s="2">
        <v>2018.0</v>
      </c>
      <c r="R31" s="2">
        <v>2019.0</v>
      </c>
      <c r="S31" s="2">
        <v>2020.0</v>
      </c>
      <c r="T31" s="2">
        <v>2021.0</v>
      </c>
      <c r="U31" s="2">
        <v>2022.0</v>
      </c>
      <c r="V31" s="2">
        <v>2023.0</v>
      </c>
      <c r="W31" s="2">
        <v>2024.0</v>
      </c>
      <c r="X31" s="5"/>
    </row>
    <row r="32">
      <c r="A32" s="2" t="s">
        <v>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4">
        <v>3.063E8</v>
      </c>
      <c r="W32" s="4">
        <v>2.357E8</v>
      </c>
      <c r="X32" s="5"/>
    </row>
    <row r="33">
      <c r="A33" s="2" t="s">
        <v>4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4">
        <v>2.387E8</v>
      </c>
      <c r="W33" s="4">
        <v>1.683E8</v>
      </c>
      <c r="X33" s="5"/>
    </row>
    <row r="34">
      <c r="A34" s="2" t="s">
        <v>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4">
        <v>5.67E7</v>
      </c>
      <c r="W34" s="4">
        <v>4.24E7</v>
      </c>
      <c r="X34" s="5"/>
    </row>
    <row r="35">
      <c r="A35" s="2" t="s">
        <v>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4">
        <v>1.487E8</v>
      </c>
      <c r="W35" s="4">
        <v>1.206E8</v>
      </c>
      <c r="X35" s="5"/>
    </row>
    <row r="36">
      <c r="A36" s="2" t="s">
        <v>24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4">
        <v>7.078E8</v>
      </c>
      <c r="W36" s="4">
        <v>1.0078E9</v>
      </c>
      <c r="X36" s="5"/>
    </row>
    <row r="37">
      <c r="A37" s="2" t="s">
        <v>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4">
        <v>1.1938E9</v>
      </c>
      <c r="W37" s="4">
        <v>1.2947E9</v>
      </c>
      <c r="X37" s="5"/>
    </row>
    <row r="38">
      <c r="X38" s="5"/>
    </row>
    <row r="39">
      <c r="A39" s="2" t="s">
        <v>17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f t="shared" ref="V39:W39" si="8">(V32*(1-(V34/V33)))/(V36+V37-V35)</f>
        <v>0.1332320851</v>
      </c>
      <c r="W39" s="6">
        <f t="shared" si="8"/>
        <v>0.08081023214</v>
      </c>
      <c r="X39" s="5"/>
    </row>
    <row r="40">
      <c r="X40" s="5"/>
    </row>
    <row r="41">
      <c r="A41" s="1" t="s">
        <v>25</v>
      </c>
      <c r="U41" s="2">
        <v>2022.0</v>
      </c>
      <c r="V41" s="2">
        <v>2023.0</v>
      </c>
      <c r="W41" s="2">
        <v>2024.0</v>
      </c>
      <c r="X41" s="5"/>
    </row>
    <row r="42">
      <c r="A42" s="2" t="s">
        <v>3</v>
      </c>
      <c r="U42" s="4">
        <v>1.297E9</v>
      </c>
      <c r="V42" s="4">
        <v>1.348E9</v>
      </c>
      <c r="W42" s="4">
        <v>1.363E9</v>
      </c>
      <c r="X42" s="5"/>
    </row>
    <row r="43">
      <c r="A43" s="2" t="s">
        <v>4</v>
      </c>
      <c r="U43" s="4">
        <v>1.193E9</v>
      </c>
      <c r="V43" s="4">
        <v>1.238E9</v>
      </c>
      <c r="W43" s="4">
        <v>1.161E9</v>
      </c>
      <c r="X43" s="5"/>
    </row>
    <row r="44">
      <c r="A44" s="2" t="s">
        <v>5</v>
      </c>
      <c r="U44" s="4">
        <v>2.88E8</v>
      </c>
      <c r="V44" s="4">
        <v>2.78E8</v>
      </c>
      <c r="W44" s="4">
        <v>2.87E8</v>
      </c>
      <c r="X44" s="5"/>
    </row>
    <row r="45">
      <c r="A45" s="2" t="s">
        <v>7</v>
      </c>
      <c r="T45" s="4"/>
      <c r="U45" s="4">
        <v>4.52E8</v>
      </c>
      <c r="V45" s="4">
        <v>6.34E8</v>
      </c>
      <c r="W45" s="4">
        <v>6.34E8</v>
      </c>
      <c r="X45" s="5"/>
    </row>
    <row r="46">
      <c r="A46" s="2" t="s">
        <v>24</v>
      </c>
      <c r="T46" s="4"/>
      <c r="U46" s="4">
        <v>3.151E9</v>
      </c>
      <c r="V46" s="4">
        <v>2.948E9</v>
      </c>
      <c r="W46" s="4">
        <v>2.948E9</v>
      </c>
      <c r="X46" s="5"/>
    </row>
    <row r="47">
      <c r="A47" s="14" t="s">
        <v>9</v>
      </c>
      <c r="T47" s="4"/>
      <c r="U47" s="15">
        <v>-2.62E8</v>
      </c>
      <c r="V47" s="15">
        <v>9.8E7</v>
      </c>
      <c r="W47" s="15">
        <v>-5.3E7</v>
      </c>
      <c r="X47" s="5"/>
    </row>
    <row r="48">
      <c r="X48" s="5"/>
    </row>
    <row r="49">
      <c r="A49" s="14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7"/>
      <c r="U49" s="17">
        <f t="shared" ref="U49:W49" si="9">(U42*(1-(U44/U43)))/(U46+U47-U45)</f>
        <v>0.4037314508</v>
      </c>
      <c r="V49" s="17">
        <f t="shared" si="9"/>
        <v>0.4333743239</v>
      </c>
      <c r="W49" s="17">
        <f t="shared" si="9"/>
        <v>0.4538104648</v>
      </c>
      <c r="X49" s="5"/>
    </row>
    <row r="50">
      <c r="T50" s="6"/>
      <c r="U50" s="6"/>
      <c r="V50" s="6"/>
      <c r="W50" s="6"/>
      <c r="X50" s="5"/>
    </row>
    <row r="51">
      <c r="X51" s="5"/>
    </row>
    <row r="52">
      <c r="X52" s="5"/>
    </row>
    <row r="53">
      <c r="X53" s="5"/>
    </row>
    <row r="54">
      <c r="X54" s="5"/>
    </row>
    <row r="55">
      <c r="X55" s="5"/>
    </row>
    <row r="56">
      <c r="X56" s="5"/>
    </row>
    <row r="57">
      <c r="X57" s="5"/>
    </row>
    <row r="58">
      <c r="X58" s="5"/>
    </row>
    <row r="59">
      <c r="X59" s="5"/>
    </row>
    <row r="60">
      <c r="X60" s="5"/>
    </row>
    <row r="61">
      <c r="X61" s="5"/>
    </row>
    <row r="62">
      <c r="X62" s="5"/>
    </row>
    <row r="63">
      <c r="X63" s="5"/>
    </row>
    <row r="64">
      <c r="X64" s="5"/>
    </row>
    <row r="65">
      <c r="X65" s="5"/>
    </row>
    <row r="66">
      <c r="X66" s="5"/>
    </row>
    <row r="67">
      <c r="X67" s="5"/>
    </row>
    <row r="68">
      <c r="X68" s="5"/>
    </row>
    <row r="69">
      <c r="X69" s="5"/>
    </row>
    <row r="70">
      <c r="X70" s="5"/>
    </row>
    <row r="71">
      <c r="X71" s="5"/>
    </row>
    <row r="72">
      <c r="X72" s="5"/>
    </row>
    <row r="73">
      <c r="X73" s="5"/>
    </row>
    <row r="74">
      <c r="X74" s="5"/>
    </row>
    <row r="75">
      <c r="X75" s="5"/>
    </row>
    <row r="76">
      <c r="X76" s="5"/>
    </row>
    <row r="77">
      <c r="X77" s="5"/>
    </row>
    <row r="78">
      <c r="X78" s="5"/>
    </row>
    <row r="79">
      <c r="X79" s="5"/>
    </row>
    <row r="80">
      <c r="X80" s="5"/>
    </row>
    <row r="81">
      <c r="X81" s="5"/>
    </row>
    <row r="82">
      <c r="X82" s="5"/>
    </row>
    <row r="83">
      <c r="X83" s="5"/>
    </row>
    <row r="84">
      <c r="X84" s="5"/>
    </row>
    <row r="85">
      <c r="X85" s="5"/>
    </row>
    <row r="86">
      <c r="X86" s="5"/>
    </row>
    <row r="87">
      <c r="X87" s="5"/>
    </row>
    <row r="88">
      <c r="X88" s="5"/>
    </row>
    <row r="89">
      <c r="X89" s="5"/>
    </row>
    <row r="90">
      <c r="X90" s="5"/>
    </row>
    <row r="91">
      <c r="X91" s="5"/>
    </row>
    <row r="92">
      <c r="X92" s="5"/>
    </row>
    <row r="93">
      <c r="X93" s="5"/>
    </row>
    <row r="94">
      <c r="X94" s="5"/>
    </row>
    <row r="95">
      <c r="X95" s="5"/>
    </row>
    <row r="96">
      <c r="X96" s="5"/>
    </row>
    <row r="97">
      <c r="X97" s="5"/>
    </row>
    <row r="98">
      <c r="X98" s="5"/>
    </row>
    <row r="99">
      <c r="X99" s="5"/>
    </row>
    <row r="100">
      <c r="X100" s="5"/>
    </row>
    <row r="101">
      <c r="X101" s="5"/>
    </row>
    <row r="102">
      <c r="X102" s="5"/>
    </row>
    <row r="103">
      <c r="X103" s="5"/>
    </row>
    <row r="104">
      <c r="X104" s="5"/>
    </row>
    <row r="105">
      <c r="X105" s="5"/>
    </row>
    <row r="106">
      <c r="X106" s="5"/>
    </row>
    <row r="107">
      <c r="X107" s="5"/>
    </row>
    <row r="108">
      <c r="X108" s="5"/>
    </row>
    <row r="109">
      <c r="X109" s="5"/>
    </row>
    <row r="110">
      <c r="X110" s="5"/>
    </row>
    <row r="111">
      <c r="X111" s="5"/>
    </row>
    <row r="112">
      <c r="X112" s="5"/>
    </row>
    <row r="113">
      <c r="X113" s="5"/>
    </row>
    <row r="114">
      <c r="X114" s="5"/>
    </row>
    <row r="115">
      <c r="X115" s="5"/>
    </row>
    <row r="116">
      <c r="X116" s="5"/>
    </row>
    <row r="117">
      <c r="X117" s="5"/>
    </row>
    <row r="118">
      <c r="X118" s="5"/>
    </row>
    <row r="119">
      <c r="X119" s="5"/>
    </row>
    <row r="120">
      <c r="X120" s="5"/>
    </row>
    <row r="121">
      <c r="X121" s="5"/>
    </row>
    <row r="122">
      <c r="X122" s="5"/>
    </row>
    <row r="123">
      <c r="X123" s="5"/>
    </row>
    <row r="124">
      <c r="X124" s="5"/>
    </row>
    <row r="125">
      <c r="X125" s="5"/>
    </row>
    <row r="126">
      <c r="X126" s="5"/>
    </row>
    <row r="127">
      <c r="X127" s="5"/>
    </row>
    <row r="128">
      <c r="X128" s="5"/>
    </row>
    <row r="129">
      <c r="X129" s="5"/>
    </row>
    <row r="130">
      <c r="X130" s="5"/>
    </row>
    <row r="131">
      <c r="X131" s="5"/>
    </row>
    <row r="132">
      <c r="X132" s="5"/>
    </row>
    <row r="133">
      <c r="X133" s="5"/>
    </row>
    <row r="134">
      <c r="X134" s="5"/>
    </row>
    <row r="135">
      <c r="X135" s="5"/>
    </row>
    <row r="136">
      <c r="X136" s="5"/>
    </row>
    <row r="137">
      <c r="X137" s="5"/>
    </row>
    <row r="138">
      <c r="X138" s="5"/>
    </row>
    <row r="139">
      <c r="X139" s="5"/>
    </row>
    <row r="140">
      <c r="X140" s="5"/>
    </row>
    <row r="141">
      <c r="X141" s="5"/>
    </row>
    <row r="142">
      <c r="X142" s="5"/>
    </row>
    <row r="143">
      <c r="X143" s="5"/>
    </row>
    <row r="144">
      <c r="X144" s="5"/>
    </row>
    <row r="145">
      <c r="X145" s="5"/>
    </row>
    <row r="146">
      <c r="X146" s="5"/>
    </row>
    <row r="147">
      <c r="X147" s="5"/>
    </row>
    <row r="148">
      <c r="X148" s="5"/>
    </row>
    <row r="149">
      <c r="X149" s="5"/>
    </row>
    <row r="150">
      <c r="X150" s="5"/>
    </row>
    <row r="151">
      <c r="X151" s="5"/>
    </row>
    <row r="152">
      <c r="X152" s="5"/>
    </row>
    <row r="153">
      <c r="X153" s="5"/>
    </row>
    <row r="154">
      <c r="X154" s="5"/>
    </row>
    <row r="155">
      <c r="X155" s="5"/>
    </row>
    <row r="156">
      <c r="X156" s="5"/>
    </row>
    <row r="157">
      <c r="X157" s="5"/>
    </row>
    <row r="158">
      <c r="X158" s="5"/>
    </row>
    <row r="159">
      <c r="X159" s="5"/>
    </row>
    <row r="160">
      <c r="X160" s="5"/>
    </row>
    <row r="161">
      <c r="X161" s="5"/>
    </row>
    <row r="162">
      <c r="X162" s="5"/>
    </row>
    <row r="163">
      <c r="X163" s="5"/>
    </row>
    <row r="164">
      <c r="X164" s="5"/>
    </row>
    <row r="165">
      <c r="X165" s="5"/>
    </row>
    <row r="166">
      <c r="X166" s="5"/>
    </row>
    <row r="167">
      <c r="X167" s="5"/>
    </row>
    <row r="168">
      <c r="X168" s="5"/>
    </row>
    <row r="169">
      <c r="X169" s="5"/>
    </row>
    <row r="170">
      <c r="X170" s="5"/>
    </row>
    <row r="171">
      <c r="X171" s="5"/>
    </row>
    <row r="172">
      <c r="X172" s="5"/>
    </row>
    <row r="173">
      <c r="X173" s="5"/>
    </row>
    <row r="174">
      <c r="X174" s="5"/>
    </row>
    <row r="175">
      <c r="X175" s="5"/>
    </row>
    <row r="176">
      <c r="X176" s="5"/>
    </row>
    <row r="177">
      <c r="X177" s="5"/>
    </row>
    <row r="178">
      <c r="X178" s="5"/>
    </row>
    <row r="179">
      <c r="X179" s="5"/>
    </row>
    <row r="180">
      <c r="X180" s="5"/>
    </row>
    <row r="181">
      <c r="X181" s="5"/>
    </row>
    <row r="182">
      <c r="X182" s="5"/>
    </row>
    <row r="183">
      <c r="X183" s="5"/>
    </row>
    <row r="184">
      <c r="X184" s="5"/>
    </row>
    <row r="185">
      <c r="X185" s="5"/>
    </row>
    <row r="186">
      <c r="X186" s="5"/>
    </row>
    <row r="187">
      <c r="X187" s="5"/>
    </row>
    <row r="188">
      <c r="X188" s="5"/>
    </row>
    <row r="189">
      <c r="X189" s="5"/>
    </row>
    <row r="190">
      <c r="X190" s="5"/>
    </row>
    <row r="191">
      <c r="X191" s="5"/>
    </row>
    <row r="192">
      <c r="X192" s="5"/>
    </row>
    <row r="193">
      <c r="X193" s="5"/>
    </row>
    <row r="194">
      <c r="X194" s="5"/>
    </row>
    <row r="195">
      <c r="X195" s="5"/>
    </row>
    <row r="196">
      <c r="X196" s="5"/>
    </row>
    <row r="197">
      <c r="X197" s="5"/>
    </row>
    <row r="198">
      <c r="X198" s="5"/>
    </row>
    <row r="199">
      <c r="X199" s="5"/>
    </row>
    <row r="200">
      <c r="X200" s="5"/>
    </row>
    <row r="201">
      <c r="X201" s="5"/>
    </row>
    <row r="202">
      <c r="X202" s="5"/>
    </row>
    <row r="203">
      <c r="X203" s="5"/>
    </row>
    <row r="204">
      <c r="X204" s="5"/>
    </row>
    <row r="205">
      <c r="X205" s="5"/>
    </row>
    <row r="206">
      <c r="X206" s="5"/>
    </row>
    <row r="207">
      <c r="X207" s="5"/>
    </row>
    <row r="208">
      <c r="X208" s="5"/>
    </row>
    <row r="209">
      <c r="X209" s="5"/>
    </row>
    <row r="210">
      <c r="X210" s="5"/>
    </row>
    <row r="211">
      <c r="X211" s="5"/>
    </row>
    <row r="212">
      <c r="X212" s="5"/>
    </row>
    <row r="213">
      <c r="X213" s="5"/>
    </row>
    <row r="214">
      <c r="X214" s="5"/>
    </row>
    <row r="215">
      <c r="X215" s="5"/>
    </row>
    <row r="216">
      <c r="X216" s="5"/>
    </row>
    <row r="217">
      <c r="X217" s="5"/>
    </row>
    <row r="218">
      <c r="X218" s="5"/>
    </row>
    <row r="219">
      <c r="X219" s="5"/>
    </row>
    <row r="220">
      <c r="X220" s="5"/>
    </row>
    <row r="221">
      <c r="X221" s="5"/>
    </row>
    <row r="222">
      <c r="X222" s="5"/>
    </row>
    <row r="223">
      <c r="X223" s="5"/>
    </row>
    <row r="224">
      <c r="X224" s="5"/>
    </row>
    <row r="225">
      <c r="X225" s="5"/>
    </row>
    <row r="226">
      <c r="X226" s="5"/>
    </row>
    <row r="227">
      <c r="X227" s="5"/>
    </row>
    <row r="228">
      <c r="X228" s="5"/>
    </row>
    <row r="229">
      <c r="X229" s="5"/>
    </row>
    <row r="230">
      <c r="X230" s="5"/>
    </row>
    <row r="231">
      <c r="X231" s="5"/>
    </row>
    <row r="232">
      <c r="X232" s="5"/>
    </row>
    <row r="233">
      <c r="X233" s="5"/>
    </row>
    <row r="234">
      <c r="X234" s="5"/>
    </row>
    <row r="235">
      <c r="X235" s="5"/>
    </row>
    <row r="236">
      <c r="X236" s="5"/>
    </row>
    <row r="237">
      <c r="X237" s="5"/>
    </row>
    <row r="238">
      <c r="X238" s="5"/>
    </row>
    <row r="239">
      <c r="X239" s="5"/>
    </row>
    <row r="240">
      <c r="X240" s="5"/>
    </row>
    <row r="241">
      <c r="X241" s="5"/>
    </row>
    <row r="242">
      <c r="X242" s="5"/>
    </row>
    <row r="243">
      <c r="X243" s="5"/>
    </row>
    <row r="244">
      <c r="X244" s="5"/>
    </row>
    <row r="245">
      <c r="X245" s="5"/>
    </row>
    <row r="246">
      <c r="X246" s="5"/>
    </row>
    <row r="247">
      <c r="X247" s="5"/>
    </row>
    <row r="248">
      <c r="X248" s="5"/>
    </row>
    <row r="249">
      <c r="X249" s="5"/>
    </row>
    <row r="250">
      <c r="X250" s="5"/>
    </row>
    <row r="251">
      <c r="X251" s="5"/>
    </row>
    <row r="252">
      <c r="X252" s="5"/>
    </row>
    <row r="253">
      <c r="X253" s="5"/>
    </row>
    <row r="254">
      <c r="X254" s="5"/>
    </row>
    <row r="255">
      <c r="X255" s="5"/>
    </row>
    <row r="256">
      <c r="X256" s="5"/>
    </row>
    <row r="257">
      <c r="X257" s="5"/>
    </row>
    <row r="258">
      <c r="X258" s="5"/>
    </row>
    <row r="259">
      <c r="X259" s="5"/>
    </row>
    <row r="260">
      <c r="X260" s="5"/>
    </row>
    <row r="261">
      <c r="X261" s="5"/>
    </row>
    <row r="262">
      <c r="X262" s="5"/>
    </row>
    <row r="263">
      <c r="X263" s="5"/>
    </row>
    <row r="264">
      <c r="X264" s="5"/>
    </row>
    <row r="265">
      <c r="X265" s="5"/>
    </row>
    <row r="266">
      <c r="X266" s="5"/>
    </row>
    <row r="267">
      <c r="X267" s="5"/>
    </row>
    <row r="268">
      <c r="X268" s="5"/>
    </row>
    <row r="269">
      <c r="X269" s="5"/>
    </row>
    <row r="270">
      <c r="X270" s="5"/>
    </row>
    <row r="271">
      <c r="X271" s="5"/>
    </row>
    <row r="272">
      <c r="X272" s="5"/>
    </row>
    <row r="273">
      <c r="X273" s="5"/>
    </row>
    <row r="274">
      <c r="X274" s="5"/>
    </row>
    <row r="275">
      <c r="X275" s="5"/>
    </row>
    <row r="276">
      <c r="X276" s="5"/>
    </row>
    <row r="277">
      <c r="X277" s="5"/>
    </row>
    <row r="278">
      <c r="X278" s="5"/>
    </row>
    <row r="279">
      <c r="X279" s="5"/>
    </row>
    <row r="280">
      <c r="X280" s="5"/>
    </row>
    <row r="281">
      <c r="X281" s="5"/>
    </row>
    <row r="282">
      <c r="X282" s="5"/>
    </row>
    <row r="283">
      <c r="X283" s="5"/>
    </row>
    <row r="284">
      <c r="X284" s="5"/>
    </row>
    <row r="285">
      <c r="X285" s="5"/>
    </row>
    <row r="286">
      <c r="X286" s="5"/>
    </row>
    <row r="287">
      <c r="X287" s="5"/>
    </row>
    <row r="288">
      <c r="X288" s="5"/>
    </row>
    <row r="289">
      <c r="X289" s="5"/>
    </row>
    <row r="290">
      <c r="X290" s="5"/>
    </row>
    <row r="291">
      <c r="X291" s="5"/>
    </row>
    <row r="292">
      <c r="X292" s="5"/>
    </row>
    <row r="293">
      <c r="X293" s="5"/>
    </row>
    <row r="294">
      <c r="X294" s="5"/>
    </row>
    <row r="295">
      <c r="X295" s="5"/>
    </row>
    <row r="296">
      <c r="X296" s="5"/>
    </row>
    <row r="297">
      <c r="X297" s="5"/>
    </row>
    <row r="298">
      <c r="X298" s="5"/>
    </row>
    <row r="299">
      <c r="X299" s="5"/>
    </row>
    <row r="300">
      <c r="X300" s="5"/>
    </row>
    <row r="301">
      <c r="X301" s="5"/>
    </row>
    <row r="302">
      <c r="X302" s="5"/>
    </row>
    <row r="303">
      <c r="X303" s="5"/>
    </row>
    <row r="304">
      <c r="X304" s="5"/>
    </row>
    <row r="305">
      <c r="X305" s="5"/>
    </row>
    <row r="306">
      <c r="X306" s="5"/>
    </row>
    <row r="307">
      <c r="X307" s="5"/>
    </row>
    <row r="308">
      <c r="X308" s="5"/>
    </row>
    <row r="309">
      <c r="X309" s="5"/>
    </row>
    <row r="310">
      <c r="X310" s="5"/>
    </row>
    <row r="311">
      <c r="X311" s="5"/>
    </row>
    <row r="312">
      <c r="X312" s="5"/>
    </row>
    <row r="313">
      <c r="X313" s="5"/>
    </row>
    <row r="314">
      <c r="X314" s="5"/>
    </row>
    <row r="315">
      <c r="X315" s="5"/>
    </row>
    <row r="316">
      <c r="X316" s="5"/>
    </row>
    <row r="317">
      <c r="X317" s="5"/>
    </row>
    <row r="318">
      <c r="X318" s="5"/>
    </row>
    <row r="319">
      <c r="X319" s="5"/>
    </row>
    <row r="320">
      <c r="X320" s="5"/>
    </row>
    <row r="321">
      <c r="X321" s="5"/>
    </row>
    <row r="322">
      <c r="X322" s="5"/>
    </row>
    <row r="323">
      <c r="X323" s="5"/>
    </row>
    <row r="324">
      <c r="X324" s="5"/>
    </row>
    <row r="325">
      <c r="X325" s="5"/>
    </row>
    <row r="326">
      <c r="X326" s="5"/>
    </row>
    <row r="327">
      <c r="X327" s="5"/>
    </row>
    <row r="328">
      <c r="X328" s="5"/>
    </row>
    <row r="329">
      <c r="X329" s="5"/>
    </row>
    <row r="330">
      <c r="X330" s="5"/>
    </row>
    <row r="331">
      <c r="X331" s="5"/>
    </row>
    <row r="332">
      <c r="X332" s="5"/>
    </row>
    <row r="333">
      <c r="X333" s="5"/>
    </row>
    <row r="334">
      <c r="X334" s="5"/>
    </row>
    <row r="335">
      <c r="X335" s="5"/>
    </row>
    <row r="336">
      <c r="X336" s="5"/>
    </row>
    <row r="337">
      <c r="X337" s="5"/>
    </row>
    <row r="338">
      <c r="X338" s="5"/>
    </row>
    <row r="339">
      <c r="X339" s="5"/>
    </row>
    <row r="340">
      <c r="X340" s="5"/>
    </row>
    <row r="341">
      <c r="X341" s="5"/>
    </row>
    <row r="342">
      <c r="X342" s="5"/>
    </row>
    <row r="343">
      <c r="X343" s="5"/>
    </row>
    <row r="344">
      <c r="X344" s="5"/>
    </row>
    <row r="345">
      <c r="X345" s="5"/>
    </row>
    <row r="346">
      <c r="X346" s="5"/>
    </row>
    <row r="347">
      <c r="X347" s="5"/>
    </row>
    <row r="348">
      <c r="X348" s="5"/>
    </row>
    <row r="349">
      <c r="X349" s="5"/>
    </row>
    <row r="350">
      <c r="X350" s="5"/>
    </row>
    <row r="351">
      <c r="X351" s="5"/>
    </row>
    <row r="352">
      <c r="X352" s="5"/>
    </row>
    <row r="353">
      <c r="X353" s="5"/>
    </row>
    <row r="354">
      <c r="X354" s="5"/>
    </row>
    <row r="355">
      <c r="X355" s="5"/>
    </row>
    <row r="356">
      <c r="X356" s="5"/>
    </row>
    <row r="357">
      <c r="X357" s="5"/>
    </row>
    <row r="358">
      <c r="X358" s="5"/>
    </row>
    <row r="359">
      <c r="X359" s="5"/>
    </row>
    <row r="360">
      <c r="X360" s="5"/>
    </row>
    <row r="361">
      <c r="X361" s="5"/>
    </row>
    <row r="362">
      <c r="X362" s="5"/>
    </row>
    <row r="363">
      <c r="X363" s="5"/>
    </row>
    <row r="364">
      <c r="X364" s="5"/>
    </row>
    <row r="365">
      <c r="X365" s="5"/>
    </row>
    <row r="366">
      <c r="X366" s="5"/>
    </row>
    <row r="367">
      <c r="X367" s="5"/>
    </row>
    <row r="368">
      <c r="X368" s="5"/>
    </row>
    <row r="369">
      <c r="X369" s="5"/>
    </row>
    <row r="370">
      <c r="X370" s="5"/>
    </row>
    <row r="371">
      <c r="X371" s="5"/>
    </row>
    <row r="372">
      <c r="X372" s="5"/>
    </row>
    <row r="373">
      <c r="X373" s="5"/>
    </row>
    <row r="374">
      <c r="X374" s="5"/>
    </row>
    <row r="375">
      <c r="X375" s="5"/>
    </row>
    <row r="376">
      <c r="X376" s="5"/>
    </row>
    <row r="377">
      <c r="X377" s="5"/>
    </row>
    <row r="378">
      <c r="X378" s="5"/>
    </row>
    <row r="379">
      <c r="X379" s="5"/>
    </row>
    <row r="380">
      <c r="X380" s="5"/>
    </row>
    <row r="381">
      <c r="X381" s="5"/>
    </row>
    <row r="382">
      <c r="X382" s="5"/>
    </row>
    <row r="383">
      <c r="X383" s="5"/>
    </row>
    <row r="384">
      <c r="X384" s="5"/>
    </row>
    <row r="385">
      <c r="X385" s="5"/>
    </row>
    <row r="386">
      <c r="X386" s="5"/>
    </row>
    <row r="387">
      <c r="X387" s="5"/>
    </row>
    <row r="388">
      <c r="X388" s="5"/>
    </row>
    <row r="389">
      <c r="X389" s="5"/>
    </row>
    <row r="390">
      <c r="X390" s="5"/>
    </row>
    <row r="391">
      <c r="X391" s="5"/>
    </row>
    <row r="392">
      <c r="X392" s="5"/>
    </row>
    <row r="393">
      <c r="X393" s="5"/>
    </row>
    <row r="394">
      <c r="X394" s="5"/>
    </row>
    <row r="395">
      <c r="X395" s="5"/>
    </row>
    <row r="396">
      <c r="X396" s="5"/>
    </row>
    <row r="397">
      <c r="X397" s="5"/>
    </row>
    <row r="398">
      <c r="X398" s="5"/>
    </row>
    <row r="399">
      <c r="X399" s="5"/>
    </row>
    <row r="400">
      <c r="X400" s="5"/>
    </row>
    <row r="401">
      <c r="X401" s="5"/>
    </row>
    <row r="402">
      <c r="X402" s="5"/>
    </row>
    <row r="403">
      <c r="X403" s="5"/>
    </row>
    <row r="404">
      <c r="X404" s="5"/>
    </row>
    <row r="405">
      <c r="X405" s="5"/>
    </row>
    <row r="406">
      <c r="X406" s="5"/>
    </row>
    <row r="407">
      <c r="X407" s="5"/>
    </row>
    <row r="408">
      <c r="X408" s="5"/>
    </row>
    <row r="409">
      <c r="X409" s="5"/>
    </row>
    <row r="410">
      <c r="X410" s="5"/>
    </row>
    <row r="411">
      <c r="X411" s="5"/>
    </row>
    <row r="412">
      <c r="X412" s="5"/>
    </row>
    <row r="413">
      <c r="X413" s="5"/>
    </row>
    <row r="414">
      <c r="X414" s="5"/>
    </row>
    <row r="415">
      <c r="X415" s="5"/>
    </row>
    <row r="416">
      <c r="X416" s="5"/>
    </row>
    <row r="417">
      <c r="X417" s="5"/>
    </row>
    <row r="418">
      <c r="X418" s="5"/>
    </row>
    <row r="419">
      <c r="X419" s="5"/>
    </row>
    <row r="420">
      <c r="X420" s="5"/>
    </row>
    <row r="421">
      <c r="X421" s="5"/>
    </row>
    <row r="422">
      <c r="X422" s="5"/>
    </row>
    <row r="423">
      <c r="X423" s="5"/>
    </row>
    <row r="424">
      <c r="X424" s="5"/>
    </row>
    <row r="425">
      <c r="X425" s="5"/>
    </row>
    <row r="426">
      <c r="X426" s="5"/>
    </row>
    <row r="427">
      <c r="X427" s="5"/>
    </row>
    <row r="428">
      <c r="X428" s="5"/>
    </row>
    <row r="429">
      <c r="X429" s="5"/>
    </row>
    <row r="430">
      <c r="X430" s="5"/>
    </row>
    <row r="431">
      <c r="X431" s="5"/>
    </row>
    <row r="432">
      <c r="X432" s="5"/>
    </row>
    <row r="433">
      <c r="X433" s="5"/>
    </row>
    <row r="434">
      <c r="X434" s="5"/>
    </row>
    <row r="435">
      <c r="X435" s="5"/>
    </row>
    <row r="436">
      <c r="X436" s="5"/>
    </row>
    <row r="437">
      <c r="X437" s="5"/>
    </row>
    <row r="438">
      <c r="X438" s="5"/>
    </row>
    <row r="439">
      <c r="X439" s="5"/>
    </row>
    <row r="440">
      <c r="X440" s="5"/>
    </row>
    <row r="441">
      <c r="X441" s="5"/>
    </row>
    <row r="442">
      <c r="X442" s="5"/>
    </row>
    <row r="443">
      <c r="X443" s="5"/>
    </row>
    <row r="444">
      <c r="X444" s="5"/>
    </row>
    <row r="445">
      <c r="X445" s="5"/>
    </row>
    <row r="446">
      <c r="X446" s="5"/>
    </row>
    <row r="447">
      <c r="X447" s="5"/>
    </row>
    <row r="448">
      <c r="X448" s="5"/>
    </row>
    <row r="449">
      <c r="X449" s="5"/>
    </row>
    <row r="450">
      <c r="X450" s="5"/>
    </row>
    <row r="451">
      <c r="X451" s="5"/>
    </row>
    <row r="452">
      <c r="X452" s="5"/>
    </row>
    <row r="453">
      <c r="X453" s="5"/>
    </row>
    <row r="454">
      <c r="X454" s="5"/>
    </row>
    <row r="455">
      <c r="X455" s="5"/>
    </row>
    <row r="456">
      <c r="X456" s="5"/>
    </row>
    <row r="457">
      <c r="X457" s="5"/>
    </row>
    <row r="458">
      <c r="X458" s="5"/>
    </row>
    <row r="459">
      <c r="X459" s="5"/>
    </row>
    <row r="460">
      <c r="X460" s="5"/>
    </row>
    <row r="461">
      <c r="X461" s="5"/>
    </row>
    <row r="462">
      <c r="X462" s="5"/>
    </row>
    <row r="463">
      <c r="X463" s="5"/>
    </row>
    <row r="464">
      <c r="X464" s="5"/>
    </row>
    <row r="465">
      <c r="X465" s="5"/>
    </row>
    <row r="466">
      <c r="X466" s="5"/>
    </row>
    <row r="467">
      <c r="X467" s="5"/>
    </row>
    <row r="468">
      <c r="X468" s="5"/>
    </row>
    <row r="469">
      <c r="X469" s="5"/>
    </row>
    <row r="470">
      <c r="X470" s="5"/>
    </row>
    <row r="471">
      <c r="X471" s="5"/>
    </row>
    <row r="472">
      <c r="X472" s="5"/>
    </row>
    <row r="473">
      <c r="X473" s="5"/>
    </row>
    <row r="474">
      <c r="X474" s="5"/>
    </row>
    <row r="475">
      <c r="X475" s="5"/>
    </row>
    <row r="476">
      <c r="X476" s="5"/>
    </row>
    <row r="477">
      <c r="X477" s="5"/>
    </row>
    <row r="478">
      <c r="X478" s="5"/>
    </row>
    <row r="479">
      <c r="X479" s="5"/>
    </row>
    <row r="480">
      <c r="X480" s="5"/>
    </row>
    <row r="481">
      <c r="X481" s="5"/>
    </row>
    <row r="482">
      <c r="X482" s="5"/>
    </row>
    <row r="483">
      <c r="X483" s="5"/>
    </row>
    <row r="484">
      <c r="X484" s="5"/>
    </row>
    <row r="485">
      <c r="X485" s="5"/>
    </row>
    <row r="486">
      <c r="X486" s="5"/>
    </row>
    <row r="487">
      <c r="X487" s="5"/>
    </row>
    <row r="488">
      <c r="X488" s="5"/>
    </row>
    <row r="489">
      <c r="X489" s="5"/>
    </row>
    <row r="490">
      <c r="X490" s="5"/>
    </row>
    <row r="491">
      <c r="X491" s="5"/>
    </row>
    <row r="492">
      <c r="X492" s="5"/>
    </row>
    <row r="493">
      <c r="X493" s="5"/>
    </row>
    <row r="494">
      <c r="X494" s="5"/>
    </row>
    <row r="495">
      <c r="X495" s="5"/>
    </row>
    <row r="496">
      <c r="X496" s="5"/>
    </row>
    <row r="497">
      <c r="X497" s="5"/>
    </row>
    <row r="498">
      <c r="X498" s="5"/>
    </row>
    <row r="499">
      <c r="X499" s="5"/>
    </row>
    <row r="500">
      <c r="X500" s="5"/>
    </row>
    <row r="501">
      <c r="X501" s="5"/>
    </row>
    <row r="502">
      <c r="X502" s="5"/>
    </row>
    <row r="503">
      <c r="X503" s="5"/>
    </row>
    <row r="504">
      <c r="X504" s="5"/>
    </row>
    <row r="505">
      <c r="X505" s="5"/>
    </row>
    <row r="506">
      <c r="X506" s="5"/>
    </row>
    <row r="507">
      <c r="X507" s="5"/>
    </row>
    <row r="508">
      <c r="X508" s="5"/>
    </row>
    <row r="509">
      <c r="X509" s="5"/>
    </row>
    <row r="510">
      <c r="X510" s="5"/>
    </row>
    <row r="511">
      <c r="X511" s="5"/>
    </row>
    <row r="512">
      <c r="X512" s="5"/>
    </row>
    <row r="513">
      <c r="X513" s="5"/>
    </row>
    <row r="514">
      <c r="X514" s="5"/>
    </row>
    <row r="515">
      <c r="X515" s="5"/>
    </row>
    <row r="516">
      <c r="X516" s="5"/>
    </row>
    <row r="517">
      <c r="X517" s="5"/>
    </row>
    <row r="518">
      <c r="X518" s="5"/>
    </row>
    <row r="519">
      <c r="X519" s="5"/>
    </row>
    <row r="520">
      <c r="X520" s="5"/>
    </row>
    <row r="521">
      <c r="X521" s="5"/>
    </row>
    <row r="522">
      <c r="X522" s="5"/>
    </row>
    <row r="523">
      <c r="X523" s="5"/>
    </row>
    <row r="524">
      <c r="X524" s="5"/>
    </row>
    <row r="525">
      <c r="X525" s="5"/>
    </row>
    <row r="526">
      <c r="X526" s="5"/>
    </row>
    <row r="527">
      <c r="X527" s="5"/>
    </row>
    <row r="528">
      <c r="X528" s="5"/>
    </row>
    <row r="529">
      <c r="X529" s="5"/>
    </row>
    <row r="530">
      <c r="X530" s="5"/>
    </row>
    <row r="531">
      <c r="X531" s="5"/>
    </row>
    <row r="532">
      <c r="X532" s="5"/>
    </row>
    <row r="533">
      <c r="X533" s="5"/>
    </row>
    <row r="534">
      <c r="X534" s="5"/>
    </row>
    <row r="535">
      <c r="X535" s="5"/>
    </row>
    <row r="536">
      <c r="X536" s="5"/>
    </row>
    <row r="537">
      <c r="X537" s="5"/>
    </row>
    <row r="538">
      <c r="X538" s="5"/>
    </row>
    <row r="539">
      <c r="X539" s="5"/>
    </row>
    <row r="540">
      <c r="X540" s="5"/>
    </row>
    <row r="541">
      <c r="X541" s="5"/>
    </row>
    <row r="542">
      <c r="X542" s="5"/>
    </row>
    <row r="543">
      <c r="X543" s="5"/>
    </row>
    <row r="544">
      <c r="X544" s="5"/>
    </row>
    <row r="545">
      <c r="X545" s="5"/>
    </row>
    <row r="546">
      <c r="X546" s="5"/>
    </row>
    <row r="547">
      <c r="X547" s="5"/>
    </row>
    <row r="548">
      <c r="X548" s="5"/>
    </row>
    <row r="549">
      <c r="X549" s="5"/>
    </row>
    <row r="550">
      <c r="X550" s="5"/>
    </row>
    <row r="551">
      <c r="X551" s="5"/>
    </row>
    <row r="552">
      <c r="X552" s="5"/>
    </row>
    <row r="553">
      <c r="X553" s="5"/>
    </row>
    <row r="554">
      <c r="X554" s="5"/>
    </row>
    <row r="555">
      <c r="X555" s="5"/>
    </row>
    <row r="556">
      <c r="X556" s="5"/>
    </row>
    <row r="557">
      <c r="X557" s="5"/>
    </row>
    <row r="558">
      <c r="X558" s="5"/>
    </row>
    <row r="559">
      <c r="X559" s="5"/>
    </row>
    <row r="560">
      <c r="X560" s="5"/>
    </row>
    <row r="561">
      <c r="X561" s="5"/>
    </row>
    <row r="562">
      <c r="X562" s="5"/>
    </row>
    <row r="563">
      <c r="X563" s="5"/>
    </row>
    <row r="564">
      <c r="X564" s="5"/>
    </row>
    <row r="565">
      <c r="X565" s="5"/>
    </row>
    <row r="566">
      <c r="X566" s="5"/>
    </row>
    <row r="567">
      <c r="X567" s="5"/>
    </row>
    <row r="568">
      <c r="X568" s="5"/>
    </row>
    <row r="569">
      <c r="X569" s="5"/>
    </row>
    <row r="570">
      <c r="X570" s="5"/>
    </row>
    <row r="571">
      <c r="X571" s="5"/>
    </row>
    <row r="572">
      <c r="X572" s="5"/>
    </row>
    <row r="573">
      <c r="X573" s="5"/>
    </row>
    <row r="574">
      <c r="X574" s="5"/>
    </row>
    <row r="575">
      <c r="X575" s="5"/>
    </row>
    <row r="576">
      <c r="X576" s="5"/>
    </row>
    <row r="577">
      <c r="X577" s="5"/>
    </row>
    <row r="578">
      <c r="X578" s="5"/>
    </row>
    <row r="579">
      <c r="X579" s="5"/>
    </row>
    <row r="580">
      <c r="X580" s="5"/>
    </row>
    <row r="581">
      <c r="X581" s="5"/>
    </row>
    <row r="582">
      <c r="X582" s="5"/>
    </row>
    <row r="583">
      <c r="X583" s="5"/>
    </row>
    <row r="584">
      <c r="X584" s="5"/>
    </row>
    <row r="585">
      <c r="X585" s="5"/>
    </row>
    <row r="586">
      <c r="X586" s="5"/>
    </row>
    <row r="587">
      <c r="X587" s="5"/>
    </row>
    <row r="588">
      <c r="X588" s="5"/>
    </row>
    <row r="589">
      <c r="X589" s="5"/>
    </row>
    <row r="590">
      <c r="X590" s="5"/>
    </row>
    <row r="591">
      <c r="X591" s="5"/>
    </row>
    <row r="592">
      <c r="X592" s="5"/>
    </row>
    <row r="593">
      <c r="X593" s="5"/>
    </row>
    <row r="594">
      <c r="X594" s="5"/>
    </row>
    <row r="595">
      <c r="X595" s="5"/>
    </row>
    <row r="596">
      <c r="X596" s="5"/>
    </row>
    <row r="597">
      <c r="X597" s="5"/>
    </row>
    <row r="598">
      <c r="X598" s="5"/>
    </row>
    <row r="599">
      <c r="X599" s="5"/>
    </row>
    <row r="600">
      <c r="X600" s="5"/>
    </row>
    <row r="601">
      <c r="X601" s="5"/>
    </row>
    <row r="602">
      <c r="X602" s="5"/>
    </row>
    <row r="603">
      <c r="X603" s="5"/>
    </row>
    <row r="604">
      <c r="X604" s="5"/>
    </row>
    <row r="605">
      <c r="X605" s="5"/>
    </row>
    <row r="606">
      <c r="X606" s="5"/>
    </row>
    <row r="607">
      <c r="X607" s="5"/>
    </row>
    <row r="608">
      <c r="X608" s="5"/>
    </row>
    <row r="609">
      <c r="X609" s="5"/>
    </row>
    <row r="610">
      <c r="X610" s="5"/>
    </row>
    <row r="611">
      <c r="X611" s="5"/>
    </row>
    <row r="612">
      <c r="X612" s="5"/>
    </row>
    <row r="613">
      <c r="X613" s="5"/>
    </row>
    <row r="614">
      <c r="X614" s="5"/>
    </row>
    <row r="615">
      <c r="X615" s="5"/>
    </row>
    <row r="616">
      <c r="X616" s="5"/>
    </row>
    <row r="617">
      <c r="X617" s="5"/>
    </row>
    <row r="618">
      <c r="X618" s="5"/>
    </row>
    <row r="619">
      <c r="X619" s="5"/>
    </row>
    <row r="620">
      <c r="X620" s="5"/>
    </row>
    <row r="621">
      <c r="X621" s="5"/>
    </row>
    <row r="622">
      <c r="X622" s="5"/>
    </row>
    <row r="623">
      <c r="X623" s="5"/>
    </row>
    <row r="624">
      <c r="X624" s="5"/>
    </row>
    <row r="625">
      <c r="X625" s="5"/>
    </row>
    <row r="626">
      <c r="X626" s="5"/>
    </row>
    <row r="627">
      <c r="X627" s="5"/>
    </row>
    <row r="628">
      <c r="X628" s="5"/>
    </row>
    <row r="629">
      <c r="X629" s="5"/>
    </row>
    <row r="630">
      <c r="X630" s="5"/>
    </row>
    <row r="631">
      <c r="X631" s="5"/>
    </row>
    <row r="632">
      <c r="X632" s="5"/>
    </row>
    <row r="633">
      <c r="X633" s="5"/>
    </row>
    <row r="634">
      <c r="X634" s="5"/>
    </row>
    <row r="635">
      <c r="X635" s="5"/>
    </row>
    <row r="636">
      <c r="X636" s="5"/>
    </row>
    <row r="637">
      <c r="X637" s="5"/>
    </row>
    <row r="638">
      <c r="X638" s="5"/>
    </row>
    <row r="639">
      <c r="X639" s="5"/>
    </row>
    <row r="640">
      <c r="X640" s="5"/>
    </row>
    <row r="641">
      <c r="X641" s="5"/>
    </row>
    <row r="642">
      <c r="X642" s="5"/>
    </row>
    <row r="643">
      <c r="X643" s="5"/>
    </row>
    <row r="644">
      <c r="X644" s="5"/>
    </row>
    <row r="645">
      <c r="X645" s="5"/>
    </row>
    <row r="646">
      <c r="X646" s="5"/>
    </row>
    <row r="647">
      <c r="X647" s="5"/>
    </row>
    <row r="648">
      <c r="X648" s="5"/>
    </row>
    <row r="649">
      <c r="X649" s="5"/>
    </row>
    <row r="650">
      <c r="X650" s="5"/>
    </row>
    <row r="651">
      <c r="X651" s="5"/>
    </row>
    <row r="652">
      <c r="X652" s="5"/>
    </row>
    <row r="653">
      <c r="X653" s="5"/>
    </row>
    <row r="654">
      <c r="X654" s="5"/>
    </row>
    <row r="655">
      <c r="X655" s="5"/>
    </row>
    <row r="656">
      <c r="X656" s="5"/>
    </row>
    <row r="657">
      <c r="X657" s="5"/>
    </row>
    <row r="658">
      <c r="X658" s="5"/>
    </row>
    <row r="659">
      <c r="X659" s="5"/>
    </row>
    <row r="660">
      <c r="X660" s="5"/>
    </row>
    <row r="661">
      <c r="X661" s="5"/>
    </row>
    <row r="662">
      <c r="X662" s="5"/>
    </row>
    <row r="663">
      <c r="X663" s="5"/>
    </row>
    <row r="664">
      <c r="X664" s="5"/>
    </row>
    <row r="665">
      <c r="X665" s="5"/>
    </row>
    <row r="666">
      <c r="X666" s="5"/>
    </row>
    <row r="667">
      <c r="X667" s="5"/>
    </row>
    <row r="668">
      <c r="X668" s="5"/>
    </row>
    <row r="669">
      <c r="X669" s="5"/>
    </row>
    <row r="670">
      <c r="X670" s="5"/>
    </row>
    <row r="671">
      <c r="X671" s="5"/>
    </row>
    <row r="672">
      <c r="X672" s="5"/>
    </row>
    <row r="673">
      <c r="X673" s="5"/>
    </row>
    <row r="674">
      <c r="X674" s="5"/>
    </row>
    <row r="675">
      <c r="X675" s="5"/>
    </row>
    <row r="676">
      <c r="X676" s="5"/>
    </row>
    <row r="677">
      <c r="X677" s="5"/>
    </row>
    <row r="678">
      <c r="X678" s="5"/>
    </row>
    <row r="679">
      <c r="X679" s="5"/>
    </row>
    <row r="680">
      <c r="X680" s="5"/>
    </row>
    <row r="681">
      <c r="X681" s="5"/>
    </row>
    <row r="682">
      <c r="X682" s="5"/>
    </row>
    <row r="683">
      <c r="X683" s="5"/>
    </row>
    <row r="684">
      <c r="X684" s="5"/>
    </row>
    <row r="685">
      <c r="X685" s="5"/>
    </row>
    <row r="686">
      <c r="X686" s="5"/>
    </row>
    <row r="687">
      <c r="X687" s="5"/>
    </row>
    <row r="688">
      <c r="X688" s="5"/>
    </row>
    <row r="689">
      <c r="X689" s="5"/>
    </row>
    <row r="690">
      <c r="X690" s="5"/>
    </row>
    <row r="691">
      <c r="X691" s="5"/>
    </row>
    <row r="692">
      <c r="X692" s="5"/>
    </row>
    <row r="693">
      <c r="X693" s="5"/>
    </row>
    <row r="694">
      <c r="X694" s="5"/>
    </row>
    <row r="695">
      <c r="X695" s="5"/>
    </row>
    <row r="696">
      <c r="X696" s="5"/>
    </row>
    <row r="697">
      <c r="X697" s="5"/>
    </row>
    <row r="698">
      <c r="X698" s="5"/>
    </row>
    <row r="699">
      <c r="X699" s="5"/>
    </row>
    <row r="700">
      <c r="X700" s="5"/>
    </row>
    <row r="701">
      <c r="X701" s="5"/>
    </row>
    <row r="702">
      <c r="X702" s="5"/>
    </row>
    <row r="703">
      <c r="X703" s="5"/>
    </row>
    <row r="704">
      <c r="X704" s="5"/>
    </row>
    <row r="705">
      <c r="X705" s="5"/>
    </row>
    <row r="706">
      <c r="X706" s="5"/>
    </row>
    <row r="707">
      <c r="X707" s="5"/>
    </row>
    <row r="708">
      <c r="X708" s="5"/>
    </row>
    <row r="709">
      <c r="X709" s="5"/>
    </row>
    <row r="710">
      <c r="X710" s="5"/>
    </row>
    <row r="711">
      <c r="X711" s="5"/>
    </row>
    <row r="712">
      <c r="X712" s="5"/>
    </row>
    <row r="713">
      <c r="X713" s="5"/>
    </row>
    <row r="714">
      <c r="X714" s="5"/>
    </row>
    <row r="715">
      <c r="X715" s="5"/>
    </row>
    <row r="716">
      <c r="X716" s="5"/>
    </row>
    <row r="717">
      <c r="X717" s="5"/>
    </row>
    <row r="718">
      <c r="X718" s="5"/>
    </row>
    <row r="719">
      <c r="X719" s="5"/>
    </row>
    <row r="720">
      <c r="X720" s="5"/>
    </row>
    <row r="721">
      <c r="X721" s="5"/>
    </row>
    <row r="722">
      <c r="X722" s="5"/>
    </row>
    <row r="723">
      <c r="X723" s="5"/>
    </row>
    <row r="724">
      <c r="X724" s="5"/>
    </row>
    <row r="725">
      <c r="X725" s="5"/>
    </row>
    <row r="726">
      <c r="X726" s="5"/>
    </row>
    <row r="727">
      <c r="X727" s="5"/>
    </row>
    <row r="728">
      <c r="X728" s="5"/>
    </row>
    <row r="729">
      <c r="X729" s="5"/>
    </row>
    <row r="730">
      <c r="X730" s="5"/>
    </row>
    <row r="731">
      <c r="X731" s="5"/>
    </row>
    <row r="732">
      <c r="X732" s="5"/>
    </row>
    <row r="733">
      <c r="X733" s="5"/>
    </row>
    <row r="734">
      <c r="X734" s="5"/>
    </row>
    <row r="735">
      <c r="X735" s="5"/>
    </row>
    <row r="736">
      <c r="X736" s="5"/>
    </row>
    <row r="737">
      <c r="X737" s="5"/>
    </row>
    <row r="738">
      <c r="X738" s="5"/>
    </row>
    <row r="739">
      <c r="X739" s="5"/>
    </row>
    <row r="740">
      <c r="X740" s="5"/>
    </row>
    <row r="741">
      <c r="X741" s="5"/>
    </row>
    <row r="742">
      <c r="X742" s="5"/>
    </row>
    <row r="743">
      <c r="X743" s="5"/>
    </row>
    <row r="744">
      <c r="X744" s="5"/>
    </row>
    <row r="745">
      <c r="X745" s="5"/>
    </row>
    <row r="746">
      <c r="X746" s="5"/>
    </row>
    <row r="747">
      <c r="X747" s="5"/>
    </row>
    <row r="748">
      <c r="X748" s="5"/>
    </row>
    <row r="749">
      <c r="X749" s="5"/>
    </row>
    <row r="750">
      <c r="X750" s="5"/>
    </row>
    <row r="751">
      <c r="X751" s="5"/>
    </row>
    <row r="752">
      <c r="X752" s="5"/>
    </row>
    <row r="753">
      <c r="X753" s="5"/>
    </row>
    <row r="754">
      <c r="X754" s="5"/>
    </row>
    <row r="755">
      <c r="X755" s="5"/>
    </row>
    <row r="756">
      <c r="X756" s="5"/>
    </row>
    <row r="757">
      <c r="X757" s="5"/>
    </row>
    <row r="758">
      <c r="X758" s="5"/>
    </row>
    <row r="759">
      <c r="X759" s="5"/>
    </row>
    <row r="760">
      <c r="X760" s="5"/>
    </row>
    <row r="761">
      <c r="X761" s="5"/>
    </row>
    <row r="762">
      <c r="X762" s="5"/>
    </row>
    <row r="763">
      <c r="X763" s="5"/>
    </row>
    <row r="764">
      <c r="X764" s="5"/>
    </row>
    <row r="765">
      <c r="X765" s="5"/>
    </row>
    <row r="766">
      <c r="X766" s="5"/>
    </row>
    <row r="767">
      <c r="X767" s="5"/>
    </row>
    <row r="768">
      <c r="X768" s="5"/>
    </row>
    <row r="769">
      <c r="X769" s="5"/>
    </row>
    <row r="770">
      <c r="X770" s="5"/>
    </row>
    <row r="771">
      <c r="X771" s="5"/>
    </row>
    <row r="772">
      <c r="X772" s="5"/>
    </row>
    <row r="773">
      <c r="X773" s="5"/>
    </row>
    <row r="774">
      <c r="X774" s="5"/>
    </row>
    <row r="775">
      <c r="X775" s="5"/>
    </row>
    <row r="776">
      <c r="X776" s="5"/>
    </row>
    <row r="777">
      <c r="X777" s="5"/>
    </row>
    <row r="778">
      <c r="X778" s="5"/>
    </row>
    <row r="779">
      <c r="X779" s="5"/>
    </row>
    <row r="780">
      <c r="X780" s="5"/>
    </row>
    <row r="781">
      <c r="X781" s="5"/>
    </row>
    <row r="782">
      <c r="X782" s="5"/>
    </row>
    <row r="783">
      <c r="X783" s="5"/>
    </row>
    <row r="784">
      <c r="X784" s="5"/>
    </row>
    <row r="785">
      <c r="X785" s="5"/>
    </row>
    <row r="786">
      <c r="X786" s="5"/>
    </row>
    <row r="787">
      <c r="X787" s="5"/>
    </row>
    <row r="788">
      <c r="X788" s="5"/>
    </row>
    <row r="789">
      <c r="X789" s="5"/>
    </row>
    <row r="790">
      <c r="X790" s="5"/>
    </row>
    <row r="791">
      <c r="X791" s="5"/>
    </row>
    <row r="792">
      <c r="X792" s="5"/>
    </row>
    <row r="793">
      <c r="X793" s="5"/>
    </row>
    <row r="794">
      <c r="X794" s="5"/>
    </row>
    <row r="795">
      <c r="X795" s="5"/>
    </row>
    <row r="796">
      <c r="X796" s="5"/>
    </row>
    <row r="797">
      <c r="X797" s="5"/>
    </row>
    <row r="798">
      <c r="X798" s="5"/>
    </row>
    <row r="799">
      <c r="X799" s="5"/>
    </row>
    <row r="800">
      <c r="X800" s="5"/>
    </row>
    <row r="801">
      <c r="X801" s="5"/>
    </row>
    <row r="802">
      <c r="X802" s="5"/>
    </row>
    <row r="803">
      <c r="X803" s="5"/>
    </row>
    <row r="804">
      <c r="X804" s="5"/>
    </row>
    <row r="805">
      <c r="X805" s="5"/>
    </row>
    <row r="806">
      <c r="X806" s="5"/>
    </row>
    <row r="807">
      <c r="X807" s="5"/>
    </row>
    <row r="808">
      <c r="X808" s="5"/>
    </row>
    <row r="809">
      <c r="X809" s="5"/>
    </row>
    <row r="810">
      <c r="X810" s="5"/>
    </row>
    <row r="811">
      <c r="X811" s="5"/>
    </row>
    <row r="812">
      <c r="X812" s="5"/>
    </row>
    <row r="813">
      <c r="X813" s="5"/>
    </row>
    <row r="814">
      <c r="X814" s="5"/>
    </row>
    <row r="815">
      <c r="X815" s="5"/>
    </row>
    <row r="816">
      <c r="X816" s="5"/>
    </row>
    <row r="817">
      <c r="X817" s="5"/>
    </row>
    <row r="818">
      <c r="X818" s="5"/>
    </row>
    <row r="819">
      <c r="X819" s="5"/>
    </row>
    <row r="820">
      <c r="X820" s="5"/>
    </row>
    <row r="821">
      <c r="X821" s="5"/>
    </row>
    <row r="822">
      <c r="X822" s="5"/>
    </row>
    <row r="823">
      <c r="X823" s="5"/>
    </row>
    <row r="824">
      <c r="X824" s="5"/>
    </row>
    <row r="825">
      <c r="X825" s="5"/>
    </row>
    <row r="826">
      <c r="X826" s="5"/>
    </row>
    <row r="827">
      <c r="X827" s="5"/>
    </row>
    <row r="828">
      <c r="X828" s="5"/>
    </row>
    <row r="829">
      <c r="X829" s="5"/>
    </row>
    <row r="830">
      <c r="X830" s="5"/>
    </row>
    <row r="831">
      <c r="X831" s="5"/>
    </row>
    <row r="832">
      <c r="X832" s="5"/>
    </row>
    <row r="833">
      <c r="X833" s="5"/>
    </row>
    <row r="834">
      <c r="X834" s="5"/>
    </row>
    <row r="835">
      <c r="X835" s="5"/>
    </row>
    <row r="836">
      <c r="X836" s="5"/>
    </row>
    <row r="837">
      <c r="X837" s="5"/>
    </row>
    <row r="838">
      <c r="X838" s="5"/>
    </row>
    <row r="839">
      <c r="X839" s="5"/>
    </row>
    <row r="840">
      <c r="X840" s="5"/>
    </row>
    <row r="841">
      <c r="X841" s="5"/>
    </row>
    <row r="842">
      <c r="X842" s="5"/>
    </row>
    <row r="843">
      <c r="X843" s="5"/>
    </row>
    <row r="844">
      <c r="X844" s="5"/>
    </row>
    <row r="845">
      <c r="X845" s="5"/>
    </row>
    <row r="846">
      <c r="X846" s="5"/>
    </row>
    <row r="847">
      <c r="X847" s="5"/>
    </row>
    <row r="848">
      <c r="X848" s="5"/>
    </row>
    <row r="849">
      <c r="X849" s="5"/>
    </row>
    <row r="850">
      <c r="X850" s="5"/>
    </row>
    <row r="851">
      <c r="X851" s="5"/>
    </row>
    <row r="852">
      <c r="X852" s="5"/>
    </row>
    <row r="853">
      <c r="X853" s="5"/>
    </row>
    <row r="854">
      <c r="X854" s="5"/>
    </row>
    <row r="855">
      <c r="X855" s="5"/>
    </row>
    <row r="856">
      <c r="X856" s="5"/>
    </row>
    <row r="857">
      <c r="X857" s="5"/>
    </row>
    <row r="858">
      <c r="X858" s="5"/>
    </row>
    <row r="859">
      <c r="X859" s="5"/>
    </row>
    <row r="860">
      <c r="X860" s="5"/>
    </row>
    <row r="861">
      <c r="X861" s="5"/>
    </row>
    <row r="862">
      <c r="X862" s="5"/>
    </row>
    <row r="863">
      <c r="X863" s="5"/>
    </row>
    <row r="864">
      <c r="X864" s="5"/>
    </row>
    <row r="865">
      <c r="X865" s="5"/>
    </row>
    <row r="866">
      <c r="X866" s="5"/>
    </row>
    <row r="867">
      <c r="X867" s="5"/>
    </row>
    <row r="868">
      <c r="X868" s="5"/>
    </row>
    <row r="869">
      <c r="X869" s="5"/>
    </row>
    <row r="870">
      <c r="X870" s="5"/>
    </row>
    <row r="871">
      <c r="X871" s="5"/>
    </row>
    <row r="872">
      <c r="X872" s="5"/>
    </row>
    <row r="873">
      <c r="X873" s="5"/>
    </row>
    <row r="874">
      <c r="X874" s="5"/>
    </row>
    <row r="875">
      <c r="X875" s="5"/>
    </row>
    <row r="876">
      <c r="X876" s="5"/>
    </row>
    <row r="877">
      <c r="X877" s="5"/>
    </row>
    <row r="878">
      <c r="X878" s="5"/>
    </row>
    <row r="879">
      <c r="X879" s="5"/>
    </row>
    <row r="880">
      <c r="X880" s="5"/>
    </row>
    <row r="881">
      <c r="X881" s="5"/>
    </row>
    <row r="882">
      <c r="X882" s="5"/>
    </row>
    <row r="883">
      <c r="X883" s="5"/>
    </row>
    <row r="884">
      <c r="X884" s="5"/>
    </row>
    <row r="885">
      <c r="X885" s="5"/>
    </row>
    <row r="886">
      <c r="X886" s="5"/>
    </row>
    <row r="887">
      <c r="X887" s="5"/>
    </row>
    <row r="888">
      <c r="X888" s="5"/>
    </row>
    <row r="889">
      <c r="X889" s="5"/>
    </row>
    <row r="890">
      <c r="X890" s="5"/>
    </row>
    <row r="891">
      <c r="X891" s="5"/>
    </row>
    <row r="892">
      <c r="X892" s="5"/>
    </row>
    <row r="893">
      <c r="X893" s="5"/>
    </row>
    <row r="894">
      <c r="X894" s="5"/>
    </row>
    <row r="895">
      <c r="X895" s="5"/>
    </row>
    <row r="896">
      <c r="X896" s="5"/>
    </row>
    <row r="897">
      <c r="X897" s="5"/>
    </row>
    <row r="898">
      <c r="X898" s="5"/>
    </row>
    <row r="899">
      <c r="X899" s="5"/>
    </row>
    <row r="900">
      <c r="X900" s="5"/>
    </row>
    <row r="901">
      <c r="X901" s="5"/>
    </row>
    <row r="902">
      <c r="X902" s="5"/>
    </row>
    <row r="903">
      <c r="X903" s="5"/>
    </row>
    <row r="904">
      <c r="X904" s="5"/>
    </row>
    <row r="905">
      <c r="X905" s="5"/>
    </row>
    <row r="906">
      <c r="X906" s="5"/>
    </row>
    <row r="907">
      <c r="X907" s="5"/>
    </row>
    <row r="908">
      <c r="X908" s="5"/>
    </row>
    <row r="909">
      <c r="X909" s="5"/>
    </row>
    <row r="910">
      <c r="X910" s="5"/>
    </row>
    <row r="911">
      <c r="X911" s="5"/>
    </row>
    <row r="912">
      <c r="X912" s="5"/>
    </row>
    <row r="913">
      <c r="X913" s="5"/>
    </row>
    <row r="914">
      <c r="X914" s="5"/>
    </row>
    <row r="915">
      <c r="X915" s="5"/>
    </row>
    <row r="916">
      <c r="X916" s="5"/>
    </row>
    <row r="917">
      <c r="X917" s="5"/>
    </row>
    <row r="918">
      <c r="X918" s="5"/>
    </row>
    <row r="919">
      <c r="X919" s="5"/>
    </row>
    <row r="920">
      <c r="X920" s="5"/>
    </row>
    <row r="921">
      <c r="X921" s="5"/>
    </row>
    <row r="922">
      <c r="X922" s="5"/>
    </row>
    <row r="923">
      <c r="X923" s="5"/>
    </row>
    <row r="924">
      <c r="X924" s="5"/>
    </row>
    <row r="925">
      <c r="X925" s="5"/>
    </row>
    <row r="926">
      <c r="X926" s="5"/>
    </row>
    <row r="927">
      <c r="X927" s="5"/>
    </row>
    <row r="928">
      <c r="X928" s="5"/>
    </row>
    <row r="929">
      <c r="X929" s="5"/>
    </row>
    <row r="930">
      <c r="X930" s="5"/>
    </row>
    <row r="931">
      <c r="X931" s="5"/>
    </row>
    <row r="932">
      <c r="X932" s="5"/>
    </row>
    <row r="933">
      <c r="X933" s="5"/>
    </row>
    <row r="934">
      <c r="X934" s="5"/>
    </row>
    <row r="935">
      <c r="X935" s="5"/>
    </row>
    <row r="936">
      <c r="X936" s="5"/>
    </row>
    <row r="937">
      <c r="X937" s="5"/>
    </row>
    <row r="938">
      <c r="X938" s="5"/>
    </row>
    <row r="939">
      <c r="X939" s="5"/>
    </row>
    <row r="940">
      <c r="X940" s="5"/>
    </row>
    <row r="941">
      <c r="X941" s="5"/>
    </row>
    <row r="942">
      <c r="X942" s="5"/>
    </row>
    <row r="943">
      <c r="X943" s="5"/>
    </row>
    <row r="944">
      <c r="X944" s="5"/>
    </row>
    <row r="945">
      <c r="X945" s="5"/>
    </row>
    <row r="946">
      <c r="X946" s="5"/>
    </row>
    <row r="947">
      <c r="X947" s="5"/>
    </row>
    <row r="948">
      <c r="X948" s="5"/>
    </row>
    <row r="949">
      <c r="X949" s="5"/>
    </row>
    <row r="950">
      <c r="X950" s="5"/>
    </row>
    <row r="951">
      <c r="X951" s="5"/>
    </row>
    <row r="952">
      <c r="X952" s="5"/>
    </row>
    <row r="953">
      <c r="X953" s="5"/>
    </row>
    <row r="954">
      <c r="X954" s="5"/>
    </row>
    <row r="955">
      <c r="X955" s="5"/>
    </row>
    <row r="956">
      <c r="X956" s="5"/>
    </row>
    <row r="957">
      <c r="X957" s="5"/>
    </row>
    <row r="958">
      <c r="X958" s="5"/>
    </row>
    <row r="959">
      <c r="X959" s="5"/>
    </row>
    <row r="960">
      <c r="X960" s="5"/>
    </row>
    <row r="961">
      <c r="X961" s="5"/>
    </row>
    <row r="962">
      <c r="X962" s="5"/>
    </row>
    <row r="963">
      <c r="X963" s="5"/>
    </row>
    <row r="964">
      <c r="X964" s="5"/>
    </row>
    <row r="965">
      <c r="X965" s="5"/>
    </row>
    <row r="966">
      <c r="X966" s="5"/>
    </row>
    <row r="967">
      <c r="X967" s="5"/>
    </row>
    <row r="968">
      <c r="X968" s="5"/>
    </row>
    <row r="969">
      <c r="X969" s="5"/>
    </row>
    <row r="970">
      <c r="X970" s="5"/>
    </row>
    <row r="971">
      <c r="X971" s="5"/>
    </row>
    <row r="972">
      <c r="X972" s="5"/>
    </row>
    <row r="973">
      <c r="X973" s="5"/>
    </row>
    <row r="974">
      <c r="X974" s="5"/>
    </row>
    <row r="975">
      <c r="X975" s="5"/>
    </row>
    <row r="976">
      <c r="X976" s="5"/>
    </row>
    <row r="977">
      <c r="X977" s="5"/>
    </row>
    <row r="978">
      <c r="X978" s="5"/>
    </row>
    <row r="979">
      <c r="X979" s="5"/>
    </row>
    <row r="980">
      <c r="X980" s="5"/>
    </row>
    <row r="981">
      <c r="X981" s="5"/>
    </row>
    <row r="982">
      <c r="X982" s="5"/>
    </row>
    <row r="983">
      <c r="X983" s="5"/>
    </row>
    <row r="984">
      <c r="X984" s="5"/>
    </row>
    <row r="985">
      <c r="X985" s="5"/>
    </row>
    <row r="986">
      <c r="X986" s="5"/>
    </row>
    <row r="987">
      <c r="X987" s="5"/>
    </row>
  </sheetData>
  <drawing r:id="rId1"/>
</worksheet>
</file>