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<sst xmlns="http://schemas.openxmlformats.org/spreadsheetml/2006/main" count="52" uniqueCount="27">
  <si>
    <t>Nathan's Famous, Inc.</t>
  </si>
  <si>
    <t>Revenue</t>
  </si>
  <si>
    <t>Operating Income</t>
  </si>
  <si>
    <t>Income Before Tax</t>
  </si>
  <si>
    <t>Income Tax Expense</t>
  </si>
  <si>
    <t>Net Income</t>
  </si>
  <si>
    <t>D&amp;A</t>
  </si>
  <si>
    <t>Cash</t>
  </si>
  <si>
    <t>Total Debt</t>
  </si>
  <si>
    <t>Shareholder Equity</t>
  </si>
  <si>
    <t>Operating Cash Flow</t>
  </si>
  <si>
    <t>Capital Expenditures</t>
  </si>
  <si>
    <t>Dividend Per Share</t>
  </si>
  <si>
    <t>Shares Outstanding</t>
  </si>
  <si>
    <t>Tax Rate</t>
  </si>
  <si>
    <t>NOPAT</t>
  </si>
  <si>
    <t>Invested Capital</t>
  </si>
  <si>
    <t>Free Cash Flow</t>
  </si>
  <si>
    <t>ROIC</t>
  </si>
  <si>
    <t>N/M</t>
  </si>
  <si>
    <t>Operating Margin</t>
  </si>
  <si>
    <t>Debt / Equity</t>
  </si>
  <si>
    <t>Notes</t>
  </si>
  <si>
    <t>Standard ROIC is distorted because shareholder equity is negative and calculated invested capital is extremely low relative to NOPAT. This likely reflects an asset-light, brand/licensing/franchise model and/or recapitalized balance sheet. The correct takeaway is that Nathan’s appears highly capital-efficient, but the exact ROIC percentage is not analytically reliable.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</si>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</sst>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0"/>
    <numFmt numFmtId="166" formatCode="&quot;$&quot;#,##0.00"/>
    <numFmt numFmtId="167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6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12" width="13.38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  <c r="M1" s="2">
        <v>2024.0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4" t="s">
        <v>1</v>
      </c>
      <c r="B3" s="5">
        <v>99.112</v>
      </c>
      <c r="C3" s="5">
        <v>100.89</v>
      </c>
      <c r="D3" s="5">
        <v>96.256</v>
      </c>
      <c r="E3" s="5">
        <v>104.201</v>
      </c>
      <c r="F3" s="5">
        <v>101.849</v>
      </c>
      <c r="G3" s="5">
        <v>103.325</v>
      </c>
      <c r="H3" s="5">
        <v>75.839</v>
      </c>
      <c r="I3" s="5">
        <v>114.882</v>
      </c>
      <c r="J3" s="5">
        <v>130.785</v>
      </c>
      <c r="K3" s="5">
        <v>138.61</v>
      </c>
      <c r="L3" s="5">
        <v>148.182</v>
      </c>
      <c r="M3" s="5">
        <v>162.063</v>
      </c>
    </row>
    <row r="4">
      <c r="A4" s="4" t="s">
        <v>2</v>
      </c>
      <c r="B4" s="5">
        <v>19.958</v>
      </c>
      <c r="C4" s="5">
        <v>24.963</v>
      </c>
      <c r="D4" s="5">
        <v>26.28</v>
      </c>
      <c r="E4" s="5">
        <v>27.1</v>
      </c>
      <c r="F4" s="5">
        <v>27.976</v>
      </c>
      <c r="G4" s="5">
        <v>27.172</v>
      </c>
      <c r="H4" s="5">
        <v>50.324</v>
      </c>
      <c r="I4" s="5">
        <v>85.019</v>
      </c>
      <c r="J4" s="5">
        <v>34.445</v>
      </c>
      <c r="K4" s="5">
        <v>32.506</v>
      </c>
      <c r="L4" s="5">
        <v>36.497</v>
      </c>
      <c r="M4" s="5">
        <v>30.102</v>
      </c>
    </row>
    <row r="5">
      <c r="A5" s="4" t="s">
        <v>3</v>
      </c>
      <c r="B5" s="5">
        <v>19.405</v>
      </c>
      <c r="C5" s="5">
        <v>10.384</v>
      </c>
      <c r="D5" s="5">
        <v>11.804</v>
      </c>
      <c r="E5" s="5">
        <v>4.112</v>
      </c>
      <c r="F5" s="5">
        <v>29.41</v>
      </c>
      <c r="G5" s="5">
        <v>18.014</v>
      </c>
      <c r="H5" s="5">
        <v>15.325</v>
      </c>
      <c r="I5" s="5">
        <v>18.536</v>
      </c>
      <c r="J5" s="5">
        <v>26.804</v>
      </c>
      <c r="K5" s="5">
        <v>27.451</v>
      </c>
      <c r="L5" s="5">
        <v>32.761</v>
      </c>
      <c r="M5" s="5">
        <v>28.19</v>
      </c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>
        <v>11.703</v>
      </c>
      <c r="C7" s="5">
        <v>6.096</v>
      </c>
      <c r="D7" s="5">
        <v>7.485</v>
      </c>
      <c r="E7" s="5">
        <v>2.63</v>
      </c>
      <c r="F7" s="5">
        <v>21.493</v>
      </c>
      <c r="G7" s="5">
        <v>13.435</v>
      </c>
      <c r="H7" s="5">
        <v>11.075</v>
      </c>
      <c r="I7" s="5">
        <v>13.596</v>
      </c>
      <c r="J7" s="5">
        <v>19.623</v>
      </c>
      <c r="K7" s="5">
        <v>19.616</v>
      </c>
      <c r="L7" s="5">
        <v>24.026</v>
      </c>
      <c r="M7" s="5">
        <v>20.202</v>
      </c>
    </row>
    <row r="8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>
      <c r="A9" s="4" t="s">
        <v>6</v>
      </c>
      <c r="B9" s="5">
        <v>1.253</v>
      </c>
      <c r="C9" s="5">
        <v>1.255</v>
      </c>
      <c r="D9" s="5">
        <v>1.297</v>
      </c>
      <c r="E9" s="5">
        <v>1.352</v>
      </c>
      <c r="F9" s="5">
        <v>1.212</v>
      </c>
      <c r="G9" s="5">
        <v>1.233</v>
      </c>
      <c r="H9" s="5">
        <v>1.183</v>
      </c>
      <c r="I9" s="5">
        <v>1.054</v>
      </c>
      <c r="J9" s="5">
        <v>1.135</v>
      </c>
      <c r="K9" s="5">
        <v>1.135</v>
      </c>
      <c r="L9" s="5">
        <v>0.957</v>
      </c>
      <c r="M9" s="5">
        <v>0.925</v>
      </c>
    </row>
    <row r="10">
      <c r="A10" s="4" t="s">
        <v>7</v>
      </c>
      <c r="B10" s="5">
        <v>51.393</v>
      </c>
      <c r="C10" s="5">
        <v>50.228</v>
      </c>
      <c r="D10" s="5">
        <v>56.915</v>
      </c>
      <c r="E10" s="5">
        <v>57.339</v>
      </c>
      <c r="F10" s="5">
        <v>75.446</v>
      </c>
      <c r="G10" s="5">
        <v>77.117</v>
      </c>
      <c r="H10" s="5">
        <v>81.064</v>
      </c>
      <c r="I10" s="5">
        <v>50.063</v>
      </c>
      <c r="J10" s="5">
        <v>29.861</v>
      </c>
      <c r="K10" s="5">
        <v>21.027</v>
      </c>
      <c r="L10" s="5">
        <v>27.802</v>
      </c>
      <c r="M10" s="5">
        <v>24.404</v>
      </c>
    </row>
    <row r="11">
      <c r="A11" s="4" t="s">
        <v>8</v>
      </c>
      <c r="B11" s="5">
        <v>129.14</v>
      </c>
      <c r="C11" s="5">
        <v>130.266</v>
      </c>
      <c r="D11" s="5">
        <v>131.475</v>
      </c>
      <c r="E11" s="5">
        <v>144.758</v>
      </c>
      <c r="F11" s="5">
        <v>145.449</v>
      </c>
      <c r="G11" s="5">
        <v>146.14</v>
      </c>
      <c r="H11" s="5">
        <v>146.831</v>
      </c>
      <c r="I11" s="5">
        <v>108.183</v>
      </c>
      <c r="J11" s="5">
        <v>79.048</v>
      </c>
      <c r="K11" s="5">
        <v>59.562</v>
      </c>
      <c r="L11" s="5">
        <v>50.473</v>
      </c>
      <c r="M11" s="5">
        <v>48.143</v>
      </c>
    </row>
    <row r="12">
      <c r="A12" s="4" t="s">
        <v>9</v>
      </c>
      <c r="B12" s="5">
        <v>-59.908</v>
      </c>
      <c r="C12" s="5">
        <v>-72.336</v>
      </c>
      <c r="D12" s="5">
        <v>-66.491</v>
      </c>
      <c r="E12" s="5">
        <v>-84.586</v>
      </c>
      <c r="F12" s="5">
        <v>-70.144</v>
      </c>
      <c r="G12" s="5">
        <v>-66.401</v>
      </c>
      <c r="H12" s="5">
        <v>-62.478</v>
      </c>
      <c r="I12" s="5">
        <v>-54.988</v>
      </c>
      <c r="J12" s="5">
        <v>-44.562</v>
      </c>
      <c r="K12" s="5">
        <v>-32.923</v>
      </c>
      <c r="L12" s="5">
        <v>-16.513</v>
      </c>
      <c r="M12" s="5">
        <v>-14.223</v>
      </c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>
      <c r="A14" s="4" t="s">
        <v>10</v>
      </c>
      <c r="B14" s="5">
        <v>13.285</v>
      </c>
      <c r="C14" s="5">
        <v>12.48</v>
      </c>
      <c r="D14" s="5">
        <v>10.412</v>
      </c>
      <c r="E14" s="5">
        <v>18.862</v>
      </c>
      <c r="F14" s="5">
        <v>11.156</v>
      </c>
      <c r="G14" s="5">
        <v>12.349</v>
      </c>
      <c r="H14" s="5">
        <v>11.766</v>
      </c>
      <c r="I14" s="5">
        <v>16.477</v>
      </c>
      <c r="J14" s="5">
        <v>19.837</v>
      </c>
      <c r="K14" s="5">
        <v>20.002</v>
      </c>
      <c r="L14" s="5">
        <v>25.24</v>
      </c>
      <c r="M14" s="5">
        <v>18.234</v>
      </c>
    </row>
    <row r="15">
      <c r="A15" s="4" t="s">
        <v>11</v>
      </c>
      <c r="B15" s="5">
        <v>1.538</v>
      </c>
      <c r="C15" s="5">
        <v>1.125</v>
      </c>
      <c r="D15" s="5">
        <v>1.128</v>
      </c>
      <c r="E15" s="5">
        <v>0.563</v>
      </c>
      <c r="F15" s="5">
        <v>0.447</v>
      </c>
      <c r="G15" s="5">
        <v>0.87</v>
      </c>
      <c r="H15" s="5">
        <v>0.551</v>
      </c>
      <c r="I15" s="5">
        <v>0.636</v>
      </c>
      <c r="J15" s="5">
        <v>0.626</v>
      </c>
      <c r="K15" s="5">
        <v>0.313</v>
      </c>
      <c r="L15" s="5">
        <v>0.225</v>
      </c>
      <c r="M15" s="5">
        <v>0.37</v>
      </c>
    </row>
    <row r="16">
      <c r="A16" s="4" t="s">
        <v>12</v>
      </c>
      <c r="B16" s="7">
        <v>0.0</v>
      </c>
      <c r="C16" s="7">
        <v>0.0</v>
      </c>
      <c r="D16" s="7">
        <v>0.0</v>
      </c>
      <c r="E16" s="7">
        <v>0.0</v>
      </c>
      <c r="F16" s="7">
        <v>1.0</v>
      </c>
      <c r="G16" s="7">
        <v>1.4</v>
      </c>
      <c r="H16" s="7">
        <v>1.4</v>
      </c>
      <c r="I16" s="7">
        <v>1.5</v>
      </c>
      <c r="J16" s="7">
        <v>1.85</v>
      </c>
      <c r="K16" s="7">
        <v>2.0</v>
      </c>
      <c r="L16" s="7">
        <v>2.0</v>
      </c>
      <c r="M16" s="7">
        <v>4.5</v>
      </c>
    </row>
    <row r="17">
      <c r="A17" s="4" t="s">
        <v>13</v>
      </c>
      <c r="B17" s="8">
        <v>4.588</v>
      </c>
      <c r="C17" s="8">
        <v>4.463</v>
      </c>
      <c r="D17" s="8">
        <v>4.206</v>
      </c>
      <c r="E17" s="8">
        <v>4.221</v>
      </c>
      <c r="F17" s="8">
        <v>4.22</v>
      </c>
      <c r="G17" s="8">
        <v>4.216</v>
      </c>
      <c r="H17" s="8">
        <v>4.116</v>
      </c>
      <c r="I17" s="8">
        <v>4.115</v>
      </c>
      <c r="J17" s="8">
        <v>4.09</v>
      </c>
      <c r="K17" s="8">
        <v>4.087</v>
      </c>
      <c r="L17" s="8">
        <v>4.095</v>
      </c>
      <c r="M17" s="8">
        <v>4.124</v>
      </c>
    </row>
    <row r="18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>
      <c r="A19" s="4" t="s">
        <v>14</v>
      </c>
      <c r="B19" s="10">
        <v>0.25</v>
      </c>
      <c r="C19" s="10">
        <v>0.25</v>
      </c>
      <c r="D19" s="10">
        <v>0.25</v>
      </c>
      <c r="E19" s="10">
        <v>0.25</v>
      </c>
      <c r="F19" s="10">
        <v>0.25</v>
      </c>
      <c r="G19" s="10">
        <v>0.25</v>
      </c>
      <c r="H19" s="10">
        <v>0.25</v>
      </c>
      <c r="I19" s="10">
        <v>0.25</v>
      </c>
      <c r="J19" s="10">
        <v>0.25</v>
      </c>
      <c r="K19" s="10">
        <v>0.25</v>
      </c>
      <c r="L19" s="10">
        <v>0.25</v>
      </c>
      <c r="M19" s="10">
        <v>0.25</v>
      </c>
    </row>
    <row r="20">
      <c r="A20" s="4" t="s">
        <v>15</v>
      </c>
      <c r="B20" s="11">
        <f t="shared" ref="B20:M20" si="1">B4*(1-B19)</f>
        <v>14.9685</v>
      </c>
      <c r="C20" s="11">
        <f t="shared" si="1"/>
        <v>18.72225</v>
      </c>
      <c r="D20" s="11">
        <f t="shared" si="1"/>
        <v>19.71</v>
      </c>
      <c r="E20" s="11">
        <f t="shared" si="1"/>
        <v>20.325</v>
      </c>
      <c r="F20" s="11">
        <f t="shared" si="1"/>
        <v>20.982</v>
      </c>
      <c r="G20" s="11">
        <f t="shared" si="1"/>
        <v>20.379</v>
      </c>
      <c r="H20" s="11">
        <f t="shared" si="1"/>
        <v>37.743</v>
      </c>
      <c r="I20" s="11">
        <f t="shared" si="1"/>
        <v>63.76425</v>
      </c>
      <c r="J20" s="11">
        <f t="shared" si="1"/>
        <v>25.83375</v>
      </c>
      <c r="K20" s="11">
        <f t="shared" si="1"/>
        <v>24.3795</v>
      </c>
      <c r="L20" s="11">
        <f t="shared" si="1"/>
        <v>27.37275</v>
      </c>
      <c r="M20" s="11">
        <f t="shared" si="1"/>
        <v>22.5765</v>
      </c>
    </row>
    <row r="21">
      <c r="A21" s="4" t="s">
        <v>16</v>
      </c>
      <c r="B21" s="11">
        <f t="shared" ref="B21:M21" si="2">B11+B12-B10</f>
        <v>17.839</v>
      </c>
      <c r="C21" s="11">
        <f t="shared" si="2"/>
        <v>7.702</v>
      </c>
      <c r="D21" s="11">
        <f t="shared" si="2"/>
        <v>8.069</v>
      </c>
      <c r="E21" s="11">
        <f t="shared" si="2"/>
        <v>2.833</v>
      </c>
      <c r="F21" s="11">
        <f t="shared" si="2"/>
        <v>-0.141</v>
      </c>
      <c r="G21" s="11">
        <f t="shared" si="2"/>
        <v>2.622</v>
      </c>
      <c r="H21" s="11">
        <f t="shared" si="2"/>
        <v>3.289</v>
      </c>
      <c r="I21" s="11">
        <f t="shared" si="2"/>
        <v>3.132</v>
      </c>
      <c r="J21" s="11">
        <f t="shared" si="2"/>
        <v>4.625</v>
      </c>
      <c r="K21" s="11">
        <f t="shared" si="2"/>
        <v>5.612</v>
      </c>
      <c r="L21" s="11">
        <f t="shared" si="2"/>
        <v>6.158</v>
      </c>
      <c r="M21" s="11">
        <f t="shared" si="2"/>
        <v>9.516</v>
      </c>
    </row>
    <row r="22">
      <c r="A22" s="4" t="s">
        <v>17</v>
      </c>
      <c r="B22" s="11">
        <f t="shared" ref="B22:M22" si="3">B14-B15</f>
        <v>11.747</v>
      </c>
      <c r="C22" s="11">
        <f t="shared" si="3"/>
        <v>11.355</v>
      </c>
      <c r="D22" s="11">
        <f t="shared" si="3"/>
        <v>9.284</v>
      </c>
      <c r="E22" s="11">
        <f t="shared" si="3"/>
        <v>18.299</v>
      </c>
      <c r="F22" s="11">
        <f t="shared" si="3"/>
        <v>10.709</v>
      </c>
      <c r="G22" s="11">
        <f t="shared" si="3"/>
        <v>11.479</v>
      </c>
      <c r="H22" s="11">
        <f t="shared" si="3"/>
        <v>11.215</v>
      </c>
      <c r="I22" s="11">
        <f t="shared" si="3"/>
        <v>15.841</v>
      </c>
      <c r="J22" s="11">
        <f t="shared" si="3"/>
        <v>19.211</v>
      </c>
      <c r="K22" s="11">
        <f t="shared" si="3"/>
        <v>19.689</v>
      </c>
      <c r="L22" s="11">
        <f t="shared" si="3"/>
        <v>25.015</v>
      </c>
      <c r="M22" s="11">
        <f t="shared" si="3"/>
        <v>17.864</v>
      </c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>
      <c r="A24" s="4" t="s">
        <v>18</v>
      </c>
      <c r="B24" s="2" t="s">
        <v>19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</row>
    <row r="25">
      <c r="A25" s="4" t="s">
        <v>20</v>
      </c>
      <c r="B25" s="12">
        <f t="shared" ref="B25:M25" si="4">B4/B3</f>
        <v>0.2013681492</v>
      </c>
      <c r="C25" s="12">
        <f t="shared" si="4"/>
        <v>0.2474278918</v>
      </c>
      <c r="D25" s="12">
        <f t="shared" si="4"/>
        <v>0.2730219415</v>
      </c>
      <c r="E25" s="12">
        <f t="shared" si="4"/>
        <v>0.2600742795</v>
      </c>
      <c r="F25" s="12">
        <f t="shared" si="4"/>
        <v>0.2746811456</v>
      </c>
      <c r="G25" s="12">
        <f t="shared" si="4"/>
        <v>0.2629760465</v>
      </c>
      <c r="H25" s="12">
        <f t="shared" si="4"/>
        <v>0.6635636018</v>
      </c>
      <c r="I25" s="12">
        <f t="shared" si="4"/>
        <v>0.740055013</v>
      </c>
      <c r="J25" s="12">
        <f t="shared" si="4"/>
        <v>0.2633711817</v>
      </c>
      <c r="K25" s="12">
        <f t="shared" si="4"/>
        <v>0.2345141043</v>
      </c>
      <c r="L25" s="12">
        <f t="shared" si="4"/>
        <v>0.2462984708</v>
      </c>
      <c r="M25" s="12">
        <f t="shared" si="4"/>
        <v>0.1857425816</v>
      </c>
    </row>
    <row r="26">
      <c r="A26" s="4" t="s">
        <v>21</v>
      </c>
      <c r="B26" s="12">
        <f t="shared" ref="B26:M26" si="5">B11/B12</f>
        <v>-2.155638646</v>
      </c>
      <c r="C26" s="12">
        <f t="shared" si="5"/>
        <v>-1.800846052</v>
      </c>
      <c r="D26" s="12">
        <f t="shared" si="5"/>
        <v>-1.977335278</v>
      </c>
      <c r="E26" s="12">
        <f t="shared" si="5"/>
        <v>-1.711370676</v>
      </c>
      <c r="F26" s="12">
        <f t="shared" si="5"/>
        <v>-2.073577213</v>
      </c>
      <c r="G26" s="12">
        <f t="shared" si="5"/>
        <v>-2.200870469</v>
      </c>
      <c r="H26" s="12">
        <f t="shared" si="5"/>
        <v>-2.350123243</v>
      </c>
      <c r="I26" s="12">
        <f t="shared" si="5"/>
        <v>-1.967392886</v>
      </c>
      <c r="J26" s="12">
        <f t="shared" si="5"/>
        <v>-1.773888066</v>
      </c>
      <c r="K26" s="12">
        <f t="shared" si="5"/>
        <v>-1.809130395</v>
      </c>
      <c r="L26" s="12">
        <f t="shared" si="5"/>
        <v>-3.056561497</v>
      </c>
      <c r="M26" s="12">
        <f t="shared" si="5"/>
        <v>-3.384869577</v>
      </c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>
      <c r="A28" s="4" t="s">
        <v>22</v>
      </c>
      <c r="B28" s="13" t="s">
        <v>23</v>
      </c>
      <c r="M28" s="6"/>
    </row>
    <row r="29">
      <c r="M29" s="6"/>
    </row>
    <row r="30">
      <c r="M30" s="6"/>
    </row>
    <row r="31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 t="s">
        <v>24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1" t="s">
        <v>25</v>
      </c>
      <c r="B33" s="2">
        <v>2014.0</v>
      </c>
      <c r="C33" s="2">
        <v>2015.0</v>
      </c>
      <c r="D33" s="2">
        <v>2016.0</v>
      </c>
      <c r="E33" s="2">
        <v>2017.0</v>
      </c>
      <c r="F33" s="2">
        <v>2018.0</v>
      </c>
      <c r="G33" s="2">
        <v>2019.0</v>
      </c>
      <c r="H33" s="2">
        <v>2020.0</v>
      </c>
      <c r="I33" s="2">
        <v>2021.0</v>
      </c>
      <c r="J33" s="2">
        <v>2022.0</v>
      </c>
      <c r="K33" s="2">
        <v>2023.0</v>
      </c>
      <c r="L33" s="2">
        <v>2024.0</v>
      </c>
      <c r="M33" s="6"/>
    </row>
    <row r="34">
      <c r="A34" s="4" t="s">
        <v>2</v>
      </c>
      <c r="B34" s="15"/>
      <c r="C34" s="15"/>
      <c r="D34" s="15"/>
      <c r="E34" s="15"/>
      <c r="F34" s="15"/>
      <c r="G34" s="15"/>
      <c r="H34" s="15"/>
      <c r="I34" s="15"/>
      <c r="J34" s="15"/>
      <c r="K34" s="3"/>
      <c r="L34" s="3"/>
      <c r="M34" s="6"/>
    </row>
    <row r="35">
      <c r="A35" s="4" t="s">
        <v>3</v>
      </c>
      <c r="B35" s="15"/>
      <c r="C35" s="15"/>
      <c r="D35" s="15"/>
      <c r="E35" s="15"/>
      <c r="F35" s="15"/>
      <c r="G35" s="15"/>
      <c r="H35" s="15"/>
      <c r="I35" s="15"/>
      <c r="J35" s="15"/>
      <c r="K35" s="3"/>
      <c r="L35" s="3"/>
      <c r="M35" s="6"/>
    </row>
    <row r="36">
      <c r="A36" s="4" t="s">
        <v>4</v>
      </c>
      <c r="B36" s="15"/>
      <c r="C36" s="15"/>
      <c r="D36" s="15"/>
      <c r="E36" s="15"/>
      <c r="F36" s="15"/>
      <c r="G36" s="15"/>
      <c r="H36" s="15"/>
      <c r="I36" s="15"/>
      <c r="J36" s="15"/>
      <c r="K36" s="3"/>
      <c r="L36" s="3"/>
      <c r="M36" s="6"/>
    </row>
    <row r="37">
      <c r="A37" s="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3"/>
      <c r="L37" s="3"/>
      <c r="M37" s="6"/>
    </row>
    <row r="38">
      <c r="A38" s="4" t="s">
        <v>26</v>
      </c>
      <c r="B38" s="15"/>
      <c r="C38" s="15"/>
      <c r="D38" s="15"/>
      <c r="E38" s="15"/>
      <c r="F38" s="15"/>
      <c r="G38" s="15"/>
      <c r="H38" s="15"/>
      <c r="I38" s="15"/>
      <c r="J38" s="15"/>
      <c r="K38" s="3"/>
      <c r="L38" s="3"/>
      <c r="M38" s="6"/>
    </row>
    <row r="39">
      <c r="A39" s="4" t="s">
        <v>9</v>
      </c>
      <c r="B39" s="15"/>
      <c r="C39" s="15"/>
      <c r="D39" s="15"/>
      <c r="E39" s="15"/>
      <c r="F39" s="15"/>
      <c r="G39" s="15"/>
      <c r="H39" s="15"/>
      <c r="I39" s="15"/>
      <c r="J39" s="15"/>
      <c r="K39" s="3"/>
      <c r="L39" s="3"/>
      <c r="M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>
      <c r="A41" s="4" t="s">
        <v>18</v>
      </c>
      <c r="B41" s="12" t="str">
        <f t="shared" ref="B41:L41" si="6">(B34*(1-(B36/B35)))/(B38+B39-B37)</f>
        <v>#DIV/0!</v>
      </c>
      <c r="C41" s="12" t="str">
        <f t="shared" si="6"/>
        <v>#DIV/0!</v>
      </c>
      <c r="D41" s="12" t="str">
        <f t="shared" si="6"/>
        <v>#DIV/0!</v>
      </c>
      <c r="E41" s="12" t="str">
        <f t="shared" si="6"/>
        <v>#DIV/0!</v>
      </c>
      <c r="F41" s="12" t="str">
        <f t="shared" si="6"/>
        <v>#DIV/0!</v>
      </c>
      <c r="G41" s="12" t="str">
        <f t="shared" si="6"/>
        <v>#DIV/0!</v>
      </c>
      <c r="H41" s="12" t="str">
        <f t="shared" si="6"/>
        <v>#DIV/0!</v>
      </c>
      <c r="I41" s="12" t="str">
        <f t="shared" si="6"/>
        <v>#DIV/0!</v>
      </c>
      <c r="J41" s="12" t="str">
        <f t="shared" si="6"/>
        <v>#DIV/0!</v>
      </c>
      <c r="K41" s="12" t="str">
        <f t="shared" si="6"/>
        <v>#DIV/0!</v>
      </c>
      <c r="L41" s="12" t="str">
        <f t="shared" si="6"/>
        <v>#DIV/0!</v>
      </c>
      <c r="M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>
      <c r="A43" s="1" t="s">
        <v>25</v>
      </c>
      <c r="B43" s="2">
        <v>2014.0</v>
      </c>
      <c r="C43" s="2">
        <v>2015.0</v>
      </c>
      <c r="D43" s="2">
        <v>2016.0</v>
      </c>
      <c r="E43" s="2">
        <v>2017.0</v>
      </c>
      <c r="F43" s="2">
        <v>2018.0</v>
      </c>
      <c r="G43" s="2">
        <v>2019.0</v>
      </c>
      <c r="H43" s="2">
        <v>2020.0</v>
      </c>
      <c r="I43" s="2">
        <v>2021.0</v>
      </c>
      <c r="J43" s="2">
        <v>2022.0</v>
      </c>
      <c r="K43" s="2">
        <v>2023.0</v>
      </c>
      <c r="L43" s="2">
        <v>2024.0</v>
      </c>
      <c r="M43" s="6"/>
    </row>
    <row r="44">
      <c r="A44" s="4" t="s">
        <v>2</v>
      </c>
      <c r="B44" s="6"/>
      <c r="C44" s="6"/>
      <c r="D44" s="6"/>
      <c r="E44" s="6"/>
      <c r="F44" s="6"/>
      <c r="G44" s="6"/>
      <c r="H44" s="6"/>
      <c r="I44" s="6"/>
      <c r="J44" s="3"/>
      <c r="K44" s="3"/>
      <c r="L44" s="3"/>
      <c r="M44" s="6"/>
    </row>
    <row r="45">
      <c r="A45" s="4" t="s">
        <v>3</v>
      </c>
      <c r="B45" s="6"/>
      <c r="C45" s="6"/>
      <c r="D45" s="6"/>
      <c r="E45" s="6"/>
      <c r="F45" s="6"/>
      <c r="G45" s="6"/>
      <c r="H45" s="6"/>
      <c r="I45" s="6"/>
      <c r="J45" s="3"/>
      <c r="K45" s="3"/>
      <c r="L45" s="3"/>
      <c r="M45" s="6"/>
    </row>
    <row r="46">
      <c r="A46" s="4" t="s">
        <v>4</v>
      </c>
      <c r="B46" s="6"/>
      <c r="C46" s="6"/>
      <c r="D46" s="6"/>
      <c r="E46" s="6"/>
      <c r="F46" s="6"/>
      <c r="G46" s="6"/>
      <c r="H46" s="6"/>
      <c r="I46" s="6"/>
      <c r="J46" s="3"/>
      <c r="K46" s="3"/>
      <c r="L46" s="3"/>
      <c r="M46" s="6"/>
    </row>
    <row r="47">
      <c r="A47" s="4" t="s">
        <v>7</v>
      </c>
      <c r="B47" s="6"/>
      <c r="C47" s="6"/>
      <c r="D47" s="6"/>
      <c r="E47" s="6"/>
      <c r="F47" s="6"/>
      <c r="G47" s="6"/>
      <c r="H47" s="6"/>
      <c r="I47" s="3"/>
      <c r="J47" s="3"/>
      <c r="K47" s="3"/>
      <c r="L47" s="3"/>
      <c r="M47" s="6"/>
    </row>
    <row r="48">
      <c r="A48" s="4" t="s">
        <v>26</v>
      </c>
      <c r="B48" s="6"/>
      <c r="C48" s="6"/>
      <c r="D48" s="6"/>
      <c r="E48" s="6"/>
      <c r="F48" s="6"/>
      <c r="G48" s="6"/>
      <c r="H48" s="6"/>
      <c r="I48" s="3"/>
      <c r="J48" s="3"/>
      <c r="K48" s="3"/>
      <c r="L48" s="3"/>
      <c r="M48" s="6"/>
    </row>
    <row r="49">
      <c r="A49" s="16" t="s">
        <v>9</v>
      </c>
      <c r="B49" s="17"/>
      <c r="C49" s="17"/>
      <c r="D49" s="17"/>
      <c r="E49" s="17"/>
      <c r="F49" s="17"/>
      <c r="G49" s="17"/>
      <c r="H49" s="17"/>
      <c r="I49" s="18"/>
      <c r="J49" s="18"/>
      <c r="K49" s="18"/>
      <c r="L49" s="18"/>
      <c r="M49" s="17"/>
    </row>
    <row r="50">
      <c r="A50" s="19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>
      <c r="A51" s="16" t="s">
        <v>18</v>
      </c>
      <c r="B51" s="20" t="str">
        <f t="shared" ref="B51:L51" si="7">(B44*(1-(B46/B45)))/(B48+B49-B47)</f>
        <v>#DIV/0!</v>
      </c>
      <c r="C51" s="20" t="str">
        <f t="shared" si="7"/>
        <v>#DIV/0!</v>
      </c>
      <c r="D51" s="20" t="str">
        <f t="shared" si="7"/>
        <v>#DIV/0!</v>
      </c>
      <c r="E51" s="20" t="str">
        <f t="shared" si="7"/>
        <v>#DIV/0!</v>
      </c>
      <c r="F51" s="20" t="str">
        <f t="shared" si="7"/>
        <v>#DIV/0!</v>
      </c>
      <c r="G51" s="20" t="str">
        <f t="shared" si="7"/>
        <v>#DIV/0!</v>
      </c>
      <c r="H51" s="20" t="str">
        <f t="shared" si="7"/>
        <v>#DIV/0!</v>
      </c>
      <c r="I51" s="20" t="str">
        <f t="shared" si="7"/>
        <v>#DIV/0!</v>
      </c>
      <c r="J51" s="20" t="str">
        <f t="shared" si="7"/>
        <v>#DIV/0!</v>
      </c>
      <c r="K51" s="20" t="str">
        <f t="shared" si="7"/>
        <v>#DIV/0!</v>
      </c>
      <c r="L51" s="20" t="str">
        <f t="shared" si="7"/>
        <v>#DIV/0!</v>
      </c>
      <c r="M51" s="17"/>
    </row>
    <row r="52">
      <c r="B52" s="6"/>
      <c r="C52" s="6"/>
      <c r="D52" s="6"/>
      <c r="E52" s="6"/>
      <c r="F52" s="6"/>
      <c r="G52" s="6"/>
      <c r="H52" s="6"/>
      <c r="I52" s="12"/>
      <c r="J52" s="12"/>
      <c r="K52" s="12"/>
      <c r="L52" s="12"/>
      <c r="M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</sheetData>
  <mergeCells count="1">
    <mergeCell ref="B28:L30"/>
  </mergeCells>
  <drawing r:id="rId1"/>
</worksheet>
</file>