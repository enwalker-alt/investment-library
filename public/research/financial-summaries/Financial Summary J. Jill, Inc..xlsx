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<sst xmlns="http://schemas.openxmlformats.org/spreadsheetml/2006/main" count="40" uniqueCount="26">
  <si>
    <t>J. Jill, Inc.</t>
  </si>
  <si>
    <t>Revenue</t>
  </si>
  <si>
    <t>Gross Profit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</si>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</sst>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#,##0.000"/>
    <numFmt numFmtId="167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6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0" width="13.38"/>
  </cols>
  <sheetData>
    <row r="1">
      <c r="A1" s="1" t="s">
        <v>0</v>
      </c>
      <c r="B1" s="2">
        <v>2016.0</v>
      </c>
      <c r="C1" s="2">
        <v>2017.0</v>
      </c>
      <c r="D1" s="2">
        <v>2018.0</v>
      </c>
      <c r="E1" s="2">
        <v>2019.0</v>
      </c>
      <c r="F1" s="2">
        <v>2020.0</v>
      </c>
      <c r="G1" s="2">
        <v>2021.0</v>
      </c>
      <c r="H1" s="2">
        <v>2022.0</v>
      </c>
      <c r="I1" s="2">
        <v>2023.0</v>
      </c>
      <c r="J1" s="2">
        <v>2024.0</v>
      </c>
      <c r="K1" s="2">
        <v>2025.0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4" t="s">
        <v>1</v>
      </c>
      <c r="B3" s="5">
        <v>639.056</v>
      </c>
      <c r="C3" s="5">
        <v>698.145</v>
      </c>
      <c r="D3" s="5">
        <v>706.262</v>
      </c>
      <c r="E3" s="5">
        <v>691.345</v>
      </c>
      <c r="F3" s="5">
        <v>426.73</v>
      </c>
      <c r="G3" s="5">
        <v>585.206</v>
      </c>
      <c r="H3" s="5">
        <v>615.268</v>
      </c>
      <c r="I3" s="5">
        <v>604.661</v>
      </c>
      <c r="J3" s="5">
        <v>610.857</v>
      </c>
      <c r="K3" s="5">
        <v>596.849</v>
      </c>
    </row>
    <row r="4">
      <c r="A4" s="4" t="s">
        <v>2</v>
      </c>
      <c r="B4" s="5">
        <v>427.939</v>
      </c>
      <c r="C4" s="5">
        <v>464.08</v>
      </c>
      <c r="D4" s="5">
        <v>460.28</v>
      </c>
      <c r="E4" s="5">
        <v>428.579</v>
      </c>
      <c r="F4" s="5">
        <v>245.627</v>
      </c>
      <c r="G4" s="5">
        <v>394.436</v>
      </c>
      <c r="H4" s="5">
        <v>422.05</v>
      </c>
      <c r="I4" s="5">
        <v>427.4</v>
      </c>
      <c r="J4" s="5">
        <v>429.856</v>
      </c>
      <c r="K4" s="5">
        <v>409.745</v>
      </c>
    </row>
    <row r="5">
      <c r="A5" s="4" t="s">
        <v>3</v>
      </c>
      <c r="B5" s="5">
        <v>59.414</v>
      </c>
      <c r="C5" s="5">
        <v>69.187</v>
      </c>
      <c r="D5" s="5">
        <v>61.238</v>
      </c>
      <c r="E5" s="5">
        <v>-112.018</v>
      </c>
      <c r="F5" s="5">
        <v>-164.118</v>
      </c>
      <c r="G5" s="5">
        <v>58.72</v>
      </c>
      <c r="H5" s="5">
        <v>78.734</v>
      </c>
      <c r="I5" s="5">
        <v>86.05</v>
      </c>
      <c r="J5" s="5">
        <v>75.702</v>
      </c>
      <c r="K5" s="5">
        <v>50.61</v>
      </c>
    </row>
    <row r="6">
      <c r="A6" s="4" t="s">
        <v>4</v>
      </c>
      <c r="B6" s="5">
        <v>40.744</v>
      </c>
      <c r="C6" s="5">
        <v>49.926</v>
      </c>
      <c r="D6" s="5">
        <v>42.174</v>
      </c>
      <c r="E6" s="5">
        <v>-131.589</v>
      </c>
      <c r="F6" s="5">
        <v>-187.566</v>
      </c>
      <c r="G6" s="5">
        <v>-20.125</v>
      </c>
      <c r="H6" s="5">
        <v>58.674</v>
      </c>
      <c r="I6" s="5">
        <v>49.365</v>
      </c>
      <c r="J6" s="5">
        <v>53.981</v>
      </c>
      <c r="K6" s="5">
        <v>39.053</v>
      </c>
    </row>
    <row r="7">
      <c r="A7" s="4" t="s">
        <v>5</v>
      </c>
      <c r="B7" s="5"/>
      <c r="C7" s="5"/>
      <c r="D7" s="5"/>
      <c r="E7" s="5"/>
      <c r="G7" s="5"/>
      <c r="H7" s="5"/>
      <c r="I7" s="5"/>
      <c r="J7" s="5"/>
      <c r="K7" s="5"/>
    </row>
    <row r="8">
      <c r="A8" s="4" t="s">
        <v>6</v>
      </c>
      <c r="B8" s="5">
        <v>24.075</v>
      </c>
      <c r="C8" s="5">
        <v>55.365</v>
      </c>
      <c r="D8" s="5">
        <v>30.525</v>
      </c>
      <c r="E8" s="5">
        <v>-128.567</v>
      </c>
      <c r="F8" s="5">
        <v>-139.404</v>
      </c>
      <c r="G8" s="5">
        <v>-28.143</v>
      </c>
      <c r="H8" s="5">
        <v>42.175</v>
      </c>
      <c r="I8" s="5">
        <v>36.201</v>
      </c>
      <c r="J8" s="5">
        <v>39.483</v>
      </c>
      <c r="K8" s="5">
        <v>27.891</v>
      </c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4" t="s">
        <v>7</v>
      </c>
      <c r="B10" s="5">
        <v>36.219</v>
      </c>
      <c r="C10" s="5">
        <v>35.04</v>
      </c>
      <c r="D10" s="2">
        <v>36.743</v>
      </c>
      <c r="E10" s="2">
        <v>37.916</v>
      </c>
      <c r="F10" s="2">
        <v>33.684</v>
      </c>
      <c r="G10" s="2">
        <v>29.259</v>
      </c>
      <c r="H10" s="2">
        <v>25.735</v>
      </c>
      <c r="I10" s="2">
        <v>22.921</v>
      </c>
      <c r="J10" s="2">
        <v>21.325</v>
      </c>
      <c r="K10" s="2">
        <v>21.198</v>
      </c>
    </row>
    <row r="11">
      <c r="A11" s="4" t="s">
        <v>8</v>
      </c>
      <c r="B11" s="5">
        <v>13.468</v>
      </c>
      <c r="C11" s="5">
        <v>25.978</v>
      </c>
      <c r="D11" s="5">
        <v>66.204</v>
      </c>
      <c r="E11" s="5">
        <v>21.527</v>
      </c>
      <c r="F11" s="5">
        <v>4.407</v>
      </c>
      <c r="G11" s="5">
        <v>35.957</v>
      </c>
      <c r="H11" s="5">
        <v>87.053</v>
      </c>
      <c r="I11" s="5">
        <v>62.172</v>
      </c>
      <c r="J11" s="5">
        <v>35.427</v>
      </c>
      <c r="K11" s="5">
        <v>41.015</v>
      </c>
    </row>
    <row r="12">
      <c r="A12" s="4" t="s">
        <v>9</v>
      </c>
      <c r="B12" s="5">
        <v>267.239</v>
      </c>
      <c r="C12" s="5">
        <v>241.68</v>
      </c>
      <c r="D12" s="5">
        <v>240.263</v>
      </c>
      <c r="E12" s="5">
        <v>233.999</v>
      </c>
      <c r="F12" s="5">
        <v>231.511</v>
      </c>
      <c r="G12" s="5">
        <v>209.808</v>
      </c>
      <c r="H12" s="5">
        <v>208.66</v>
      </c>
      <c r="I12" s="5">
        <v>155.948</v>
      </c>
      <c r="J12" s="5">
        <v>69.419</v>
      </c>
      <c r="K12" s="5">
        <v>73.31</v>
      </c>
    </row>
    <row r="13">
      <c r="A13" s="4" t="s">
        <v>10</v>
      </c>
      <c r="B13" s="5">
        <v>122.864</v>
      </c>
      <c r="C13" s="5">
        <v>179.316</v>
      </c>
      <c r="D13" s="5">
        <v>213.795</v>
      </c>
      <c r="E13" s="5">
        <v>38.565</v>
      </c>
      <c r="F13" s="5">
        <v>-96.898</v>
      </c>
      <c r="G13" s="5">
        <v>-44.654</v>
      </c>
      <c r="H13" s="5">
        <v>-0.219</v>
      </c>
      <c r="I13" s="5">
        <v>37.218</v>
      </c>
      <c r="J13" s="5">
        <v>105.769</v>
      </c>
      <c r="K13" s="5">
        <v>121.499</v>
      </c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4" t="s">
        <v>11</v>
      </c>
      <c r="B15" s="5">
        <v>67.2</v>
      </c>
      <c r="C15" s="5">
        <v>76.354</v>
      </c>
      <c r="D15" s="7">
        <v>67.503</v>
      </c>
      <c r="E15" s="7">
        <v>32.653</v>
      </c>
      <c r="F15" s="7">
        <v>-34.811</v>
      </c>
      <c r="G15" s="7">
        <v>74.999</v>
      </c>
      <c r="H15" s="7">
        <v>74.425</v>
      </c>
      <c r="I15" s="7">
        <v>63.313</v>
      </c>
      <c r="J15" s="7">
        <v>65.036</v>
      </c>
      <c r="K15" s="7">
        <v>42.144</v>
      </c>
    </row>
    <row r="16">
      <c r="A16" s="4" t="s">
        <v>12</v>
      </c>
      <c r="B16" s="5">
        <v>37.077</v>
      </c>
      <c r="C16" s="5">
        <v>38.372</v>
      </c>
      <c r="D16" s="7">
        <v>24.71</v>
      </c>
      <c r="E16" s="7">
        <v>18.222</v>
      </c>
      <c r="F16" s="7">
        <v>3.805</v>
      </c>
      <c r="G16" s="7">
        <v>5.474</v>
      </c>
      <c r="H16" s="7">
        <v>9.189</v>
      </c>
      <c r="I16" s="7">
        <v>10.689</v>
      </c>
      <c r="J16" s="7">
        <v>14.267</v>
      </c>
      <c r="K16" s="7">
        <v>16.938</v>
      </c>
    </row>
    <row r="17">
      <c r="A17" s="4" t="s">
        <v>13</v>
      </c>
      <c r="B17" s="5">
        <v>0.0</v>
      </c>
      <c r="C17" s="5">
        <v>0.0</v>
      </c>
      <c r="D17" s="8">
        <v>0.0</v>
      </c>
      <c r="E17" s="8">
        <v>0.0</v>
      </c>
      <c r="F17" s="8">
        <v>5.75</v>
      </c>
      <c r="G17" s="8">
        <v>0.0</v>
      </c>
      <c r="H17" s="8">
        <v>0.0</v>
      </c>
      <c r="I17" s="8">
        <v>0.0</v>
      </c>
      <c r="J17" s="8">
        <v>0.21</v>
      </c>
      <c r="K17" s="8">
        <v>0.32</v>
      </c>
    </row>
    <row r="18">
      <c r="A18" s="4" t="s">
        <v>14</v>
      </c>
      <c r="B18" s="7">
        <f>43.747/5</f>
        <v>8.7494</v>
      </c>
      <c r="C18" s="7">
        <f>43.572/5</f>
        <v>8.7144</v>
      </c>
      <c r="D18" s="7">
        <f>44.239751/5</f>
        <v>8.8479502</v>
      </c>
      <c r="E18" s="7">
        <f>43.749324/5</f>
        <v>8.7498648</v>
      </c>
      <c r="F18" s="7">
        <v>9.159686</v>
      </c>
      <c r="G18" s="7">
        <v>12.429759</v>
      </c>
      <c r="H18" s="7">
        <v>14.285035</v>
      </c>
      <c r="I18" s="7">
        <v>14.40447</v>
      </c>
      <c r="J18" s="7">
        <v>15.136833</v>
      </c>
      <c r="K18" s="7">
        <v>15.340148</v>
      </c>
    </row>
    <row r="19">
      <c r="B19" s="9"/>
      <c r="C19" s="9"/>
      <c r="D19" s="9"/>
      <c r="E19" s="9"/>
      <c r="F19" s="9"/>
      <c r="G19" s="9"/>
      <c r="H19" s="9"/>
      <c r="I19" s="9"/>
      <c r="J19" s="9"/>
      <c r="K19" s="9"/>
    </row>
    <row r="20">
      <c r="A20" s="4" t="s">
        <v>15</v>
      </c>
      <c r="B20" s="10">
        <v>0.25</v>
      </c>
      <c r="C20" s="10">
        <v>0.25</v>
      </c>
      <c r="D20" s="10">
        <v>0.25</v>
      </c>
      <c r="E20" s="10">
        <v>0.25</v>
      </c>
      <c r="F20" s="10">
        <v>0.25</v>
      </c>
      <c r="G20" s="10">
        <v>0.25</v>
      </c>
      <c r="H20" s="10">
        <v>0.25</v>
      </c>
      <c r="I20" s="10">
        <v>0.25</v>
      </c>
      <c r="J20" s="10">
        <v>0.25</v>
      </c>
      <c r="K20" s="10">
        <v>0.25</v>
      </c>
    </row>
    <row r="21">
      <c r="A21" s="4" t="s">
        <v>16</v>
      </c>
      <c r="B21" s="11">
        <f t="shared" ref="B21:K21" si="1">B5*(1-B20)</f>
        <v>44.5605</v>
      </c>
      <c r="C21" s="11">
        <f t="shared" si="1"/>
        <v>51.89025</v>
      </c>
      <c r="D21" s="11">
        <f t="shared" si="1"/>
        <v>45.9285</v>
      </c>
      <c r="E21" s="11">
        <f t="shared" si="1"/>
        <v>-84.0135</v>
      </c>
      <c r="F21" s="11">
        <f t="shared" si="1"/>
        <v>-123.0885</v>
      </c>
      <c r="G21" s="11">
        <f t="shared" si="1"/>
        <v>44.04</v>
      </c>
      <c r="H21" s="11">
        <f t="shared" si="1"/>
        <v>59.0505</v>
      </c>
      <c r="I21" s="11">
        <f t="shared" si="1"/>
        <v>64.5375</v>
      </c>
      <c r="J21" s="11">
        <f t="shared" si="1"/>
        <v>56.7765</v>
      </c>
      <c r="K21" s="11">
        <f t="shared" si="1"/>
        <v>37.9575</v>
      </c>
    </row>
    <row r="22">
      <c r="A22" s="4" t="s">
        <v>17</v>
      </c>
      <c r="B22" s="11">
        <f t="shared" ref="B22:K22" si="2">B12+B13-B11</f>
        <v>376.635</v>
      </c>
      <c r="C22" s="11">
        <f t="shared" si="2"/>
        <v>395.018</v>
      </c>
      <c r="D22" s="11">
        <f t="shared" si="2"/>
        <v>387.854</v>
      </c>
      <c r="E22" s="11">
        <f t="shared" si="2"/>
        <v>251.037</v>
      </c>
      <c r="F22" s="11">
        <f t="shared" si="2"/>
        <v>130.206</v>
      </c>
      <c r="G22" s="11">
        <f t="shared" si="2"/>
        <v>129.197</v>
      </c>
      <c r="H22" s="11">
        <f t="shared" si="2"/>
        <v>121.388</v>
      </c>
      <c r="I22" s="11">
        <f t="shared" si="2"/>
        <v>130.994</v>
      </c>
      <c r="J22" s="11">
        <f t="shared" si="2"/>
        <v>139.761</v>
      </c>
      <c r="K22" s="11">
        <f t="shared" si="2"/>
        <v>153.794</v>
      </c>
    </row>
    <row r="23">
      <c r="A23" s="4" t="s">
        <v>18</v>
      </c>
      <c r="B23" s="11">
        <f t="shared" ref="B23:K23" si="3">B15-B16</f>
        <v>30.123</v>
      </c>
      <c r="C23" s="11">
        <f t="shared" si="3"/>
        <v>37.982</v>
      </c>
      <c r="D23" s="11">
        <f t="shared" si="3"/>
        <v>42.793</v>
      </c>
      <c r="E23" s="11">
        <f t="shared" si="3"/>
        <v>14.431</v>
      </c>
      <c r="F23" s="11">
        <f t="shared" si="3"/>
        <v>-38.616</v>
      </c>
      <c r="G23" s="11">
        <f t="shared" si="3"/>
        <v>69.525</v>
      </c>
      <c r="H23" s="11">
        <f t="shared" si="3"/>
        <v>65.236</v>
      </c>
      <c r="I23" s="11">
        <f t="shared" si="3"/>
        <v>52.624</v>
      </c>
      <c r="J23" s="11">
        <f t="shared" si="3"/>
        <v>50.769</v>
      </c>
      <c r="K23" s="11">
        <f t="shared" si="3"/>
        <v>25.206</v>
      </c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4" t="s">
        <v>19</v>
      </c>
      <c r="B25" s="12">
        <f t="shared" ref="B25:K25" si="4">B21/B22</f>
        <v>0.118312159</v>
      </c>
      <c r="C25" s="12">
        <f t="shared" si="4"/>
        <v>0.1313617354</v>
      </c>
      <c r="D25" s="12">
        <f t="shared" si="4"/>
        <v>0.1184169816</v>
      </c>
      <c r="E25" s="12">
        <f t="shared" si="4"/>
        <v>-0.3346658062</v>
      </c>
      <c r="F25" s="12">
        <f t="shared" si="4"/>
        <v>-0.9453366204</v>
      </c>
      <c r="G25" s="12">
        <f t="shared" si="4"/>
        <v>0.3408747881</v>
      </c>
      <c r="H25" s="12">
        <f t="shared" si="4"/>
        <v>0.4864607704</v>
      </c>
      <c r="I25" s="12">
        <f t="shared" si="4"/>
        <v>0.492675237</v>
      </c>
      <c r="J25" s="12">
        <f t="shared" si="4"/>
        <v>0.4062399382</v>
      </c>
      <c r="K25" s="12">
        <f t="shared" si="4"/>
        <v>0.2468074177</v>
      </c>
    </row>
    <row r="26">
      <c r="A26" s="4" t="s">
        <v>20</v>
      </c>
      <c r="B26" s="12">
        <f t="shared" ref="B26:K26" si="5">B5/B3</f>
        <v>0.09297150797</v>
      </c>
      <c r="C26" s="12">
        <f t="shared" si="5"/>
        <v>0.09910118958</v>
      </c>
      <c r="D26" s="12">
        <f t="shared" si="5"/>
        <v>0.08670719931</v>
      </c>
      <c r="E26" s="12">
        <f t="shared" si="5"/>
        <v>-0.1620290882</v>
      </c>
      <c r="F26" s="12">
        <f t="shared" si="5"/>
        <v>-0.3845944743</v>
      </c>
      <c r="G26" s="12">
        <f t="shared" si="5"/>
        <v>0.1003407347</v>
      </c>
      <c r="H26" s="12">
        <f t="shared" si="5"/>
        <v>0.1279669997</v>
      </c>
      <c r="I26" s="12">
        <f t="shared" si="5"/>
        <v>0.1423111462</v>
      </c>
      <c r="J26" s="12">
        <f t="shared" si="5"/>
        <v>0.1239275313</v>
      </c>
      <c r="K26" s="12">
        <f t="shared" si="5"/>
        <v>0.08479531674</v>
      </c>
    </row>
    <row r="27">
      <c r="A27" s="4" t="s">
        <v>21</v>
      </c>
      <c r="B27" s="12">
        <f t="shared" ref="B27:K27" si="6">B12/B13</f>
        <v>2.175079763</v>
      </c>
      <c r="C27" s="12">
        <f t="shared" si="6"/>
        <v>1.347788262</v>
      </c>
      <c r="D27" s="12">
        <f t="shared" si="6"/>
        <v>1.123800837</v>
      </c>
      <c r="E27" s="12">
        <f t="shared" si="6"/>
        <v>6.067652016</v>
      </c>
      <c r="F27" s="12">
        <f t="shared" si="6"/>
        <v>-2.38922372</v>
      </c>
      <c r="G27" s="12">
        <f t="shared" si="6"/>
        <v>-4.698526448</v>
      </c>
      <c r="H27" s="12">
        <f t="shared" si="6"/>
        <v>-952.7853881</v>
      </c>
      <c r="I27" s="12">
        <f t="shared" si="6"/>
        <v>4.190123059</v>
      </c>
      <c r="J27" s="12">
        <f t="shared" si="6"/>
        <v>0.6563265229</v>
      </c>
      <c r="K27" s="12">
        <f t="shared" si="6"/>
        <v>0.6033794517</v>
      </c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4" t="s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13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1" t="s">
        <v>24</v>
      </c>
      <c r="B32" s="2">
        <v>2016.0</v>
      </c>
      <c r="C32" s="2">
        <v>2017.0</v>
      </c>
      <c r="D32" s="2">
        <v>2018.0</v>
      </c>
      <c r="E32" s="2">
        <v>2019.0</v>
      </c>
      <c r="F32" s="2">
        <v>2020.0</v>
      </c>
      <c r="G32" s="2">
        <v>2021.0</v>
      </c>
      <c r="H32" s="2">
        <v>2022.0</v>
      </c>
      <c r="I32" s="2">
        <v>2023.0</v>
      </c>
      <c r="J32" s="2">
        <v>2024.0</v>
      </c>
      <c r="K32" s="6"/>
    </row>
    <row r="33">
      <c r="A33" s="4" t="s">
        <v>3</v>
      </c>
      <c r="B33" s="14"/>
      <c r="C33" s="14"/>
      <c r="D33" s="14"/>
      <c r="E33" s="14"/>
      <c r="F33" s="14"/>
      <c r="G33" s="14"/>
      <c r="H33" s="14"/>
      <c r="I33" s="3"/>
      <c r="J33" s="3"/>
      <c r="K33" s="6"/>
    </row>
    <row r="34">
      <c r="A34" s="4" t="s">
        <v>4</v>
      </c>
      <c r="B34" s="14"/>
      <c r="C34" s="14"/>
      <c r="D34" s="14"/>
      <c r="E34" s="14"/>
      <c r="F34" s="14"/>
      <c r="G34" s="14"/>
      <c r="H34" s="14"/>
      <c r="I34" s="3"/>
      <c r="J34" s="3"/>
      <c r="K34" s="6"/>
    </row>
    <row r="35">
      <c r="A35" s="4" t="s">
        <v>5</v>
      </c>
      <c r="B35" s="14"/>
      <c r="C35" s="14"/>
      <c r="D35" s="14"/>
      <c r="E35" s="14"/>
      <c r="F35" s="14"/>
      <c r="G35" s="14"/>
      <c r="H35" s="14"/>
      <c r="I35" s="3"/>
      <c r="J35" s="3"/>
      <c r="K35" s="6"/>
    </row>
    <row r="36">
      <c r="A36" s="4" t="s">
        <v>8</v>
      </c>
      <c r="B36" s="14"/>
      <c r="C36" s="14"/>
      <c r="D36" s="14"/>
      <c r="E36" s="14"/>
      <c r="F36" s="14"/>
      <c r="G36" s="14"/>
      <c r="H36" s="14"/>
      <c r="I36" s="3"/>
      <c r="J36" s="3"/>
      <c r="K36" s="6"/>
    </row>
    <row r="37">
      <c r="A37" s="4" t="s">
        <v>25</v>
      </c>
      <c r="B37" s="14"/>
      <c r="C37" s="14"/>
      <c r="D37" s="14"/>
      <c r="E37" s="14"/>
      <c r="F37" s="14"/>
      <c r="G37" s="14"/>
      <c r="H37" s="14"/>
      <c r="I37" s="3"/>
      <c r="J37" s="3"/>
      <c r="K37" s="6"/>
    </row>
    <row r="38">
      <c r="A38" s="4" t="s">
        <v>10</v>
      </c>
      <c r="B38" s="14"/>
      <c r="C38" s="14"/>
      <c r="D38" s="14"/>
      <c r="E38" s="14"/>
      <c r="F38" s="14"/>
      <c r="G38" s="14"/>
      <c r="H38" s="14"/>
      <c r="I38" s="3"/>
      <c r="J38" s="3"/>
      <c r="K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4" t="s">
        <v>19</v>
      </c>
      <c r="B40" s="12" t="str">
        <f t="shared" ref="B40:J40" si="7">(B33*(1-(B35/B34)))/(B37+B38-B36)</f>
        <v>#DIV/0!</v>
      </c>
      <c r="C40" s="12" t="str">
        <f t="shared" si="7"/>
        <v>#DIV/0!</v>
      </c>
      <c r="D40" s="12" t="str">
        <f t="shared" si="7"/>
        <v>#DIV/0!</v>
      </c>
      <c r="E40" s="12" t="str">
        <f t="shared" si="7"/>
        <v>#DIV/0!</v>
      </c>
      <c r="F40" s="12" t="str">
        <f t="shared" si="7"/>
        <v>#DIV/0!</v>
      </c>
      <c r="G40" s="12" t="str">
        <f t="shared" si="7"/>
        <v>#DIV/0!</v>
      </c>
      <c r="H40" s="12" t="str">
        <f t="shared" si="7"/>
        <v>#DIV/0!</v>
      </c>
      <c r="I40" s="12" t="str">
        <f t="shared" si="7"/>
        <v>#DIV/0!</v>
      </c>
      <c r="J40" s="12" t="str">
        <f t="shared" si="7"/>
        <v>#DIV/0!</v>
      </c>
      <c r="K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1" t="s">
        <v>24</v>
      </c>
      <c r="B42" s="2">
        <v>2016.0</v>
      </c>
      <c r="C42" s="2">
        <v>2017.0</v>
      </c>
      <c r="D42" s="2">
        <v>2018.0</v>
      </c>
      <c r="E42" s="2">
        <v>2019.0</v>
      </c>
      <c r="F42" s="2">
        <v>2020.0</v>
      </c>
      <c r="G42" s="2">
        <v>2021.0</v>
      </c>
      <c r="H42" s="2">
        <v>2022.0</v>
      </c>
      <c r="I42" s="2">
        <v>2023.0</v>
      </c>
      <c r="J42" s="2">
        <v>2024.0</v>
      </c>
      <c r="K42" s="6"/>
    </row>
    <row r="43">
      <c r="A43" s="4" t="s">
        <v>3</v>
      </c>
      <c r="B43" s="6"/>
      <c r="C43" s="6"/>
      <c r="D43" s="6"/>
      <c r="E43" s="6"/>
      <c r="F43" s="6"/>
      <c r="G43" s="6"/>
      <c r="H43" s="3"/>
      <c r="I43" s="3"/>
      <c r="J43" s="3"/>
      <c r="K43" s="6"/>
    </row>
    <row r="44">
      <c r="A44" s="4" t="s">
        <v>4</v>
      </c>
      <c r="B44" s="6"/>
      <c r="C44" s="6"/>
      <c r="D44" s="6"/>
      <c r="E44" s="6"/>
      <c r="F44" s="6"/>
      <c r="G44" s="6"/>
      <c r="H44" s="3"/>
      <c r="I44" s="3"/>
      <c r="J44" s="3"/>
      <c r="K44" s="6"/>
    </row>
    <row r="45">
      <c r="A45" s="4" t="s">
        <v>5</v>
      </c>
      <c r="B45" s="6"/>
      <c r="C45" s="6"/>
      <c r="D45" s="6"/>
      <c r="E45" s="6"/>
      <c r="F45" s="6"/>
      <c r="G45" s="6"/>
      <c r="H45" s="3"/>
      <c r="I45" s="3"/>
      <c r="J45" s="3"/>
      <c r="K45" s="6"/>
    </row>
    <row r="46">
      <c r="A46" s="4" t="s">
        <v>8</v>
      </c>
      <c r="B46" s="6"/>
      <c r="C46" s="6"/>
      <c r="D46" s="6"/>
      <c r="E46" s="6"/>
      <c r="F46" s="6"/>
      <c r="G46" s="3"/>
      <c r="H46" s="3"/>
      <c r="I46" s="3"/>
      <c r="J46" s="3"/>
      <c r="K46" s="6"/>
    </row>
    <row r="47">
      <c r="A47" s="4" t="s">
        <v>25</v>
      </c>
      <c r="B47" s="6"/>
      <c r="C47" s="6"/>
      <c r="D47" s="6"/>
      <c r="E47" s="6"/>
      <c r="F47" s="6"/>
      <c r="G47" s="3"/>
      <c r="H47" s="3"/>
      <c r="I47" s="3"/>
      <c r="J47" s="3"/>
      <c r="K47" s="6"/>
    </row>
    <row r="48">
      <c r="A48" s="15" t="s">
        <v>10</v>
      </c>
      <c r="B48" s="16"/>
      <c r="C48" s="16"/>
      <c r="D48" s="16"/>
      <c r="E48" s="16"/>
      <c r="F48" s="16"/>
      <c r="G48" s="17"/>
      <c r="H48" s="17"/>
      <c r="I48" s="17"/>
      <c r="J48" s="17"/>
      <c r="K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5" t="s">
        <v>19</v>
      </c>
      <c r="B50" s="19" t="str">
        <f t="shared" ref="B50:J50" si="8">(B43*(1-(B45/B44)))/(B47+B48-B46)</f>
        <v>#DIV/0!</v>
      </c>
      <c r="C50" s="19" t="str">
        <f t="shared" si="8"/>
        <v>#DIV/0!</v>
      </c>
      <c r="D50" s="19" t="str">
        <f t="shared" si="8"/>
        <v>#DIV/0!</v>
      </c>
      <c r="E50" s="19" t="str">
        <f t="shared" si="8"/>
        <v>#DIV/0!</v>
      </c>
      <c r="F50" s="19" t="str">
        <f t="shared" si="8"/>
        <v>#DIV/0!</v>
      </c>
      <c r="G50" s="19" t="str">
        <f t="shared" si="8"/>
        <v>#DIV/0!</v>
      </c>
      <c r="H50" s="19" t="str">
        <f t="shared" si="8"/>
        <v>#DIV/0!</v>
      </c>
      <c r="I50" s="19" t="str">
        <f t="shared" si="8"/>
        <v>#DIV/0!</v>
      </c>
      <c r="J50" s="19" t="str">
        <f t="shared" si="8"/>
        <v>#DIV/0!</v>
      </c>
      <c r="K50" s="16"/>
    </row>
    <row r="51">
      <c r="B51" s="6"/>
      <c r="C51" s="6"/>
      <c r="D51" s="6"/>
      <c r="E51" s="6"/>
      <c r="F51" s="6"/>
      <c r="G51" s="12"/>
      <c r="H51" s="12"/>
      <c r="I51" s="12"/>
      <c r="J51" s="12"/>
      <c r="K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</row>
  </sheetData>
  <drawing r:id="rId1"/>
</worksheet>
</file>