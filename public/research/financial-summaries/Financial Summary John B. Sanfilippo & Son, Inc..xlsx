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<sst xmlns="http://schemas.openxmlformats.org/spreadsheetml/2006/main" count="40" uniqueCount="26">
  <si>
    <t>John B. Sanfilippo &amp; Son, Inc.</t>
  </si>
  <si>
    <t>2007 (Year Ended June 2008)</t>
  </si>
  <si>
    <t>Revenue</t>
  </si>
  <si>
    <t>Operating Income</t>
  </si>
  <si>
    <t>Income Before Tax</t>
  </si>
  <si>
    <t>Income Tax Expense</t>
  </si>
  <si>
    <t>Net Income</t>
  </si>
  <si>
    <t>D&amp;A</t>
  </si>
  <si>
    <t>Cash</t>
  </si>
  <si>
    <t>Total Debt</t>
  </si>
  <si>
    <t>Shareholder Equity</t>
  </si>
  <si>
    <t>Operating Cash Flow</t>
  </si>
  <si>
    <t>Capital Expenditures</t>
  </si>
  <si>
    <t>Dividend Per Share</t>
  </si>
  <si>
    <t>Shares Outstanding</t>
  </si>
  <si>
    <t>Tax Rate</t>
  </si>
  <si>
    <t>NOPAT</t>
  </si>
  <si>
    <t>Invested Capital</t>
  </si>
  <si>
    <t>Free Cash Flow</t>
  </si>
  <si>
    <t>ROIC</t>
  </si>
  <si>
    <t>Operating Margin</t>
  </si>
  <si>
    <t>Debt / Equity</t>
  </si>
  <si>
    <t>Notes</t>
  </si>
  <si>
    <t>Competitors</t>
  </si>
  <si>
    <t>(Company Name)</t>
  </si>
  <si>
    <t>Debt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</si>
</sst>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"/>
    <numFmt numFmtId="165" formatCode="&quot;$&quot;#,##0.000"/>
    <numFmt numFmtId="166" formatCode="&quot;$&quot;#,##0.00"/>
    <numFmt numFmtId="167" formatCode="#,##0.0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i/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right"/>
    </xf>
    <xf borderId="0" fillId="0" fontId="2" numFmtId="164" xfId="0" applyAlignment="1" applyFont="1" applyNumberFormat="1">
      <alignment horizontal="right"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horizontal="right" readingOrder="0"/>
    </xf>
    <xf borderId="0" fillId="0" fontId="2" numFmtId="10" xfId="0" applyAlignment="1" applyFont="1" applyNumberFormat="1">
      <alignment horizontal="right"/>
    </xf>
    <xf borderId="0" fillId="0" fontId="2" numFmtId="166" xfId="0" applyAlignment="1" applyFont="1" applyNumberFormat="1">
      <alignment horizontal="right" readingOrder="0"/>
    </xf>
    <xf borderId="0" fillId="0" fontId="2" numFmtId="167" xfId="0" applyAlignment="1" applyFont="1" applyNumberFormat="1">
      <alignment horizontal="right" readingOrder="0"/>
    </xf>
    <xf borderId="0" fillId="0" fontId="2" numFmtId="164" xfId="0" applyAlignment="1" applyFont="1" applyNumberFormat="1">
      <alignment horizontal="right"/>
    </xf>
    <xf borderId="0" fillId="0" fontId="2" numFmtId="10" xfId="0" applyAlignment="1" applyFont="1" applyNumberFormat="1">
      <alignment horizontal="right" readingOrder="0"/>
    </xf>
    <xf borderId="0" fillId="0" fontId="2" numFmtId="165" xfId="0" applyAlignment="1" applyFont="1" applyNumberFormat="1">
      <alignment horizontal="right"/>
    </xf>
    <xf borderId="0" fillId="0" fontId="3" numFmtId="0" xfId="0" applyAlignment="1" applyFont="1">
      <alignment readingOrder="0"/>
    </xf>
    <xf borderId="0" fillId="0" fontId="2" numFmtId="166" xfId="0" applyAlignment="1" applyFont="1" applyNumberFormat="1">
      <alignment horizontal="right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/>
    </xf>
    <xf borderId="0" fillId="0" fontId="4" numFmtId="164" xfId="0" applyAlignment="1" applyFont="1" applyNumberFormat="1">
      <alignment horizontal="right" readingOrder="0"/>
    </xf>
    <xf borderId="0" fillId="0" fontId="4" numFmtId="0" xfId="0" applyFont="1"/>
    <xf borderId="0" fillId="0" fontId="4" numFmtId="10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6.63"/>
    <col customWidth="1" min="2" max="2" width="23.38"/>
    <col customWidth="1" min="3" max="19" width="13.38"/>
  </cols>
  <sheetData>
    <row r="1">
      <c r="A1" s="1" t="s">
        <v>0</v>
      </c>
      <c r="B1" s="2" t="s">
        <v>1</v>
      </c>
      <c r="C1" s="2">
        <v>2008.0</v>
      </c>
      <c r="D1" s="2">
        <v>2009.0</v>
      </c>
      <c r="E1" s="2">
        <v>2010.0</v>
      </c>
      <c r="F1" s="2">
        <v>2011.0</v>
      </c>
      <c r="G1" s="2">
        <v>2012.0</v>
      </c>
      <c r="H1" s="2">
        <v>2013.0</v>
      </c>
      <c r="I1" s="2">
        <v>2014.0</v>
      </c>
      <c r="J1" s="2">
        <v>2015.0</v>
      </c>
      <c r="K1" s="2">
        <v>2016.0</v>
      </c>
      <c r="L1" s="2">
        <v>2017.0</v>
      </c>
      <c r="M1" s="2">
        <v>2018.0</v>
      </c>
      <c r="N1" s="2">
        <v>2019.0</v>
      </c>
      <c r="O1" s="2">
        <v>2020.0</v>
      </c>
      <c r="P1" s="2">
        <v>2021.0</v>
      </c>
      <c r="Q1" s="2">
        <v>2022.0</v>
      </c>
      <c r="R1" s="2">
        <v>2023.0</v>
      </c>
      <c r="S1" s="2">
        <v>2024.0</v>
      </c>
      <c r="T1" s="3"/>
    </row>
    <row r="2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3"/>
    </row>
    <row r="3">
      <c r="A3" s="5" t="s">
        <v>2</v>
      </c>
      <c r="B3" s="6">
        <v>541.771</v>
      </c>
      <c r="C3" s="6">
        <v>553.846</v>
      </c>
      <c r="D3" s="6">
        <v>561.633</v>
      </c>
      <c r="E3" s="6">
        <v>674.212</v>
      </c>
      <c r="F3" s="6">
        <v>700.575</v>
      </c>
      <c r="G3" s="6">
        <v>734.334</v>
      </c>
      <c r="H3" s="6">
        <v>778.622</v>
      </c>
      <c r="I3" s="6">
        <v>887.245</v>
      </c>
      <c r="J3" s="6">
        <v>952.059</v>
      </c>
      <c r="K3" s="6">
        <v>846.635</v>
      </c>
      <c r="L3" s="6">
        <v>888.931</v>
      </c>
      <c r="M3" s="6">
        <v>876.201</v>
      </c>
      <c r="N3" s="6">
        <v>880.092</v>
      </c>
      <c r="O3" s="6">
        <v>858.482</v>
      </c>
      <c r="P3" s="6">
        <v>955.868</v>
      </c>
      <c r="Q3" s="6">
        <v>999.686</v>
      </c>
      <c r="R3" s="6">
        <v>1066.783</v>
      </c>
      <c r="S3" s="6">
        <v>1107.246</v>
      </c>
      <c r="T3" s="3"/>
    </row>
    <row r="4">
      <c r="A4" s="5" t="s">
        <v>3</v>
      </c>
      <c r="B4" s="6">
        <v>10.671</v>
      </c>
      <c r="C4" s="6">
        <v>51.581</v>
      </c>
      <c r="D4" s="6">
        <v>29.672</v>
      </c>
      <c r="E4" s="6">
        <v>10.256</v>
      </c>
      <c r="F4" s="6">
        <v>32.973</v>
      </c>
      <c r="G4" s="6">
        <v>41.619</v>
      </c>
      <c r="H4" s="6">
        <v>46.996</v>
      </c>
      <c r="I4" s="6">
        <v>51.879</v>
      </c>
      <c r="J4" s="6">
        <v>51.312</v>
      </c>
      <c r="K4" s="6">
        <v>58.344</v>
      </c>
      <c r="L4" s="6">
        <v>56.189</v>
      </c>
      <c r="M4" s="6">
        <v>58.524</v>
      </c>
      <c r="N4" s="6">
        <v>78.547</v>
      </c>
      <c r="O4" s="6">
        <v>85.178</v>
      </c>
      <c r="P4" s="6">
        <v>87.437</v>
      </c>
      <c r="Q4" s="6">
        <v>90.224</v>
      </c>
      <c r="R4" s="6">
        <v>85.187</v>
      </c>
      <c r="S4" s="6">
        <v>84.711</v>
      </c>
      <c r="T4" s="3"/>
    </row>
    <row r="5">
      <c r="A5" s="5" t="s">
        <v>4</v>
      </c>
      <c r="B5" s="6">
        <v>-6.854</v>
      </c>
      <c r="C5" s="6">
        <v>6.658</v>
      </c>
      <c r="D5" s="6">
        <v>22.872</v>
      </c>
      <c r="E5" s="6">
        <v>2.786</v>
      </c>
      <c r="F5" s="6">
        <v>26.221</v>
      </c>
      <c r="G5" s="6">
        <v>35.296</v>
      </c>
      <c r="H5" s="6">
        <v>39.832</v>
      </c>
      <c r="I5" s="6">
        <v>44.864</v>
      </c>
      <c r="J5" s="6">
        <v>46.462</v>
      </c>
      <c r="K5" s="6">
        <v>54.138</v>
      </c>
      <c r="L5" s="6">
        <v>49.35</v>
      </c>
      <c r="M5" s="6">
        <v>52.428</v>
      </c>
      <c r="N5" s="6">
        <v>72.711</v>
      </c>
      <c r="O5" s="6">
        <v>79.819</v>
      </c>
      <c r="P5" s="6">
        <v>81.696</v>
      </c>
      <c r="Q5" s="6">
        <v>85.35</v>
      </c>
      <c r="R5" s="6">
        <v>79.937</v>
      </c>
      <c r="S5" s="6">
        <v>77.865</v>
      </c>
      <c r="T5" s="3"/>
    </row>
    <row r="6">
      <c r="A6" s="5" t="s">
        <v>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3"/>
    </row>
    <row r="7">
      <c r="A7" s="5" t="s">
        <v>6</v>
      </c>
      <c r="B7" s="6">
        <v>-5.957</v>
      </c>
      <c r="C7" s="6">
        <v>6.917</v>
      </c>
      <c r="D7" s="6">
        <v>14.425</v>
      </c>
      <c r="E7" s="6">
        <v>2.835</v>
      </c>
      <c r="F7" s="6">
        <v>17.122</v>
      </c>
      <c r="G7" s="6">
        <v>21.76</v>
      </c>
      <c r="H7" s="6">
        <v>26.287</v>
      </c>
      <c r="I7" s="6">
        <v>29.305</v>
      </c>
      <c r="J7" s="6">
        <v>30.395</v>
      </c>
      <c r="K7" s="6">
        <v>36.125</v>
      </c>
      <c r="L7" s="6">
        <v>32.5</v>
      </c>
      <c r="M7" s="6">
        <v>39.466</v>
      </c>
      <c r="N7" s="6">
        <v>54.11</v>
      </c>
      <c r="O7" s="6">
        <v>59.741</v>
      </c>
      <c r="P7" s="6">
        <v>61.787</v>
      </c>
      <c r="Q7" s="6">
        <v>62.857</v>
      </c>
      <c r="R7" s="6">
        <v>60.249</v>
      </c>
      <c r="S7" s="6">
        <v>58.934</v>
      </c>
      <c r="T7" s="3"/>
    </row>
    <row r="8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>
      <c r="A9" s="5" t="s">
        <v>7</v>
      </c>
      <c r="B9" s="6">
        <v>15.742</v>
      </c>
      <c r="C9" s="6">
        <v>15.922</v>
      </c>
      <c r="D9" s="6">
        <v>15.825</v>
      </c>
      <c r="E9" s="6">
        <v>16.968</v>
      </c>
      <c r="F9" s="6">
        <v>17.117</v>
      </c>
      <c r="G9" s="6">
        <v>16.717</v>
      </c>
      <c r="H9" s="6">
        <v>16.278</v>
      </c>
      <c r="I9" s="6">
        <v>16.284</v>
      </c>
      <c r="J9" s="6">
        <v>16.585</v>
      </c>
      <c r="K9" s="6">
        <v>15.559</v>
      </c>
      <c r="L9" s="6">
        <v>15.43</v>
      </c>
      <c r="M9" s="6">
        <v>17.045</v>
      </c>
      <c r="N9" s="6">
        <v>17.934</v>
      </c>
      <c r="O9" s="6">
        <v>18.308</v>
      </c>
      <c r="P9" s="6">
        <v>18.286</v>
      </c>
      <c r="Q9" s="6">
        <v>20.513</v>
      </c>
      <c r="R9" s="6">
        <v>24.581</v>
      </c>
      <c r="S9" s="6">
        <v>26.93</v>
      </c>
      <c r="T9" s="3"/>
    </row>
    <row r="10">
      <c r="A10" s="5" t="s">
        <v>8</v>
      </c>
      <c r="B10" s="6">
        <v>0.716</v>
      </c>
      <c r="C10" s="6">
        <v>0.863</v>
      </c>
      <c r="D10" s="6">
        <v>1.437</v>
      </c>
      <c r="E10" s="6">
        <v>1.321</v>
      </c>
      <c r="F10" s="6">
        <v>2.459</v>
      </c>
      <c r="G10" s="6">
        <v>0.834</v>
      </c>
      <c r="H10" s="6">
        <v>1.884</v>
      </c>
      <c r="I10" s="6">
        <v>1.946</v>
      </c>
      <c r="J10" s="6">
        <v>2.22</v>
      </c>
      <c r="K10" s="6">
        <v>1.955</v>
      </c>
      <c r="L10" s="6">
        <v>1.449</v>
      </c>
      <c r="M10" s="6">
        <v>1.591</v>
      </c>
      <c r="N10" s="6">
        <v>1.535</v>
      </c>
      <c r="O10" s="6">
        <v>0.672</v>
      </c>
      <c r="P10" s="6">
        <v>0.415</v>
      </c>
      <c r="Q10" s="6">
        <v>1.948</v>
      </c>
      <c r="R10" s="6">
        <v>0.484</v>
      </c>
      <c r="S10" s="6">
        <v>0.585</v>
      </c>
      <c r="T10" s="3"/>
    </row>
    <row r="11">
      <c r="A11" s="5" t="s">
        <v>9</v>
      </c>
      <c r="B11" s="6">
        <v>132.555</v>
      </c>
      <c r="C11" s="6">
        <v>93.938</v>
      </c>
      <c r="D11" s="6">
        <v>98.666</v>
      </c>
      <c r="E11" s="6">
        <v>101.224</v>
      </c>
      <c r="F11" s="6">
        <v>94.778</v>
      </c>
      <c r="G11" s="6">
        <v>74.222</v>
      </c>
      <c r="H11" s="6">
        <v>79.557</v>
      </c>
      <c r="I11" s="6">
        <v>96.819</v>
      </c>
      <c r="J11" s="6">
        <v>44.13</v>
      </c>
      <c r="K11" s="6">
        <v>58.085</v>
      </c>
      <c r="L11" s="6">
        <v>65.803</v>
      </c>
      <c r="M11" s="6">
        <v>27.719</v>
      </c>
      <c r="N11" s="6">
        <v>47.023</v>
      </c>
      <c r="O11" s="6">
        <v>23.383</v>
      </c>
      <c r="P11" s="6">
        <v>51.362</v>
      </c>
      <c r="Q11" s="6">
        <v>7.774</v>
      </c>
      <c r="R11" s="6">
        <v>27.522</v>
      </c>
      <c r="S11" s="6">
        <v>73.089</v>
      </c>
      <c r="T11" s="3"/>
    </row>
    <row r="12">
      <c r="A12" s="5" t="s">
        <v>10</v>
      </c>
      <c r="B12" s="6">
        <v>158.372</v>
      </c>
      <c r="C12" s="6">
        <v>165.499</v>
      </c>
      <c r="D12" s="6">
        <v>179.894</v>
      </c>
      <c r="E12" s="6">
        <v>183.707</v>
      </c>
      <c r="F12" s="6">
        <v>201.013</v>
      </c>
      <c r="G12" s="6">
        <v>215.304</v>
      </c>
      <c r="H12" s="6">
        <v>226.827</v>
      </c>
      <c r="I12" s="6">
        <v>241.278</v>
      </c>
      <c r="J12" s="6">
        <v>251.193</v>
      </c>
      <c r="K12" s="6">
        <v>235.468</v>
      </c>
      <c r="L12" s="6">
        <v>243.002</v>
      </c>
      <c r="M12" s="6">
        <v>254.555</v>
      </c>
      <c r="N12" s="6">
        <v>238.238</v>
      </c>
      <c r="O12" s="6">
        <v>242.494</v>
      </c>
      <c r="P12" s="6">
        <v>278.821</v>
      </c>
      <c r="Q12" s="6">
        <v>292.207</v>
      </c>
      <c r="R12" s="6">
        <v>322.613</v>
      </c>
      <c r="S12" s="6">
        <v>360.679</v>
      </c>
      <c r="T12" s="3"/>
    </row>
    <row r="1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>
      <c r="A14" s="5" t="s">
        <v>11</v>
      </c>
      <c r="B14" s="6">
        <v>29.617</v>
      </c>
      <c r="C14" s="6">
        <v>43.414</v>
      </c>
      <c r="D14" s="6">
        <v>42.057</v>
      </c>
      <c r="E14" s="6">
        <v>7.236</v>
      </c>
      <c r="F14" s="6">
        <v>15.905</v>
      </c>
      <c r="G14" s="6">
        <v>35.753</v>
      </c>
      <c r="H14" s="6">
        <v>11.95</v>
      </c>
      <c r="I14" s="6">
        <v>13.933</v>
      </c>
      <c r="J14" s="6">
        <v>89.248</v>
      </c>
      <c r="K14" s="6">
        <v>52.668</v>
      </c>
      <c r="L14" s="6">
        <v>66.154</v>
      </c>
      <c r="M14" s="6">
        <v>83.459</v>
      </c>
      <c r="N14" s="6">
        <v>63.613</v>
      </c>
      <c r="O14" s="6">
        <v>104.697</v>
      </c>
      <c r="P14" s="6">
        <v>19.604</v>
      </c>
      <c r="Q14" s="6">
        <v>124.655</v>
      </c>
      <c r="R14" s="6">
        <v>101.673</v>
      </c>
      <c r="S14" s="6">
        <v>30.545</v>
      </c>
      <c r="T14" s="3"/>
    </row>
    <row r="15">
      <c r="A15" s="5" t="s">
        <v>12</v>
      </c>
      <c r="B15" s="6">
        <v>11.569</v>
      </c>
      <c r="C15" s="6">
        <v>5.912</v>
      </c>
      <c r="D15" s="6">
        <v>8.481</v>
      </c>
      <c r="E15" s="6">
        <v>5.195</v>
      </c>
      <c r="F15" s="6">
        <v>7.531</v>
      </c>
      <c r="G15" s="6">
        <v>7.207</v>
      </c>
      <c r="H15" s="6">
        <v>9.928</v>
      </c>
      <c r="I15" s="6">
        <v>14.392</v>
      </c>
      <c r="J15" s="6">
        <v>15.018</v>
      </c>
      <c r="K15" s="6">
        <v>10.885</v>
      </c>
      <c r="L15" s="6">
        <v>13.229</v>
      </c>
      <c r="M15" s="6">
        <v>15.075</v>
      </c>
      <c r="N15" s="6">
        <v>15.022</v>
      </c>
      <c r="O15" s="6">
        <v>25.176</v>
      </c>
      <c r="P15" s="6">
        <v>17.754</v>
      </c>
      <c r="Q15" s="6">
        <v>20.732</v>
      </c>
      <c r="R15" s="6">
        <v>28.312</v>
      </c>
      <c r="S15" s="6">
        <v>50.712</v>
      </c>
      <c r="T15" s="7"/>
    </row>
    <row r="16">
      <c r="A16" s="5" t="s">
        <v>13</v>
      </c>
      <c r="B16" s="8">
        <v>0.0</v>
      </c>
      <c r="C16" s="8">
        <v>0.0</v>
      </c>
      <c r="D16" s="8">
        <v>0.0</v>
      </c>
      <c r="E16" s="8">
        <v>0.0</v>
      </c>
      <c r="F16" s="8">
        <v>0.0</v>
      </c>
      <c r="G16" s="8">
        <v>1.0</v>
      </c>
      <c r="H16" s="8">
        <v>1.5</v>
      </c>
      <c r="I16" s="8">
        <v>1.5</v>
      </c>
      <c r="J16" s="8">
        <v>2.0</v>
      </c>
      <c r="K16" s="8">
        <v>5.0</v>
      </c>
      <c r="L16" s="8">
        <v>2.5</v>
      </c>
      <c r="M16" s="8">
        <v>2.55</v>
      </c>
      <c r="N16" s="8">
        <v>6.0</v>
      </c>
      <c r="O16" s="8">
        <v>5.0</v>
      </c>
      <c r="P16" s="8">
        <v>3.0</v>
      </c>
      <c r="Q16" s="8">
        <v>4.75</v>
      </c>
      <c r="R16" s="8">
        <v>3.0</v>
      </c>
      <c r="S16" s="8">
        <v>2.1</v>
      </c>
      <c r="T16" s="3"/>
    </row>
    <row r="17">
      <c r="A17" s="5" t="s">
        <v>14</v>
      </c>
      <c r="B17" s="9">
        <v>10.610272</v>
      </c>
      <c r="C17" s="9">
        <v>10.635277</v>
      </c>
      <c r="D17" s="9">
        <v>10.725108</v>
      </c>
      <c r="E17" s="9">
        <v>10.770359</v>
      </c>
      <c r="F17" s="9">
        <v>10.828512</v>
      </c>
      <c r="G17" s="9">
        <v>10.992997</v>
      </c>
      <c r="H17" s="9">
        <v>11.132347</v>
      </c>
      <c r="I17" s="9">
        <v>11.248259</v>
      </c>
      <c r="J17" s="9">
        <v>11.332924</v>
      </c>
      <c r="K17" s="9">
        <v>11.403605</v>
      </c>
      <c r="L17" s="9">
        <v>11.449386</v>
      </c>
      <c r="M17" s="9">
        <v>11.501412</v>
      </c>
      <c r="N17" s="9">
        <v>11.536791</v>
      </c>
      <c r="O17" s="9">
        <v>11.55928</v>
      </c>
      <c r="P17" s="9">
        <v>11.593949</v>
      </c>
      <c r="Q17" s="9">
        <v>11.642046</v>
      </c>
      <c r="R17" s="9">
        <v>11.687546</v>
      </c>
      <c r="S17" s="9">
        <v>11.724433</v>
      </c>
      <c r="T17" s="3"/>
    </row>
    <row r="18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3"/>
    </row>
    <row r="19">
      <c r="A19" s="5" t="s">
        <v>15</v>
      </c>
      <c r="B19" s="11">
        <v>0.25</v>
      </c>
      <c r="C19" s="11">
        <v>0.25</v>
      </c>
      <c r="D19" s="11">
        <v>0.25</v>
      </c>
      <c r="E19" s="11">
        <v>0.25</v>
      </c>
      <c r="F19" s="11">
        <v>0.25</v>
      </c>
      <c r="G19" s="11">
        <v>0.25</v>
      </c>
      <c r="H19" s="11">
        <v>0.25</v>
      </c>
      <c r="I19" s="11">
        <v>0.25</v>
      </c>
      <c r="J19" s="11">
        <v>0.25</v>
      </c>
      <c r="K19" s="11">
        <v>0.25</v>
      </c>
      <c r="L19" s="11">
        <v>0.25</v>
      </c>
      <c r="M19" s="11">
        <v>0.25</v>
      </c>
      <c r="N19" s="11">
        <v>0.25</v>
      </c>
      <c r="O19" s="11">
        <v>0.25</v>
      </c>
      <c r="P19" s="11">
        <v>0.25</v>
      </c>
      <c r="Q19" s="11">
        <v>0.25</v>
      </c>
      <c r="R19" s="11">
        <v>0.25</v>
      </c>
      <c r="S19" s="11">
        <v>0.25</v>
      </c>
      <c r="T19" s="3"/>
    </row>
    <row r="20">
      <c r="A20" s="5" t="s">
        <v>16</v>
      </c>
      <c r="B20" s="12">
        <f t="shared" ref="B20:S20" si="1">B4*(1-B19)</f>
        <v>8.00325</v>
      </c>
      <c r="C20" s="12">
        <f t="shared" si="1"/>
        <v>38.68575</v>
      </c>
      <c r="D20" s="12">
        <f t="shared" si="1"/>
        <v>22.254</v>
      </c>
      <c r="E20" s="12">
        <f t="shared" si="1"/>
        <v>7.692</v>
      </c>
      <c r="F20" s="12">
        <f t="shared" si="1"/>
        <v>24.72975</v>
      </c>
      <c r="G20" s="12">
        <f t="shared" si="1"/>
        <v>31.21425</v>
      </c>
      <c r="H20" s="12">
        <f t="shared" si="1"/>
        <v>35.247</v>
      </c>
      <c r="I20" s="12">
        <f t="shared" si="1"/>
        <v>38.90925</v>
      </c>
      <c r="J20" s="12">
        <f t="shared" si="1"/>
        <v>38.484</v>
      </c>
      <c r="K20" s="12">
        <f t="shared" si="1"/>
        <v>43.758</v>
      </c>
      <c r="L20" s="12">
        <f t="shared" si="1"/>
        <v>42.14175</v>
      </c>
      <c r="M20" s="12">
        <f t="shared" si="1"/>
        <v>43.893</v>
      </c>
      <c r="N20" s="12">
        <f t="shared" si="1"/>
        <v>58.91025</v>
      </c>
      <c r="O20" s="12">
        <f t="shared" si="1"/>
        <v>63.8835</v>
      </c>
      <c r="P20" s="12">
        <f t="shared" si="1"/>
        <v>65.57775</v>
      </c>
      <c r="Q20" s="12">
        <f t="shared" si="1"/>
        <v>67.668</v>
      </c>
      <c r="R20" s="12">
        <f t="shared" si="1"/>
        <v>63.89025</v>
      </c>
      <c r="S20" s="12">
        <f t="shared" si="1"/>
        <v>63.53325</v>
      </c>
      <c r="T20" s="3"/>
    </row>
    <row r="21">
      <c r="A21" s="5" t="s">
        <v>17</v>
      </c>
      <c r="B21" s="12">
        <f t="shared" ref="B21:S21" si="2">B11+B12-B10</f>
        <v>290.211</v>
      </c>
      <c r="C21" s="12">
        <f t="shared" si="2"/>
        <v>258.574</v>
      </c>
      <c r="D21" s="12">
        <f t="shared" si="2"/>
        <v>277.123</v>
      </c>
      <c r="E21" s="12">
        <f t="shared" si="2"/>
        <v>283.61</v>
      </c>
      <c r="F21" s="12">
        <f t="shared" si="2"/>
        <v>293.332</v>
      </c>
      <c r="G21" s="12">
        <f t="shared" si="2"/>
        <v>288.692</v>
      </c>
      <c r="H21" s="12">
        <f t="shared" si="2"/>
        <v>304.5</v>
      </c>
      <c r="I21" s="12">
        <f t="shared" si="2"/>
        <v>336.151</v>
      </c>
      <c r="J21" s="12">
        <f t="shared" si="2"/>
        <v>293.103</v>
      </c>
      <c r="K21" s="12">
        <f t="shared" si="2"/>
        <v>291.598</v>
      </c>
      <c r="L21" s="12">
        <f t="shared" si="2"/>
        <v>307.356</v>
      </c>
      <c r="M21" s="12">
        <f t="shared" si="2"/>
        <v>280.683</v>
      </c>
      <c r="N21" s="12">
        <f t="shared" si="2"/>
        <v>283.726</v>
      </c>
      <c r="O21" s="12">
        <f t="shared" si="2"/>
        <v>265.205</v>
      </c>
      <c r="P21" s="12">
        <f t="shared" si="2"/>
        <v>329.768</v>
      </c>
      <c r="Q21" s="12">
        <f t="shared" si="2"/>
        <v>298.033</v>
      </c>
      <c r="R21" s="12">
        <f t="shared" si="2"/>
        <v>349.651</v>
      </c>
      <c r="S21" s="12">
        <f t="shared" si="2"/>
        <v>433.183</v>
      </c>
      <c r="T21" s="3"/>
    </row>
    <row r="22">
      <c r="A22" s="5" t="s">
        <v>18</v>
      </c>
      <c r="B22" s="12">
        <f t="shared" ref="B22:S22" si="3">B14-B15</f>
        <v>18.048</v>
      </c>
      <c r="C22" s="12">
        <f t="shared" si="3"/>
        <v>37.502</v>
      </c>
      <c r="D22" s="12">
        <f t="shared" si="3"/>
        <v>33.576</v>
      </c>
      <c r="E22" s="12">
        <f t="shared" si="3"/>
        <v>2.041</v>
      </c>
      <c r="F22" s="12">
        <f t="shared" si="3"/>
        <v>8.374</v>
      </c>
      <c r="G22" s="12">
        <f t="shared" si="3"/>
        <v>28.546</v>
      </c>
      <c r="H22" s="12">
        <f t="shared" si="3"/>
        <v>2.022</v>
      </c>
      <c r="I22" s="12">
        <f t="shared" si="3"/>
        <v>-0.459</v>
      </c>
      <c r="J22" s="12">
        <f t="shared" si="3"/>
        <v>74.23</v>
      </c>
      <c r="K22" s="12">
        <f t="shared" si="3"/>
        <v>41.783</v>
      </c>
      <c r="L22" s="12">
        <f t="shared" si="3"/>
        <v>52.925</v>
      </c>
      <c r="M22" s="12">
        <f t="shared" si="3"/>
        <v>68.384</v>
      </c>
      <c r="N22" s="12">
        <f t="shared" si="3"/>
        <v>48.591</v>
      </c>
      <c r="O22" s="12">
        <f t="shared" si="3"/>
        <v>79.521</v>
      </c>
      <c r="P22" s="12">
        <f t="shared" si="3"/>
        <v>1.85</v>
      </c>
      <c r="Q22" s="12">
        <f t="shared" si="3"/>
        <v>103.923</v>
      </c>
      <c r="R22" s="12">
        <f t="shared" si="3"/>
        <v>73.361</v>
      </c>
      <c r="S22" s="12">
        <f t="shared" si="3"/>
        <v>-20.167</v>
      </c>
      <c r="T22" s="3"/>
    </row>
    <row r="2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>
      <c r="A24" s="5" t="s">
        <v>19</v>
      </c>
      <c r="B24" s="7">
        <f t="shared" ref="B24:S24" si="4">B20/B21</f>
        <v>0.02757734889</v>
      </c>
      <c r="C24" s="7">
        <f t="shared" si="4"/>
        <v>0.1496119099</v>
      </c>
      <c r="D24" s="7">
        <f t="shared" si="4"/>
        <v>0.08030369186</v>
      </c>
      <c r="E24" s="7">
        <f t="shared" si="4"/>
        <v>0.0271217517</v>
      </c>
      <c r="F24" s="7">
        <f t="shared" si="4"/>
        <v>0.08430634912</v>
      </c>
      <c r="G24" s="7">
        <f t="shared" si="4"/>
        <v>0.1081230169</v>
      </c>
      <c r="H24" s="7">
        <f t="shared" si="4"/>
        <v>0.1157536946</v>
      </c>
      <c r="I24" s="7">
        <f t="shared" si="4"/>
        <v>0.115749321</v>
      </c>
      <c r="J24" s="7">
        <f t="shared" si="4"/>
        <v>0.1312985538</v>
      </c>
      <c r="K24" s="7">
        <f t="shared" si="4"/>
        <v>0.1500627576</v>
      </c>
      <c r="L24" s="7">
        <f t="shared" si="4"/>
        <v>0.1371105493</v>
      </c>
      <c r="M24" s="7">
        <f t="shared" si="4"/>
        <v>0.1563792606</v>
      </c>
      <c r="N24" s="7">
        <f t="shared" si="4"/>
        <v>0.2076307776</v>
      </c>
      <c r="O24" s="7">
        <f t="shared" si="4"/>
        <v>0.2408834675</v>
      </c>
      <c r="P24" s="7">
        <f t="shared" si="4"/>
        <v>0.1988602593</v>
      </c>
      <c r="Q24" s="7">
        <f t="shared" si="4"/>
        <v>0.2270486825</v>
      </c>
      <c r="R24" s="7">
        <f t="shared" si="4"/>
        <v>0.1827257751</v>
      </c>
      <c r="S24" s="7">
        <f t="shared" si="4"/>
        <v>0.1466660742</v>
      </c>
      <c r="T24" s="3"/>
    </row>
    <row r="25">
      <c r="A25" s="5" t="s">
        <v>20</v>
      </c>
      <c r="B25" s="7">
        <f t="shared" ref="B25:S25" si="5">B4/B3</f>
        <v>0.01969651384</v>
      </c>
      <c r="C25" s="7">
        <f t="shared" si="5"/>
        <v>0.09313238698</v>
      </c>
      <c r="D25" s="7">
        <f t="shared" si="5"/>
        <v>0.05283165341</v>
      </c>
      <c r="E25" s="7">
        <f t="shared" si="5"/>
        <v>0.01521183248</v>
      </c>
      <c r="F25" s="7">
        <f t="shared" si="5"/>
        <v>0.04706562467</v>
      </c>
      <c r="G25" s="7">
        <f t="shared" si="5"/>
        <v>0.05667584505</v>
      </c>
      <c r="H25" s="7">
        <f t="shared" si="5"/>
        <v>0.06035791437</v>
      </c>
      <c r="I25" s="7">
        <f t="shared" si="5"/>
        <v>0.05847201168</v>
      </c>
      <c r="J25" s="7">
        <f t="shared" si="5"/>
        <v>0.05389581948</v>
      </c>
      <c r="K25" s="7">
        <f t="shared" si="5"/>
        <v>0.06891281367</v>
      </c>
      <c r="L25" s="7">
        <f t="shared" si="5"/>
        <v>0.06320963044</v>
      </c>
      <c r="M25" s="7">
        <f t="shared" si="5"/>
        <v>0.06679289341</v>
      </c>
      <c r="N25" s="7">
        <f t="shared" si="5"/>
        <v>0.08924862401</v>
      </c>
      <c r="O25" s="7">
        <f t="shared" si="5"/>
        <v>0.09921931968</v>
      </c>
      <c r="P25" s="7">
        <f t="shared" si="5"/>
        <v>0.09147392736</v>
      </c>
      <c r="Q25" s="7">
        <f t="shared" si="5"/>
        <v>0.09025233923</v>
      </c>
      <c r="R25" s="7">
        <f t="shared" si="5"/>
        <v>0.07985410341</v>
      </c>
      <c r="S25" s="7">
        <f t="shared" si="5"/>
        <v>0.07650603389</v>
      </c>
      <c r="T25" s="3"/>
    </row>
    <row r="26">
      <c r="A26" s="5" t="s">
        <v>21</v>
      </c>
      <c r="B26" s="7">
        <f t="shared" ref="B26:S26" si="6">B11/B12</f>
        <v>0.8369850731</v>
      </c>
      <c r="C26" s="7">
        <f t="shared" si="6"/>
        <v>0.5676046381</v>
      </c>
      <c r="D26" s="7">
        <f t="shared" si="6"/>
        <v>0.5484674308</v>
      </c>
      <c r="E26" s="7">
        <f t="shared" si="6"/>
        <v>0.5510078549</v>
      </c>
      <c r="F26" s="7">
        <f t="shared" si="6"/>
        <v>0.4715018432</v>
      </c>
      <c r="G26" s="7">
        <f t="shared" si="6"/>
        <v>0.3447311708</v>
      </c>
      <c r="H26" s="7">
        <f t="shared" si="6"/>
        <v>0.3507386687</v>
      </c>
      <c r="I26" s="7">
        <f t="shared" si="6"/>
        <v>0.4012757069</v>
      </c>
      <c r="J26" s="7">
        <f t="shared" si="6"/>
        <v>0.1756816472</v>
      </c>
      <c r="K26" s="7">
        <f t="shared" si="6"/>
        <v>0.2466789543</v>
      </c>
      <c r="L26" s="7">
        <f t="shared" si="6"/>
        <v>0.2707920099</v>
      </c>
      <c r="M26" s="7">
        <f t="shared" si="6"/>
        <v>0.108891988</v>
      </c>
      <c r="N26" s="7">
        <f t="shared" si="6"/>
        <v>0.197378252</v>
      </c>
      <c r="O26" s="7">
        <f t="shared" si="6"/>
        <v>0.09642712809</v>
      </c>
      <c r="P26" s="7">
        <f t="shared" si="6"/>
        <v>0.1842113758</v>
      </c>
      <c r="Q26" s="7">
        <f t="shared" si="6"/>
        <v>0.02660442768</v>
      </c>
      <c r="R26" s="7">
        <f t="shared" si="6"/>
        <v>0.08530964344</v>
      </c>
      <c r="S26" s="7">
        <f t="shared" si="6"/>
        <v>0.2026427932</v>
      </c>
      <c r="T26" s="3"/>
    </row>
    <row r="27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>
      <c r="A28" s="5" t="s">
        <v>22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>
      <c r="A30" s="13" t="s">
        <v>23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>
      <c r="A31" s="1" t="s">
        <v>24</v>
      </c>
      <c r="B31" s="2">
        <v>2007.0</v>
      </c>
      <c r="C31" s="2">
        <v>2008.0</v>
      </c>
      <c r="D31" s="2">
        <v>2009.0</v>
      </c>
      <c r="E31" s="2">
        <v>2010.0</v>
      </c>
      <c r="F31" s="2">
        <v>2011.0</v>
      </c>
      <c r="G31" s="2">
        <v>2012.0</v>
      </c>
      <c r="H31" s="2">
        <v>2013.0</v>
      </c>
      <c r="I31" s="2">
        <v>2014.0</v>
      </c>
      <c r="J31" s="2">
        <v>2015.0</v>
      </c>
      <c r="K31" s="2">
        <v>2016.0</v>
      </c>
      <c r="L31" s="2">
        <v>2017.0</v>
      </c>
      <c r="M31" s="2">
        <v>2018.0</v>
      </c>
      <c r="N31" s="2">
        <v>2019.0</v>
      </c>
      <c r="O31" s="2">
        <v>2020.0</v>
      </c>
      <c r="P31" s="2">
        <v>2021.0</v>
      </c>
      <c r="Q31" s="2">
        <v>2022.0</v>
      </c>
      <c r="R31" s="2">
        <v>2023.0</v>
      </c>
      <c r="S31" s="2">
        <v>2024.0</v>
      </c>
      <c r="T31" s="3"/>
    </row>
    <row r="32">
      <c r="A32" s="5" t="s">
        <v>3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4"/>
      <c r="S32" s="4"/>
      <c r="T32" s="3"/>
    </row>
    <row r="33">
      <c r="A33" s="5" t="s">
        <v>4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4"/>
      <c r="S33" s="4"/>
      <c r="T33" s="3"/>
    </row>
    <row r="34">
      <c r="A34" s="5" t="s">
        <v>5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4"/>
      <c r="S34" s="4"/>
      <c r="T34" s="3"/>
    </row>
    <row r="35">
      <c r="A35" s="5" t="s">
        <v>8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4"/>
      <c r="S35" s="4"/>
      <c r="T35" s="3"/>
    </row>
    <row r="36">
      <c r="A36" s="5" t="s">
        <v>25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4"/>
      <c r="S36" s="4"/>
      <c r="T36" s="3"/>
    </row>
    <row r="37">
      <c r="A37" s="5" t="s">
        <v>10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4"/>
      <c r="S37" s="4"/>
      <c r="T37" s="3"/>
    </row>
    <row r="38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>
      <c r="A39" s="5" t="s">
        <v>19</v>
      </c>
      <c r="B39" s="7" t="str">
        <f t="shared" ref="B39:S39" si="7">(B32*(1-(B34/B33)))/(B36+B37-B35)</f>
        <v>#DIV/0!</v>
      </c>
      <c r="C39" s="7" t="str">
        <f t="shared" si="7"/>
        <v>#DIV/0!</v>
      </c>
      <c r="D39" s="7" t="str">
        <f t="shared" si="7"/>
        <v>#DIV/0!</v>
      </c>
      <c r="E39" s="7" t="str">
        <f t="shared" si="7"/>
        <v>#DIV/0!</v>
      </c>
      <c r="F39" s="7" t="str">
        <f t="shared" si="7"/>
        <v>#DIV/0!</v>
      </c>
      <c r="G39" s="7" t="str">
        <f t="shared" si="7"/>
        <v>#DIV/0!</v>
      </c>
      <c r="H39" s="7" t="str">
        <f t="shared" si="7"/>
        <v>#DIV/0!</v>
      </c>
      <c r="I39" s="7" t="str">
        <f t="shared" si="7"/>
        <v>#DIV/0!</v>
      </c>
      <c r="J39" s="7" t="str">
        <f t="shared" si="7"/>
        <v>#DIV/0!</v>
      </c>
      <c r="K39" s="7" t="str">
        <f t="shared" si="7"/>
        <v>#DIV/0!</v>
      </c>
      <c r="L39" s="7" t="str">
        <f t="shared" si="7"/>
        <v>#DIV/0!</v>
      </c>
      <c r="M39" s="7" t="str">
        <f t="shared" si="7"/>
        <v>#DIV/0!</v>
      </c>
      <c r="N39" s="7" t="str">
        <f t="shared" si="7"/>
        <v>#DIV/0!</v>
      </c>
      <c r="O39" s="7" t="str">
        <f t="shared" si="7"/>
        <v>#DIV/0!</v>
      </c>
      <c r="P39" s="7" t="str">
        <f t="shared" si="7"/>
        <v>#DIV/0!</v>
      </c>
      <c r="Q39" s="7" t="str">
        <f t="shared" si="7"/>
        <v>#DIV/0!</v>
      </c>
      <c r="R39" s="7" t="str">
        <f t="shared" si="7"/>
        <v>#DIV/0!</v>
      </c>
      <c r="S39" s="7" t="str">
        <f t="shared" si="7"/>
        <v>#DIV/0!</v>
      </c>
      <c r="T39" s="3"/>
    </row>
    <row r="40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>
      <c r="A41" s="1" t="s">
        <v>24</v>
      </c>
      <c r="B41" s="2">
        <v>2007.0</v>
      </c>
      <c r="C41" s="2">
        <v>2008.0</v>
      </c>
      <c r="D41" s="2">
        <v>2009.0</v>
      </c>
      <c r="E41" s="2">
        <v>2010.0</v>
      </c>
      <c r="F41" s="2">
        <v>2011.0</v>
      </c>
      <c r="G41" s="2">
        <v>2012.0</v>
      </c>
      <c r="H41" s="2">
        <v>2013.0</v>
      </c>
      <c r="I41" s="2">
        <v>2014.0</v>
      </c>
      <c r="J41" s="2">
        <v>2015.0</v>
      </c>
      <c r="K41" s="2">
        <v>2016.0</v>
      </c>
      <c r="L41" s="2">
        <v>2017.0</v>
      </c>
      <c r="M41" s="2">
        <v>2018.0</v>
      </c>
      <c r="N41" s="2">
        <v>2019.0</v>
      </c>
      <c r="O41" s="2">
        <v>2020.0</v>
      </c>
      <c r="P41" s="2">
        <v>2021.0</v>
      </c>
      <c r="Q41" s="2">
        <v>2022.0</v>
      </c>
      <c r="R41" s="2">
        <v>2023.0</v>
      </c>
      <c r="S41" s="2">
        <v>2024.0</v>
      </c>
      <c r="T41" s="3"/>
    </row>
    <row r="42">
      <c r="A42" s="5" t="s">
        <v>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4"/>
      <c r="R42" s="4"/>
      <c r="S42" s="4"/>
      <c r="T42" s="3"/>
    </row>
    <row r="43">
      <c r="A43" s="5" t="s">
        <v>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4"/>
      <c r="R43" s="4"/>
      <c r="S43" s="4"/>
      <c r="T43" s="3"/>
    </row>
    <row r="44">
      <c r="A44" s="5" t="s">
        <v>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4"/>
      <c r="R44" s="4"/>
      <c r="S44" s="4"/>
      <c r="T44" s="3"/>
    </row>
    <row r="45">
      <c r="A45" s="5" t="s">
        <v>8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4"/>
      <c r="Q45" s="4"/>
      <c r="R45" s="4"/>
      <c r="S45" s="4"/>
      <c r="T45" s="3"/>
    </row>
    <row r="46">
      <c r="A46" s="5" t="s">
        <v>25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4"/>
      <c r="Q46" s="4"/>
      <c r="R46" s="4"/>
      <c r="S46" s="4"/>
      <c r="T46" s="3"/>
    </row>
    <row r="47">
      <c r="A47" s="15" t="s">
        <v>10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7"/>
      <c r="Q47" s="17"/>
      <c r="R47" s="17"/>
      <c r="S47" s="17"/>
      <c r="T47" s="16"/>
    </row>
    <row r="48">
      <c r="A48" s="18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</row>
    <row r="49">
      <c r="A49" s="15" t="s">
        <v>19</v>
      </c>
      <c r="B49" s="19" t="str">
        <f t="shared" ref="B49:S49" si="8">(B42*(1-(B44/B43)))/(B46+B47-B45)</f>
        <v>#DIV/0!</v>
      </c>
      <c r="C49" s="19" t="str">
        <f t="shared" si="8"/>
        <v>#DIV/0!</v>
      </c>
      <c r="D49" s="19" t="str">
        <f t="shared" si="8"/>
        <v>#DIV/0!</v>
      </c>
      <c r="E49" s="19" t="str">
        <f t="shared" si="8"/>
        <v>#DIV/0!</v>
      </c>
      <c r="F49" s="19" t="str">
        <f t="shared" si="8"/>
        <v>#DIV/0!</v>
      </c>
      <c r="G49" s="19" t="str">
        <f t="shared" si="8"/>
        <v>#DIV/0!</v>
      </c>
      <c r="H49" s="19" t="str">
        <f t="shared" si="8"/>
        <v>#DIV/0!</v>
      </c>
      <c r="I49" s="19" t="str">
        <f t="shared" si="8"/>
        <v>#DIV/0!</v>
      </c>
      <c r="J49" s="19" t="str">
        <f t="shared" si="8"/>
        <v>#DIV/0!</v>
      </c>
      <c r="K49" s="19" t="str">
        <f t="shared" si="8"/>
        <v>#DIV/0!</v>
      </c>
      <c r="L49" s="19" t="str">
        <f t="shared" si="8"/>
        <v>#DIV/0!</v>
      </c>
      <c r="M49" s="19" t="str">
        <f t="shared" si="8"/>
        <v>#DIV/0!</v>
      </c>
      <c r="N49" s="19" t="str">
        <f t="shared" si="8"/>
        <v>#DIV/0!</v>
      </c>
      <c r="O49" s="19" t="str">
        <f t="shared" si="8"/>
        <v>#DIV/0!</v>
      </c>
      <c r="P49" s="19" t="str">
        <f t="shared" si="8"/>
        <v>#DIV/0!</v>
      </c>
      <c r="Q49" s="19" t="str">
        <f t="shared" si="8"/>
        <v>#DIV/0!</v>
      </c>
      <c r="R49" s="19" t="str">
        <f t="shared" si="8"/>
        <v>#DIV/0!</v>
      </c>
      <c r="S49" s="19" t="str">
        <f t="shared" si="8"/>
        <v>#DIV/0!</v>
      </c>
      <c r="T49" s="16"/>
    </row>
    <row r="50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7"/>
      <c r="Q50" s="7"/>
      <c r="R50" s="7"/>
      <c r="S50" s="7"/>
      <c r="T50" s="3"/>
    </row>
    <row r="51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</row>
    <row r="428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</row>
    <row r="430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</row>
    <row r="441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</row>
    <row r="442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</row>
    <row r="443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</row>
    <row r="445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</row>
    <row r="447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</row>
    <row r="453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</row>
    <row r="455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</row>
    <row r="458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</row>
    <row r="464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</row>
    <row r="466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</row>
    <row r="467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</row>
    <row r="475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</row>
    <row r="477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</row>
    <row r="478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</row>
    <row r="479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</row>
    <row r="480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</row>
    <row r="481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</row>
    <row r="482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</row>
    <row r="483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</row>
    <row r="484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</row>
    <row r="485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</row>
    <row r="486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</row>
    <row r="487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</row>
    <row r="488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</row>
    <row r="489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</row>
    <row r="490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</row>
    <row r="491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</row>
    <row r="492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</row>
    <row r="493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</row>
    <row r="494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</row>
    <row r="495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</row>
    <row r="496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</row>
    <row r="497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</row>
    <row r="498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</row>
    <row r="499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</row>
    <row r="501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</row>
    <row r="502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</row>
    <row r="503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</row>
    <row r="504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</row>
    <row r="505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</row>
    <row r="506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</row>
    <row r="507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</row>
    <row r="508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</row>
    <row r="509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</row>
    <row r="510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</row>
    <row r="511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</row>
    <row r="512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</row>
    <row r="513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</row>
    <row r="524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</row>
    <row r="525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</row>
    <row r="526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</row>
    <row r="528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</row>
    <row r="529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</row>
    <row r="530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</row>
    <row r="531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</row>
    <row r="532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</row>
    <row r="533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</row>
    <row r="534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</row>
    <row r="535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</row>
    <row r="536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</row>
    <row r="537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</row>
    <row r="538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</row>
    <row r="539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</row>
    <row r="540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</row>
    <row r="541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</row>
    <row r="542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</row>
    <row r="621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</row>
    <row r="622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</row>
    <row r="623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</row>
    <row r="624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</row>
    <row r="626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</row>
    <row r="627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</row>
    <row r="628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</row>
    <row r="630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</row>
    <row r="631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</row>
    <row r="632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</row>
    <row r="633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</row>
    <row r="634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</row>
    <row r="635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</row>
    <row r="636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</row>
    <row r="637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</row>
    <row r="638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</row>
    <row r="639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</row>
    <row r="640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</row>
    <row r="641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</row>
    <row r="642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</row>
    <row r="643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</row>
    <row r="644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</row>
    <row r="645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</row>
    <row r="646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</row>
    <row r="647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</row>
    <row r="648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</row>
    <row r="649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</row>
    <row r="650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</row>
    <row r="651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</row>
    <row r="652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</row>
    <row r="653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</row>
    <row r="654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</row>
    <row r="655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</row>
    <row r="656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</row>
    <row r="658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</row>
    <row r="659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</row>
    <row r="660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</row>
    <row r="664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</row>
    <row r="665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</row>
    <row r="666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</row>
    <row r="667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</row>
    <row r="668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</row>
    <row r="669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</row>
    <row r="674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</row>
    <row r="675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</row>
    <row r="676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</row>
    <row r="677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</row>
    <row r="678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</row>
    <row r="680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</row>
    <row r="681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</row>
    <row r="682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</row>
    <row r="683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</row>
    <row r="684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</row>
    <row r="685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</row>
    <row r="686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</row>
    <row r="687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</row>
    <row r="688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</row>
    <row r="689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</row>
    <row r="691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</row>
    <row r="692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</row>
    <row r="693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</row>
    <row r="694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</row>
    <row r="695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</row>
    <row r="696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</row>
    <row r="697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</row>
    <row r="698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</row>
    <row r="699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</row>
    <row r="700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</row>
    <row r="701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</row>
    <row r="712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</row>
    <row r="713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</row>
    <row r="714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</row>
    <row r="718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</row>
    <row r="720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</row>
    <row r="721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</row>
    <row r="722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</row>
    <row r="723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</row>
    <row r="724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</row>
    <row r="725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</row>
    <row r="726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</row>
    <row r="727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</row>
    <row r="728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</row>
    <row r="729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</row>
    <row r="730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</row>
    <row r="731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</row>
    <row r="732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</row>
    <row r="735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</row>
    <row r="736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</row>
    <row r="737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</row>
    <row r="738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</row>
    <row r="739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</row>
    <row r="741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</row>
    <row r="742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</row>
    <row r="743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</row>
    <row r="744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</row>
    <row r="745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</row>
    <row r="746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</row>
    <row r="747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</row>
    <row r="749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</row>
    <row r="750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</row>
    <row r="751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</row>
    <row r="752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</row>
    <row r="753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</row>
    <row r="754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</row>
    <row r="755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</row>
    <row r="756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</row>
    <row r="757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</row>
    <row r="758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</row>
    <row r="759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</row>
    <row r="760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</row>
    <row r="761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</row>
    <row r="762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</row>
    <row r="763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</row>
    <row r="764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</row>
    <row r="765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</row>
    <row r="766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</row>
    <row r="767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</row>
    <row r="768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</row>
    <row r="769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</row>
    <row r="773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</row>
    <row r="775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</row>
    <row r="778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</row>
    <row r="780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</row>
    <row r="781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</row>
    <row r="782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</row>
    <row r="783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</row>
    <row r="784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</row>
    <row r="785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</row>
    <row r="786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</row>
    <row r="787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</row>
    <row r="788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</row>
    <row r="789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</row>
    <row r="790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</row>
    <row r="791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</row>
    <row r="793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</row>
    <row r="794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</row>
    <row r="795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</row>
    <row r="796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</row>
    <row r="797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</row>
    <row r="798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</row>
    <row r="799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</row>
    <row r="800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</row>
    <row r="801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</row>
    <row r="802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</row>
    <row r="803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</row>
    <row r="804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</row>
    <row r="805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</row>
    <row r="806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</row>
    <row r="807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</row>
    <row r="810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</row>
    <row r="811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</row>
    <row r="812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</row>
    <row r="813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</row>
    <row r="814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</row>
    <row r="815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</row>
    <row r="816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</row>
    <row r="817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</row>
    <row r="818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</row>
    <row r="819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</row>
    <row r="820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</row>
    <row r="821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</row>
    <row r="822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</row>
    <row r="823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</row>
    <row r="824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</row>
    <row r="825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</row>
    <row r="826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</row>
    <row r="827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</row>
    <row r="828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</row>
    <row r="829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</row>
    <row r="830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</row>
    <row r="831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</row>
    <row r="832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</row>
    <row r="833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</row>
    <row r="834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</row>
    <row r="835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</row>
    <row r="836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</row>
    <row r="837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</row>
    <row r="838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</row>
    <row r="839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</row>
    <row r="840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</row>
    <row r="841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</row>
    <row r="842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</row>
    <row r="843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</row>
    <row r="844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</row>
    <row r="845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</row>
    <row r="846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</row>
    <row r="847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</row>
    <row r="848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</row>
    <row r="849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</row>
    <row r="850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</row>
    <row r="851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</row>
    <row r="852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</row>
    <row r="872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</row>
    <row r="873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</row>
    <row r="874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</row>
    <row r="875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</row>
    <row r="876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</row>
    <row r="877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</row>
    <row r="878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</row>
    <row r="879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</row>
    <row r="880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</row>
    <row r="881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</row>
    <row r="882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</row>
    <row r="883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</row>
    <row r="884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</row>
    <row r="885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</row>
    <row r="886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</row>
    <row r="887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</row>
    <row r="888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</row>
    <row r="889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</row>
    <row r="890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</row>
    <row r="891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</row>
    <row r="892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</row>
    <row r="893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</row>
    <row r="894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</row>
    <row r="895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</row>
    <row r="896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</row>
    <row r="897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</row>
    <row r="898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</row>
    <row r="899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</row>
    <row r="900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</row>
    <row r="901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</row>
    <row r="902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</row>
    <row r="903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</row>
    <row r="904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</row>
    <row r="905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</row>
    <row r="906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</row>
    <row r="907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</row>
    <row r="908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</row>
    <row r="909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</row>
    <row r="910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</row>
    <row r="911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</row>
    <row r="912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</row>
    <row r="913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</row>
    <row r="914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</row>
    <row r="915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</row>
    <row r="916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</row>
    <row r="917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</row>
    <row r="918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</row>
    <row r="919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</row>
    <row r="920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</row>
    <row r="921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</row>
    <row r="922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</row>
    <row r="923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</row>
    <row r="924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</row>
    <row r="925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</row>
    <row r="926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</row>
    <row r="927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</row>
    <row r="928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</row>
    <row r="929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</row>
    <row r="930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</row>
    <row r="931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</row>
    <row r="932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</row>
    <row r="933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</row>
    <row r="934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</row>
    <row r="935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</row>
    <row r="936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</row>
    <row r="937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</row>
    <row r="938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</row>
    <row r="939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</row>
    <row r="940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</row>
    <row r="941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</row>
    <row r="942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</row>
    <row r="943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</row>
    <row r="944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</row>
    <row r="945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</row>
    <row r="946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</row>
    <row r="947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</row>
    <row r="948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</row>
    <row r="949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</row>
    <row r="950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</row>
    <row r="951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</row>
    <row r="952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</row>
    <row r="953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</row>
    <row r="954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</row>
    <row r="955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</row>
    <row r="956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</row>
    <row r="957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</row>
    <row r="958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</row>
    <row r="959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</row>
    <row r="960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</row>
    <row r="961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</row>
    <row r="962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</row>
    <row r="963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</row>
    <row r="964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</row>
    <row r="965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</row>
    <row r="966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</row>
    <row r="967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</row>
    <row r="968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</row>
    <row r="969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</row>
    <row r="970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</row>
    <row r="971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</row>
    <row r="972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</row>
    <row r="973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</row>
    <row r="974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</row>
    <row r="975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</row>
    <row r="976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</row>
    <row r="977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</row>
    <row r="978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</row>
    <row r="979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</row>
    <row r="980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</row>
    <row r="981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</row>
    <row r="982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</row>
    <row r="983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</row>
    <row r="984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</row>
    <row r="985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</row>
    <row r="986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</row>
    <row r="987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</row>
  </sheetData>
  <drawing r:id="rId1"/>
</worksheet>
</file>