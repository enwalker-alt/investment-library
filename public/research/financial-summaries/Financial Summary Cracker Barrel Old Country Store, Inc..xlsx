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<sst xmlns="http://schemas.openxmlformats.org/spreadsheetml/2006/main" count="37" uniqueCount="23">
  <si>
    <t>Cracker Barrel Old Country Store, Inc.</t>
  </si>
  <si>
    <t>Revenue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</si>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</sst>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10" xfId="0" applyAlignment="1" applyFont="1" applyNumberForma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9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14" width="13.38"/>
  </cols>
  <sheetData>
    <row r="1">
      <c r="A1" s="1" t="s">
        <v>0</v>
      </c>
      <c r="B1" s="2">
        <v>2012.0</v>
      </c>
      <c r="C1" s="2">
        <v>2013.0</v>
      </c>
      <c r="D1" s="2">
        <v>2014.0</v>
      </c>
      <c r="E1" s="2">
        <v>2015.0</v>
      </c>
      <c r="F1" s="2">
        <v>2016.0</v>
      </c>
      <c r="G1" s="2">
        <v>2017.0</v>
      </c>
      <c r="H1" s="2">
        <v>2018.0</v>
      </c>
      <c r="I1" s="2">
        <v>2019.0</v>
      </c>
      <c r="J1" s="2">
        <v>2020.0</v>
      </c>
      <c r="K1" s="2">
        <v>2021.0</v>
      </c>
      <c r="L1" s="2">
        <v>2022.0</v>
      </c>
      <c r="M1" s="2">
        <v>2023.0</v>
      </c>
      <c r="N1" s="2">
        <v>2024.0</v>
      </c>
      <c r="O1" s="2">
        <v>2025.0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>
      <c r="A3" s="4" t="s">
        <v>1</v>
      </c>
      <c r="B3" s="3">
        <v>2.580195E9</v>
      </c>
      <c r="C3" s="3">
        <v>2.64463E9</v>
      </c>
      <c r="D3" s="3">
        <v>2.683677E9</v>
      </c>
      <c r="E3" s="3">
        <v>2.842284E9</v>
      </c>
      <c r="F3" s="3">
        <v>2.912351E9</v>
      </c>
      <c r="G3" s="3">
        <v>2.926289E9</v>
      </c>
      <c r="H3" s="3">
        <v>3.030445E9</v>
      </c>
      <c r="I3" s="3">
        <v>3.071951E9</v>
      </c>
      <c r="J3" s="3">
        <v>2.522792E9</v>
      </c>
      <c r="K3" s="3">
        <v>2.821444E9</v>
      </c>
      <c r="L3" s="3">
        <v>3.267786E9</v>
      </c>
      <c r="M3" s="3">
        <v>3.442808E9</v>
      </c>
      <c r="N3" s="3">
        <v>3.470762E9</v>
      </c>
      <c r="O3" s="3">
        <v>3.483684E9</v>
      </c>
    </row>
    <row r="4">
      <c r="A4" s="4" t="s">
        <v>2</v>
      </c>
      <c r="B4" s="3">
        <v>1.90975E8</v>
      </c>
      <c r="C4" s="3">
        <v>2.01524E8</v>
      </c>
      <c r="D4" s="3">
        <v>2.08406E8</v>
      </c>
      <c r="E4" s="3">
        <v>2.5488E8</v>
      </c>
      <c r="F4" s="3">
        <v>2.80471E8</v>
      </c>
      <c r="G4" s="3">
        <v>3.13158E8</v>
      </c>
      <c r="H4" s="3">
        <v>2.93592E8</v>
      </c>
      <c r="I4" s="3">
        <v>2.82844E8</v>
      </c>
      <c r="J4" s="3">
        <v>1.03611E8</v>
      </c>
      <c r="K4" s="3">
        <v>3.66659E8</v>
      </c>
      <c r="L4" s="3">
        <v>1.53003E8</v>
      </c>
      <c r="M4" s="3">
        <v>1.20617E8</v>
      </c>
      <c r="N4" s="3">
        <v>4.5119E7</v>
      </c>
      <c r="O4" s="3">
        <v>5.5029E7</v>
      </c>
    </row>
    <row r="5">
      <c r="A5" s="4" t="s">
        <v>3</v>
      </c>
      <c r="B5" s="3">
        <v>1.46288E8</v>
      </c>
      <c r="C5" s="3">
        <v>1.65782E8</v>
      </c>
      <c r="D5" s="3">
        <v>1.90849E8</v>
      </c>
      <c r="E5" s="3">
        <v>2.38201E8</v>
      </c>
      <c r="F5" s="3">
        <v>2.66471E8</v>
      </c>
      <c r="G5" s="3">
        <v>2.98887E8</v>
      </c>
      <c r="H5" s="3">
        <v>2.78423E8</v>
      </c>
      <c r="I5" s="3">
        <v>2.66356E8</v>
      </c>
      <c r="J5" s="3">
        <v>8.1284E7</v>
      </c>
      <c r="K5" s="3">
        <v>3.10551E8</v>
      </c>
      <c r="L5" s="3">
        <v>1.43383E8</v>
      </c>
      <c r="M5" s="3">
        <v>1.03611E8</v>
      </c>
      <c r="N5" s="3">
        <v>2.4186E7</v>
      </c>
      <c r="O5" s="3">
        <v>3.7726E7</v>
      </c>
    </row>
    <row r="6">
      <c r="A6" s="4" t="s">
        <v>4</v>
      </c>
      <c r="B6" s="3">
        <v>4.3207E7</v>
      </c>
      <c r="C6" s="3">
        <v>4.8517E7</v>
      </c>
      <c r="D6" s="3">
        <v>5.8721E7</v>
      </c>
      <c r="E6" s="3">
        <v>7.4298E7</v>
      </c>
      <c r="F6" s="3">
        <v>7.712E7</v>
      </c>
      <c r="G6" s="3">
        <v>9.6988E7</v>
      </c>
      <c r="H6" s="3">
        <v>3.0803E7</v>
      </c>
      <c r="I6" s="3">
        <v>4.2955E7</v>
      </c>
      <c r="J6" s="3">
        <v>-2.8683E7</v>
      </c>
      <c r="K6" s="3">
        <v>5.6038E7</v>
      </c>
      <c r="L6" s="3">
        <v>1.1503E7</v>
      </c>
      <c r="M6" s="3">
        <v>4561000.0</v>
      </c>
      <c r="N6" s="3">
        <v>-1.6744E7</v>
      </c>
      <c r="O6" s="3">
        <v>-8653000.0</v>
      </c>
    </row>
    <row r="7">
      <c r="A7" s="4" t="s">
        <v>5</v>
      </c>
      <c r="B7" s="3">
        <v>1.03081E8</v>
      </c>
      <c r="C7" s="3">
        <v>1.17265E8</v>
      </c>
      <c r="D7" s="3">
        <v>1.32128E8</v>
      </c>
      <c r="E7" s="3">
        <v>1.63903E8</v>
      </c>
      <c r="F7" s="3">
        <v>1.89299E8</v>
      </c>
      <c r="G7" s="3">
        <v>2.01899E8</v>
      </c>
      <c r="H7" s="3">
        <v>2.4762E8</v>
      </c>
      <c r="I7" s="3">
        <v>2.23401E8</v>
      </c>
      <c r="J7" s="3">
        <v>-3.2475E7</v>
      </c>
      <c r="K7" s="3">
        <v>2.54513E8</v>
      </c>
      <c r="L7" s="3">
        <v>1.3188E8</v>
      </c>
      <c r="M7" s="3">
        <v>9.905E7</v>
      </c>
      <c r="N7" s="3">
        <v>4.093E7</v>
      </c>
      <c r="O7" s="3">
        <v>4.6379E7</v>
      </c>
    </row>
    <row r="8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>
      <c r="A10" s="4" t="s">
        <v>6</v>
      </c>
      <c r="B10" s="3">
        <v>1.51962E8</v>
      </c>
      <c r="C10" s="3">
        <v>1.21718E8</v>
      </c>
      <c r="D10" s="3">
        <v>1.19361E8</v>
      </c>
      <c r="E10" s="3">
        <v>2.65455E8</v>
      </c>
      <c r="F10" s="3">
        <v>1.50966E8</v>
      </c>
      <c r="G10" s="3">
        <v>1.61001E8</v>
      </c>
      <c r="H10" s="3">
        <v>1.14656E8</v>
      </c>
      <c r="I10" s="3">
        <v>3.6884E7</v>
      </c>
      <c r="J10" s="3">
        <v>4.36996E8</v>
      </c>
      <c r="K10" s="3">
        <v>1.44593E8</v>
      </c>
      <c r="L10" s="3">
        <v>4.5105E7</v>
      </c>
      <c r="M10" s="3">
        <v>2.5147E7</v>
      </c>
      <c r="N10" s="3">
        <v>1.2035E7</v>
      </c>
      <c r="O10" s="3">
        <v>3.9643E7</v>
      </c>
    </row>
    <row r="11">
      <c r="A11" s="4" t="s">
        <v>7</v>
      </c>
      <c r="B11" s="3">
        <v>5.25036E8</v>
      </c>
      <c r="C11" s="3">
        <v>4.0E8</v>
      </c>
      <c r="D11" s="3">
        <v>4.0E8</v>
      </c>
      <c r="E11" s="3">
        <v>4.0E8</v>
      </c>
      <c r="F11" s="3">
        <v>4.0E8</v>
      </c>
      <c r="G11" s="3">
        <v>4.0E8</v>
      </c>
      <c r="H11" s="3">
        <v>4.0E8</v>
      </c>
      <c r="I11" s="3">
        <v>4.0E8</v>
      </c>
      <c r="J11" s="3">
        <v>9.49395E8</v>
      </c>
      <c r="K11" s="3">
        <v>3.27377E8</v>
      </c>
      <c r="L11" s="3">
        <v>4.23373E8</v>
      </c>
      <c r="M11" s="3">
        <v>4.14979E8</v>
      </c>
      <c r="N11" s="3">
        <v>4.76656E8</v>
      </c>
      <c r="O11" s="3">
        <v>4.84635E8</v>
      </c>
    </row>
    <row r="12">
      <c r="A12" s="4" t="s">
        <v>8</v>
      </c>
      <c r="B12" s="3">
        <v>3.82675E8</v>
      </c>
      <c r="C12" s="3">
        <v>4.84026E8</v>
      </c>
      <c r="D12" s="3">
        <v>5.28641E8</v>
      </c>
      <c r="E12" s="3">
        <v>5.38268E8</v>
      </c>
      <c r="F12" s="3">
        <v>5.26443E8</v>
      </c>
      <c r="G12" s="3">
        <v>5.44507E8</v>
      </c>
      <c r="H12" s="3">
        <v>5.81781E8</v>
      </c>
      <c r="I12" s="3">
        <v>6.0471E8</v>
      </c>
      <c r="J12" s="3">
        <v>4.18389E8</v>
      </c>
      <c r="K12" s="3">
        <v>6.63633E8</v>
      </c>
      <c r="L12" s="3">
        <v>5.11479E8</v>
      </c>
      <c r="M12" s="3">
        <v>4.83825E8</v>
      </c>
      <c r="N12" s="3">
        <v>4.40149E8</v>
      </c>
      <c r="O12" s="3">
        <v>4.61689E8</v>
      </c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4" t="s">
        <v>9</v>
      </c>
      <c r="B14" s="3">
        <v>2.19822E8</v>
      </c>
      <c r="C14" s="3">
        <v>2.08499E8</v>
      </c>
      <c r="D14" s="3">
        <v>1.77625E8</v>
      </c>
      <c r="E14" s="3">
        <v>3.34055E8</v>
      </c>
      <c r="F14" s="3">
        <v>2.71378E8</v>
      </c>
      <c r="G14" s="3">
        <v>3.20767E8</v>
      </c>
      <c r="H14" s="3">
        <v>3.3062E8</v>
      </c>
      <c r="I14" s="3">
        <v>3.62796E8</v>
      </c>
      <c r="J14" s="3">
        <v>1.61002E8</v>
      </c>
      <c r="K14" s="3">
        <v>3.01903E8</v>
      </c>
      <c r="L14" s="3">
        <v>2.05253E8</v>
      </c>
      <c r="M14" s="3">
        <v>2.50457E8</v>
      </c>
      <c r="N14" s="3">
        <v>1.6698E8</v>
      </c>
      <c r="O14" s="3">
        <v>2.18899E8</v>
      </c>
    </row>
    <row r="15">
      <c r="A15" s="4" t="s">
        <v>10</v>
      </c>
      <c r="B15" s="3">
        <v>8.0922E7</v>
      </c>
      <c r="C15" s="3">
        <v>7.4417E7</v>
      </c>
      <c r="D15" s="3">
        <v>9.1646E7</v>
      </c>
      <c r="E15" s="3">
        <v>9.0855E7</v>
      </c>
      <c r="F15" s="3">
        <v>1.14022E8</v>
      </c>
      <c r="G15" s="3">
        <v>1.10591E8</v>
      </c>
      <c r="H15" s="3">
        <v>1.52249E8</v>
      </c>
      <c r="I15" s="3">
        <v>1.38293E8</v>
      </c>
      <c r="J15" s="3">
        <v>2.97328E8</v>
      </c>
      <c r="K15" s="3">
        <v>7.1409E7</v>
      </c>
      <c r="L15" s="3">
        <v>8.9341E7</v>
      </c>
      <c r="M15" s="3">
        <v>1.26987E8</v>
      </c>
      <c r="N15" s="3">
        <v>1.28295E8</v>
      </c>
      <c r="O15" s="3">
        <v>1.59144E8</v>
      </c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>
      <c r="A17" s="4" t="s">
        <v>11</v>
      </c>
      <c r="B17" s="7">
        <v>2.3408126E7</v>
      </c>
      <c r="C17" s="7">
        <v>2.3948321E7</v>
      </c>
      <c r="D17" s="7">
        <v>2.3966015E7</v>
      </c>
      <c r="E17" s="7">
        <v>2.4048924E7</v>
      </c>
      <c r="F17" s="7">
        <v>2.4074273E7</v>
      </c>
      <c r="G17" s="7">
        <v>2.4118288E7</v>
      </c>
      <c r="H17" s="7">
        <v>2.4075614E7</v>
      </c>
      <c r="I17" s="7">
        <v>2.4096396E7</v>
      </c>
      <c r="J17" s="7">
        <v>2.3865367E7</v>
      </c>
      <c r="K17" s="7">
        <v>2.376739E7</v>
      </c>
      <c r="L17" s="7">
        <v>2.324601E7</v>
      </c>
      <c r="M17" s="7">
        <v>2.2265399E7</v>
      </c>
      <c r="N17" s="7">
        <v>2.2319894E7</v>
      </c>
      <c r="O17" s="7">
        <v>2.2463943E7</v>
      </c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>
      <c r="A19" s="4" t="s">
        <v>12</v>
      </c>
      <c r="B19" s="9">
        <v>0.29</v>
      </c>
      <c r="C19" s="9">
        <v>0.29</v>
      </c>
      <c r="D19" s="9">
        <v>0.29</v>
      </c>
      <c r="E19" s="9">
        <v>0.29</v>
      </c>
      <c r="F19" s="9">
        <v>0.29</v>
      </c>
      <c r="G19" s="9">
        <v>0.29</v>
      </c>
      <c r="H19" s="9">
        <v>0.29</v>
      </c>
      <c r="I19" s="9">
        <v>0.29</v>
      </c>
      <c r="J19" s="9">
        <v>0.29</v>
      </c>
      <c r="K19" s="9">
        <v>0.29</v>
      </c>
      <c r="L19" s="9">
        <v>0.29</v>
      </c>
      <c r="M19" s="9">
        <v>0.29</v>
      </c>
      <c r="N19" s="9">
        <v>0.29</v>
      </c>
      <c r="O19" s="9">
        <v>0.29</v>
      </c>
    </row>
    <row r="20">
      <c r="A20" s="4" t="s">
        <v>13</v>
      </c>
      <c r="B20" s="8">
        <f t="shared" ref="B20:O20" si="1">B4*(1-B19)</f>
        <v>135592250</v>
      </c>
      <c r="C20" s="8">
        <f t="shared" si="1"/>
        <v>143082040</v>
      </c>
      <c r="D20" s="8">
        <f t="shared" si="1"/>
        <v>147968260</v>
      </c>
      <c r="E20" s="8">
        <f t="shared" si="1"/>
        <v>180964800</v>
      </c>
      <c r="F20" s="8">
        <f t="shared" si="1"/>
        <v>199134410</v>
      </c>
      <c r="G20" s="8">
        <f t="shared" si="1"/>
        <v>222342180</v>
      </c>
      <c r="H20" s="8">
        <f t="shared" si="1"/>
        <v>208450320</v>
      </c>
      <c r="I20" s="8">
        <f t="shared" si="1"/>
        <v>200819240</v>
      </c>
      <c r="J20" s="8">
        <f t="shared" si="1"/>
        <v>73563810</v>
      </c>
      <c r="K20" s="8">
        <f t="shared" si="1"/>
        <v>260327890</v>
      </c>
      <c r="L20" s="8">
        <f t="shared" si="1"/>
        <v>108632130</v>
      </c>
      <c r="M20" s="8">
        <f t="shared" si="1"/>
        <v>85638070</v>
      </c>
      <c r="N20" s="8">
        <f t="shared" si="1"/>
        <v>32034490</v>
      </c>
      <c r="O20" s="8">
        <f t="shared" si="1"/>
        <v>39070590</v>
      </c>
    </row>
    <row r="21">
      <c r="A21" s="4" t="s">
        <v>14</v>
      </c>
      <c r="B21" s="8">
        <f t="shared" ref="B21:O21" si="2">B11+B12-B10</f>
        <v>755749000</v>
      </c>
      <c r="C21" s="8">
        <f t="shared" si="2"/>
        <v>762308000</v>
      </c>
      <c r="D21" s="8">
        <f t="shared" si="2"/>
        <v>809280000</v>
      </c>
      <c r="E21" s="8">
        <f t="shared" si="2"/>
        <v>672813000</v>
      </c>
      <c r="F21" s="8">
        <f t="shared" si="2"/>
        <v>775477000</v>
      </c>
      <c r="G21" s="8">
        <f t="shared" si="2"/>
        <v>783506000</v>
      </c>
      <c r="H21" s="8">
        <f t="shared" si="2"/>
        <v>867125000</v>
      </c>
      <c r="I21" s="8">
        <f t="shared" si="2"/>
        <v>967826000</v>
      </c>
      <c r="J21" s="8">
        <f t="shared" si="2"/>
        <v>930788000</v>
      </c>
      <c r="K21" s="8">
        <f t="shared" si="2"/>
        <v>846417000</v>
      </c>
      <c r="L21" s="8">
        <f t="shared" si="2"/>
        <v>889747000</v>
      </c>
      <c r="M21" s="8">
        <f t="shared" si="2"/>
        <v>873657000</v>
      </c>
      <c r="N21" s="8">
        <f t="shared" si="2"/>
        <v>904770000</v>
      </c>
      <c r="O21" s="8">
        <f t="shared" si="2"/>
        <v>906681000</v>
      </c>
    </row>
    <row r="22">
      <c r="A22" s="4" t="s">
        <v>15</v>
      </c>
      <c r="B22" s="8">
        <f t="shared" ref="B22:O22" si="3">B14-B15</f>
        <v>138900000</v>
      </c>
      <c r="C22" s="8">
        <f t="shared" si="3"/>
        <v>134082000</v>
      </c>
      <c r="D22" s="8">
        <f t="shared" si="3"/>
        <v>85979000</v>
      </c>
      <c r="E22" s="8">
        <f t="shared" si="3"/>
        <v>243200000</v>
      </c>
      <c r="F22" s="8">
        <f t="shared" si="3"/>
        <v>157356000</v>
      </c>
      <c r="G22" s="8">
        <f t="shared" si="3"/>
        <v>210176000</v>
      </c>
      <c r="H22" s="8">
        <f t="shared" si="3"/>
        <v>178371000</v>
      </c>
      <c r="I22" s="8">
        <f t="shared" si="3"/>
        <v>224503000</v>
      </c>
      <c r="J22" s="8">
        <f t="shared" si="3"/>
        <v>-136326000</v>
      </c>
      <c r="K22" s="8">
        <f t="shared" si="3"/>
        <v>230494000</v>
      </c>
      <c r="L22" s="8">
        <f t="shared" si="3"/>
        <v>115912000</v>
      </c>
      <c r="M22" s="8">
        <f t="shared" si="3"/>
        <v>123470000</v>
      </c>
      <c r="N22" s="8">
        <f t="shared" si="3"/>
        <v>38685000</v>
      </c>
      <c r="O22" s="8">
        <f t="shared" si="3"/>
        <v>59755000</v>
      </c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4" t="s">
        <v>16</v>
      </c>
      <c r="B24" s="6">
        <f t="shared" ref="B24:O24" si="4">B20/B21</f>
        <v>0.1794143955</v>
      </c>
      <c r="C24" s="6">
        <f t="shared" si="4"/>
        <v>0.1876958395</v>
      </c>
      <c r="D24" s="6">
        <f t="shared" si="4"/>
        <v>0.1828393881</v>
      </c>
      <c r="E24" s="6">
        <f t="shared" si="4"/>
        <v>0.2689674546</v>
      </c>
      <c r="F24" s="6">
        <f t="shared" si="4"/>
        <v>0.256789576</v>
      </c>
      <c r="G24" s="6">
        <f t="shared" si="4"/>
        <v>0.2837785288</v>
      </c>
      <c r="H24" s="6">
        <f t="shared" si="4"/>
        <v>0.2403924694</v>
      </c>
      <c r="I24" s="6">
        <f t="shared" si="4"/>
        <v>0.2074951903</v>
      </c>
      <c r="J24" s="6">
        <f t="shared" si="4"/>
        <v>0.07903390461</v>
      </c>
      <c r="K24" s="6">
        <f t="shared" si="4"/>
        <v>0.3075645811</v>
      </c>
      <c r="L24" s="6">
        <f t="shared" si="4"/>
        <v>0.1220932804</v>
      </c>
      <c r="M24" s="6">
        <f t="shared" si="4"/>
        <v>0.09802253058</v>
      </c>
      <c r="N24" s="6">
        <f t="shared" si="4"/>
        <v>0.03540622479</v>
      </c>
      <c r="O24" s="6">
        <f t="shared" si="4"/>
        <v>0.04309188127</v>
      </c>
    </row>
    <row r="25">
      <c r="A25" s="4" t="s">
        <v>17</v>
      </c>
      <c r="B25" s="6">
        <f t="shared" ref="B25:O25" si="5">B4/B3</f>
        <v>0.07401572362</v>
      </c>
      <c r="C25" s="6">
        <f t="shared" si="5"/>
        <v>0.07620120773</v>
      </c>
      <c r="D25" s="6">
        <f t="shared" si="5"/>
        <v>0.07765688643</v>
      </c>
      <c r="E25" s="6">
        <f t="shared" si="5"/>
        <v>0.08967436048</v>
      </c>
      <c r="F25" s="6">
        <f t="shared" si="5"/>
        <v>0.09630398259</v>
      </c>
      <c r="G25" s="6">
        <f t="shared" si="5"/>
        <v>0.1070154042</v>
      </c>
      <c r="H25" s="6">
        <f t="shared" si="5"/>
        <v>0.09688082113</v>
      </c>
      <c r="I25" s="6">
        <f t="shared" si="5"/>
        <v>0.0920730832</v>
      </c>
      <c r="J25" s="6">
        <f t="shared" si="5"/>
        <v>0.04106997327</v>
      </c>
      <c r="K25" s="6">
        <f t="shared" si="5"/>
        <v>0.129954378</v>
      </c>
      <c r="L25" s="6">
        <f t="shared" si="5"/>
        <v>0.04682160949</v>
      </c>
      <c r="M25" s="6">
        <f t="shared" si="5"/>
        <v>0.03503448348</v>
      </c>
      <c r="N25" s="6">
        <f t="shared" si="5"/>
        <v>0.01299973896</v>
      </c>
      <c r="O25" s="6">
        <f t="shared" si="5"/>
        <v>0.01579620884</v>
      </c>
    </row>
    <row r="26">
      <c r="A26" s="4" t="s">
        <v>18</v>
      </c>
      <c r="B26" s="6">
        <f t="shared" ref="B26:O26" si="6">B11/B12</f>
        <v>1.372015418</v>
      </c>
      <c r="C26" s="6">
        <f t="shared" si="6"/>
        <v>0.8264018875</v>
      </c>
      <c r="D26" s="6">
        <f t="shared" si="6"/>
        <v>0.7566571643</v>
      </c>
      <c r="E26" s="6">
        <f t="shared" si="6"/>
        <v>0.7431242429</v>
      </c>
      <c r="F26" s="6">
        <f t="shared" si="6"/>
        <v>0.7598163524</v>
      </c>
      <c r="G26" s="6">
        <f t="shared" si="6"/>
        <v>0.7346094724</v>
      </c>
      <c r="H26" s="6">
        <f t="shared" si="6"/>
        <v>0.6875439384</v>
      </c>
      <c r="I26" s="6">
        <f t="shared" si="6"/>
        <v>0.661474095</v>
      </c>
      <c r="J26" s="6">
        <f t="shared" si="6"/>
        <v>2.269168166</v>
      </c>
      <c r="K26" s="6">
        <f t="shared" si="6"/>
        <v>0.4933103086</v>
      </c>
      <c r="L26" s="6">
        <f t="shared" si="6"/>
        <v>0.8277426835</v>
      </c>
      <c r="M26" s="6">
        <f t="shared" si="6"/>
        <v>0.8577047486</v>
      </c>
      <c r="N26" s="6">
        <f t="shared" si="6"/>
        <v>1.082942367</v>
      </c>
      <c r="O26" s="6">
        <f t="shared" si="6"/>
        <v>1.049700123</v>
      </c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>
      <c r="A28" s="4" t="s">
        <v>19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10" t="s">
        <v>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>
      <c r="A31" s="1" t="s">
        <v>21</v>
      </c>
      <c r="B31" s="2">
        <v>2012.0</v>
      </c>
      <c r="C31" s="2">
        <v>2013.0</v>
      </c>
      <c r="D31" s="2">
        <v>2014.0</v>
      </c>
      <c r="E31" s="2">
        <v>2015.0</v>
      </c>
      <c r="F31" s="2">
        <v>2016.0</v>
      </c>
      <c r="G31" s="2">
        <v>2017.0</v>
      </c>
      <c r="H31" s="2">
        <v>2018.0</v>
      </c>
      <c r="I31" s="2">
        <v>2019.0</v>
      </c>
      <c r="J31" s="2">
        <v>2020.0</v>
      </c>
      <c r="K31" s="2">
        <v>2021.0</v>
      </c>
      <c r="L31" s="2">
        <v>2022.0</v>
      </c>
      <c r="M31" s="2">
        <v>2023.0</v>
      </c>
      <c r="N31" s="2">
        <v>2024.0</v>
      </c>
      <c r="O31" s="5"/>
    </row>
    <row r="32">
      <c r="A32" s="4" t="s">
        <v>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3"/>
      <c r="N32" s="3"/>
      <c r="O32" s="5"/>
    </row>
    <row r="33">
      <c r="A33" s="4" t="s">
        <v>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3"/>
      <c r="N33" s="3"/>
      <c r="O33" s="5"/>
    </row>
    <row r="34">
      <c r="A34" s="4" t="s">
        <v>4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3"/>
      <c r="N34" s="3"/>
      <c r="O34" s="5"/>
    </row>
    <row r="35">
      <c r="A35" s="4" t="s">
        <v>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3"/>
      <c r="N35" s="3"/>
      <c r="O35" s="5"/>
    </row>
    <row r="36">
      <c r="A36" s="4" t="s">
        <v>22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  <c r="N36" s="3"/>
      <c r="O36" s="5"/>
    </row>
    <row r="37">
      <c r="A37" s="4" t="s">
        <v>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3"/>
      <c r="N37" s="3"/>
      <c r="O37" s="5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4" t="s">
        <v>16</v>
      </c>
      <c r="B39" s="6" t="str">
        <f t="shared" ref="B39:N39" si="7">(B32*(1-(B34/B33)))/(B36+B37-B35)</f>
        <v>#DIV/0!</v>
      </c>
      <c r="C39" s="6" t="str">
        <f t="shared" si="7"/>
        <v>#DIV/0!</v>
      </c>
      <c r="D39" s="6" t="str">
        <f t="shared" si="7"/>
        <v>#DIV/0!</v>
      </c>
      <c r="E39" s="6" t="str">
        <f t="shared" si="7"/>
        <v>#DIV/0!</v>
      </c>
      <c r="F39" s="6" t="str">
        <f t="shared" si="7"/>
        <v>#DIV/0!</v>
      </c>
      <c r="G39" s="6" t="str">
        <f t="shared" si="7"/>
        <v>#DIV/0!</v>
      </c>
      <c r="H39" s="6" t="str">
        <f t="shared" si="7"/>
        <v>#DIV/0!</v>
      </c>
      <c r="I39" s="6" t="str">
        <f t="shared" si="7"/>
        <v>#DIV/0!</v>
      </c>
      <c r="J39" s="6" t="str">
        <f t="shared" si="7"/>
        <v>#DIV/0!</v>
      </c>
      <c r="K39" s="6" t="str">
        <f t="shared" si="7"/>
        <v>#DIV/0!</v>
      </c>
      <c r="L39" s="6" t="str">
        <f t="shared" si="7"/>
        <v>#DIV/0!</v>
      </c>
      <c r="M39" s="6" t="str">
        <f t="shared" si="7"/>
        <v>#DIV/0!</v>
      </c>
      <c r="N39" s="6" t="str">
        <f t="shared" si="7"/>
        <v>#DIV/0!</v>
      </c>
      <c r="O39" s="5"/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1" t="s">
        <v>21</v>
      </c>
      <c r="B41" s="2">
        <v>2012.0</v>
      </c>
      <c r="C41" s="2">
        <v>2013.0</v>
      </c>
      <c r="D41" s="2">
        <v>2014.0</v>
      </c>
      <c r="E41" s="2">
        <v>2015.0</v>
      </c>
      <c r="F41" s="2">
        <v>2016.0</v>
      </c>
      <c r="G41" s="2">
        <v>2017.0</v>
      </c>
      <c r="H41" s="2">
        <v>2018.0</v>
      </c>
      <c r="I41" s="2">
        <v>2019.0</v>
      </c>
      <c r="J41" s="2">
        <v>2020.0</v>
      </c>
      <c r="K41" s="2">
        <v>2021.0</v>
      </c>
      <c r="L41" s="2">
        <v>2022.0</v>
      </c>
      <c r="M41" s="2">
        <v>2023.0</v>
      </c>
      <c r="N41" s="2">
        <v>2024.0</v>
      </c>
      <c r="O41" s="5"/>
    </row>
    <row r="42">
      <c r="A42" s="4" t="s">
        <v>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3"/>
      <c r="M42" s="3"/>
      <c r="N42" s="3"/>
      <c r="O42" s="5"/>
    </row>
    <row r="43">
      <c r="A43" s="4" t="s">
        <v>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3"/>
      <c r="M43" s="3"/>
      <c r="N43" s="3"/>
      <c r="O43" s="5"/>
    </row>
    <row r="44">
      <c r="A44" s="4" t="s">
        <v>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3"/>
      <c r="M44" s="3"/>
      <c r="N44" s="3"/>
      <c r="O44" s="5"/>
    </row>
    <row r="45">
      <c r="A45" s="4" t="s">
        <v>6</v>
      </c>
      <c r="B45" s="5"/>
      <c r="C45" s="5"/>
      <c r="D45" s="5"/>
      <c r="E45" s="5"/>
      <c r="F45" s="5"/>
      <c r="G45" s="5"/>
      <c r="H45" s="5"/>
      <c r="I45" s="5"/>
      <c r="J45" s="5"/>
      <c r="K45" s="3"/>
      <c r="L45" s="3"/>
      <c r="M45" s="3"/>
      <c r="N45" s="3"/>
      <c r="O45" s="5"/>
    </row>
    <row r="46">
      <c r="A46" s="4" t="s">
        <v>22</v>
      </c>
      <c r="B46" s="5"/>
      <c r="C46" s="5"/>
      <c r="D46" s="5"/>
      <c r="E46" s="5"/>
      <c r="F46" s="5"/>
      <c r="G46" s="5"/>
      <c r="H46" s="5"/>
      <c r="I46" s="5"/>
      <c r="J46" s="5"/>
      <c r="K46" s="3"/>
      <c r="L46" s="3"/>
      <c r="M46" s="3"/>
      <c r="N46" s="3"/>
      <c r="O46" s="5"/>
    </row>
    <row r="47">
      <c r="A47" s="12" t="s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14"/>
      <c r="M47" s="14"/>
      <c r="N47" s="14"/>
      <c r="O47" s="13"/>
    </row>
    <row r="48">
      <c r="A48" s="15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>
      <c r="A49" s="12" t="s">
        <v>16</v>
      </c>
      <c r="B49" s="16" t="str">
        <f t="shared" ref="B49:N49" si="8">(B42*(1-(B44/B43)))/(B46+B47-B45)</f>
        <v>#DIV/0!</v>
      </c>
      <c r="C49" s="16" t="str">
        <f t="shared" si="8"/>
        <v>#DIV/0!</v>
      </c>
      <c r="D49" s="16" t="str">
        <f t="shared" si="8"/>
        <v>#DIV/0!</v>
      </c>
      <c r="E49" s="16" t="str">
        <f t="shared" si="8"/>
        <v>#DIV/0!</v>
      </c>
      <c r="F49" s="16" t="str">
        <f t="shared" si="8"/>
        <v>#DIV/0!</v>
      </c>
      <c r="G49" s="16" t="str">
        <f t="shared" si="8"/>
        <v>#DIV/0!</v>
      </c>
      <c r="H49" s="16" t="str">
        <f t="shared" si="8"/>
        <v>#DIV/0!</v>
      </c>
      <c r="I49" s="16" t="str">
        <f t="shared" si="8"/>
        <v>#DIV/0!</v>
      </c>
      <c r="J49" s="16" t="str">
        <f t="shared" si="8"/>
        <v>#DIV/0!</v>
      </c>
      <c r="K49" s="16" t="str">
        <f t="shared" si="8"/>
        <v>#DIV/0!</v>
      </c>
      <c r="L49" s="16" t="str">
        <f t="shared" si="8"/>
        <v>#DIV/0!</v>
      </c>
      <c r="M49" s="16" t="str">
        <f t="shared" si="8"/>
        <v>#DIV/0!</v>
      </c>
      <c r="N49" s="16" t="str">
        <f t="shared" si="8"/>
        <v>#DIV/0!</v>
      </c>
      <c r="O49" s="13"/>
    </row>
    <row r="50"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6"/>
      <c r="N50" s="6"/>
      <c r="O50" s="5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</sheetData>
  <drawing r:id="rId1"/>
</worksheet>
</file>