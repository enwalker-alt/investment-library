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Inputs" sheetId="2" r:id="rId6"/>
    <sheet state="visible" name="Historical Financials" sheetId="3" r:id="rId7"/>
    <sheet state="visible" name="Forecast" sheetId="4" r:id="rId8"/>
    <sheet state="visible" name="DCF" sheetId="5" r:id="rId9"/>
    <sheet state="visible" name="Dividend Model" sheetId="6" r:id="rId10"/>
    <sheet state="visible" name="Multiples Check" sheetId="7" r:id="rId11"/>
    <sheet state="visible" name="Sensitivity" sheetId="8" r:id="rId12"/>
    <sheet state="visible" name="Conclusion" sheetId="9" r:id="rId13"/>
    <sheet state="visible" name="Sources" sheetId="10" r:id="rId14"/>
  </sheets>
  <definedNames/>
  <calcPr/>
</workbook>
</file>

<file path=xl/sharedStrings.xml><?xml version="1.0" encoding="utf-8"?>
<sst xmlns="http://schemas.openxmlformats.org/spreadsheetml/2006/main" count="190" uniqueCount="131">
  <si>
    <t>Field</t>
  </si>
  <si>
    <t>Input</t>
  </si>
  <si>
    <t>Company Name</t>
  </si>
  <si>
    <t>Carriage Services, Inc.</t>
  </si>
  <si>
    <t>Ticker</t>
  </si>
  <si>
    <t>CSV</t>
  </si>
  <si>
    <t>Industry</t>
  </si>
  <si>
    <t>Business Services</t>
  </si>
  <si>
    <t>Valuation Date</t>
  </si>
  <si>
    <t>Current Share Price</t>
  </si>
  <si>
    <t>Market Cap</t>
  </si>
  <si>
    <t>Name</t>
  </si>
  <si>
    <t>Ellis Walker</t>
  </si>
  <si>
    <t>Value Per Share</t>
  </si>
  <si>
    <t>DCF</t>
  </si>
  <si>
    <t>Dividend Model (Not Meaningful)</t>
  </si>
  <si>
    <t>Multiples Check</t>
  </si>
  <si>
    <t>Final Estimated Range</t>
  </si>
  <si>
    <t>Midpoint</t>
  </si>
  <si>
    <t>Margin of Safety</t>
  </si>
  <si>
    <t>Target Entry Price</t>
  </si>
  <si>
    <t>Decision</t>
  </si>
  <si>
    <t>Note: The dividend model is excluded because dividends are not the primary source of shareholder value. The DCF is treated as a downside case because high leverage materially reduces equity value under conservative assumptions. The final range is based primarily on normalized earnings and EBITDA multiples, while cross-checking that the lower end remains above the more favorable DCF sensitivity cases</t>
  </si>
  <si>
    <t>Conservative</t>
  </si>
  <si>
    <t>Base</t>
  </si>
  <si>
    <t>Optimistic</t>
  </si>
  <si>
    <t>Diluted Shares Outstanding</t>
  </si>
  <si>
    <t>Cash</t>
  </si>
  <si>
    <t>Total Debt</t>
  </si>
  <si>
    <t>Revenue Growth</t>
  </si>
  <si>
    <t>Operating Margin</t>
  </si>
  <si>
    <t>Tax Rate</t>
  </si>
  <si>
    <t>D&amp;A / Revenue</t>
  </si>
  <si>
    <t>Capex / Revenue</t>
  </si>
  <si>
    <t>Change in NWC / Revenue</t>
  </si>
  <si>
    <t>Discount Rate</t>
  </si>
  <si>
    <t>Terminal Growth Rate</t>
  </si>
  <si>
    <t>Dividend Growth Rate</t>
  </si>
  <si>
    <t>Required Return for Dividend Model</t>
  </si>
  <si>
    <t>Average</t>
  </si>
  <si>
    <t>Revenue</t>
  </si>
  <si>
    <t>Operating Income</t>
  </si>
  <si>
    <t>Income Before Tax</t>
  </si>
  <si>
    <t>Tax Expense</t>
  </si>
  <si>
    <t>Net Income</t>
  </si>
  <si>
    <t>Net Margin</t>
  </si>
  <si>
    <t>D&amp;A</t>
  </si>
  <si>
    <t>Operating Cash Flow</t>
  </si>
  <si>
    <t>Capital Expenditures</t>
  </si>
  <si>
    <t>Free Cash Flow</t>
  </si>
  <si>
    <t>Shareholders’ Equity</t>
  </si>
  <si>
    <t>Invested Capital</t>
  </si>
  <si>
    <t>Shares Outstanding</t>
  </si>
  <si>
    <t>Dividend Per Share</t>
  </si>
  <si>
    <t>Dividends Paid</t>
  </si>
  <si>
    <t>NOPAT</t>
  </si>
  <si>
    <t>ROIC</t>
  </si>
  <si>
    <t>Debt / Equity</t>
  </si>
  <si>
    <t>FCF / Revenue</t>
  </si>
  <si>
    <t>Dividend Payout Ratio</t>
  </si>
  <si>
    <t>Book Value Per Share</t>
  </si>
  <si>
    <t>Note: D&amp;A = cemetery property amortization + field depreciation expense</t>
  </si>
  <si>
    <t>2025A</t>
  </si>
  <si>
    <t>2026E</t>
  </si>
  <si>
    <t>2027E</t>
  </si>
  <si>
    <t>2028E</t>
  </si>
  <si>
    <t>2029E</t>
  </si>
  <si>
    <t>2030E</t>
  </si>
  <si>
    <t>Change in NWC</t>
  </si>
  <si>
    <t>Unlevered Free Cash Flow</t>
  </si>
  <si>
    <t>Discount Period</t>
  </si>
  <si>
    <t>Discount Factor</t>
  </si>
  <si>
    <t>PV of FCF</t>
  </si>
  <si>
    <t>Item</t>
  </si>
  <si>
    <t>Value</t>
  </si>
  <si>
    <t>Final Year FCF</t>
  </si>
  <si>
    <t>Terminal Value</t>
  </si>
  <si>
    <t>PV of Terminal Value</t>
  </si>
  <si>
    <t>Enterprise Value</t>
  </si>
  <si>
    <t>Less: Total Debt</t>
  </si>
  <si>
    <t>Plus: Cash</t>
  </si>
  <si>
    <t>Equity Value</t>
  </si>
  <si>
    <t>Diluted Shares</t>
  </si>
  <si>
    <t>Intrinsic Value Per Share</t>
  </si>
  <si>
    <t>Debt Paydown Sensitivity</t>
  </si>
  <si>
    <t>Beginning Debt</t>
  </si>
  <si>
    <t>Cash Available for Debt Paydown</t>
  </si>
  <si>
    <t>Debt Paydown</t>
  </si>
  <si>
    <t>Ending Debt</t>
  </si>
  <si>
    <t>Net Debt / EBITDA</t>
  </si>
  <si>
    <t>% of Excess FCF Used for Debt Paydown</t>
  </si>
  <si>
    <t>Standard DCF Value</t>
  </si>
  <si>
    <t>Deleveraging DCF Value</t>
  </si>
  <si>
    <t>Current Dividend Per Share</t>
  </si>
  <si>
    <t>Required Return</t>
  </si>
  <si>
    <t>Next Year Dividend</t>
  </si>
  <si>
    <t>Implied Value Per Share</t>
  </si>
  <si>
    <t>Note: Dividend model is not a primary valuation method for CSV because the dividend yield and payout ratio are low. This model only values the current dividend stream, not total owner earnings.</t>
  </si>
  <si>
    <t>Metric</t>
  </si>
  <si>
    <t>Current</t>
  </si>
  <si>
    <t>Share Price</t>
  </si>
  <si>
    <t>EBITDA</t>
  </si>
  <si>
    <t>Book Value</t>
  </si>
  <si>
    <t>EV / Revenue</t>
  </si>
  <si>
    <t>EV / EBITDA</t>
  </si>
  <si>
    <t>P / E</t>
  </si>
  <si>
    <t>P / Book</t>
  </si>
  <si>
    <t>Dividend Yield</t>
  </si>
  <si>
    <t>EV/EBITDA</t>
  </si>
  <si>
    <t>P/E</t>
  </si>
  <si>
    <t>Multiples Range</t>
  </si>
  <si>
    <t>Investment Conclusion</t>
  </si>
  <si>
    <t>Based on the completed valuation work, I estimate Carriage Services’ fair value at approximately $24 to $32 per share, with a weighted valuation estimate of approximately $27 per share. The valuation is based primarily on normalized earnings and EBITDA multiples, while the DCF serves as a conservative downside check due to the company’s meaningful debt load. The dividend model is not a primary valuation method because the current dividend represents only a small portion of total owner earnings.
At the current share price of approximately $44, CSV does not offer a sufficient margin of safety. The company’s leverage materially reduces the value attributable to common shareholders, and I am not assuming aggressive debt paydown without stronger evidence from management behavior. Applying a 15% margin of safety to the weighted value produces a target entry price of approximately $23 per share. CSV should remain on the watchlist, but I would not buy at the current price.</t>
  </si>
  <si>
    <t>Valuation Summary</t>
  </si>
  <si>
    <t>Method</t>
  </si>
  <si>
    <t>Estimated Value</t>
  </si>
  <si>
    <t>Final Range</t>
  </si>
  <si>
    <t>Implied Upside / Downside</t>
  </si>
  <si>
    <t>Watchlist / Do Not Buy</t>
  </si>
  <si>
    <t>Valuation Weighting</t>
  </si>
  <si>
    <t>Weight</t>
  </si>
  <si>
    <t>Weighted Value</t>
  </si>
  <si>
    <t>Dividend Model</t>
  </si>
  <si>
    <t>Data</t>
  </si>
  <si>
    <t>Source</t>
  </si>
  <si>
    <t>Link</t>
  </si>
  <si>
    <t>Notes</t>
  </si>
  <si>
    <t>Historical Financials</t>
  </si>
  <si>
    <t>sec.gov</t>
  </si>
  <si>
    <t>LINK</t>
  </si>
  <si>
    <t>finance.yahoo.com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</si>
</sst>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;[Red]($#,##0.0);-"/>
    <numFmt numFmtId="165" formatCode="m/d/yyyy"/>
    <numFmt numFmtId="166" formatCode="&quot;$&quot;#,##0"/>
    <numFmt numFmtId="167" formatCode="&quot;$&quot;#,##0.0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color theme="7"/>
      <name val="Arial"/>
      <scheme val="minor"/>
    </font>
    <font>
      <color theme="4"/>
      <name val="Arial"/>
      <scheme val="minor"/>
    </font>
    <font>
      <color theme="1"/>
      <name val="Arial"/>
    </font>
    <font>
      <color rgb="FF0000FF"/>
      <name val="Arial"/>
    </font>
    <font>
      <b/>
      <color theme="1"/>
      <name val="Arial"/>
    </font>
    <font>
      <color rgb="FF000000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readingOrder="0"/>
    </xf>
    <xf borderId="0" fillId="2" fontId="1" numFmtId="0" xfId="0" applyAlignment="1" applyFont="1">
      <alignment horizontal="left" readingOrder="0"/>
    </xf>
    <xf borderId="0" fillId="2" fontId="2" numFmtId="0" xfId="0" applyFon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165" xfId="0" applyAlignment="1" applyFont="1" applyNumberFormat="1">
      <alignment horizontal="right" readingOrder="0"/>
    </xf>
    <xf borderId="0" fillId="0" fontId="4" numFmtId="0" xfId="0" applyAlignment="1" applyFont="1">
      <alignment horizontal="right"/>
    </xf>
    <xf borderId="0" fillId="0" fontId="4" numFmtId="166" xfId="0" applyAlignment="1" applyFont="1" applyNumberFormat="1">
      <alignment horizontal="right"/>
    </xf>
    <xf borderId="0" fillId="0" fontId="5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4" numFmtId="167" xfId="0" applyAlignment="1" applyFont="1" applyNumberFormat="1">
      <alignment horizontal="right"/>
    </xf>
    <xf borderId="0" fillId="0" fontId="4" numFmtId="167" xfId="0" applyAlignment="1" applyFont="1" applyNumberFormat="1">
      <alignment horizontal="right"/>
    </xf>
    <xf borderId="0" fillId="0" fontId="6" numFmtId="0" xfId="0" applyAlignment="1" applyFont="1">
      <alignment vertical="bottom"/>
    </xf>
    <xf borderId="0" fillId="0" fontId="4" numFmtId="167" xfId="0" applyFont="1" applyNumberFormat="1"/>
    <xf borderId="0" fillId="0" fontId="3" numFmtId="9" xfId="0" applyAlignment="1" applyFont="1" applyNumberFormat="1">
      <alignment readingOrder="0"/>
    </xf>
    <xf borderId="0" fillId="0" fontId="2" numFmtId="167" xfId="0" applyFont="1" applyNumberFormat="1"/>
    <xf borderId="0" fillId="2" fontId="1" numFmtId="0" xfId="0" applyAlignment="1" applyFont="1">
      <alignment horizontal="center" readingOrder="0"/>
    </xf>
    <xf borderId="0" fillId="2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3" xfId="0" applyFont="1" applyNumberFormat="1"/>
    <xf borderId="0" fillId="0" fontId="3" numFmtId="3" xfId="0" applyAlignment="1" applyFont="1" applyNumberFormat="1">
      <alignment readingOrder="0"/>
    </xf>
    <xf borderId="0" fillId="0" fontId="2" numFmtId="166" xfId="0" applyFont="1" applyNumberFormat="1"/>
    <xf borderId="0" fillId="0" fontId="7" numFmtId="166" xfId="0" applyAlignment="1" applyFont="1" applyNumberFormat="1">
      <alignment horizontal="right" vertical="bottom"/>
    </xf>
    <xf borderId="0" fillId="0" fontId="3" numFmtId="10" xfId="0" applyAlignment="1" applyFont="1" applyNumberFormat="1">
      <alignment readingOrder="0"/>
    </xf>
    <xf borderId="0" fillId="0" fontId="4" numFmtId="10" xfId="0" applyFont="1" applyNumberFormat="1"/>
    <xf borderId="0" fillId="2" fontId="1" numFmtId="0" xfId="0" applyAlignment="1" applyFont="1">
      <alignment horizontal="right" readingOrder="0"/>
    </xf>
    <xf borderId="0" fillId="2" fontId="8" numFmtId="0" xfId="0" applyAlignment="1" applyFont="1">
      <alignment horizontal="right" readingOrder="0" vertical="bottom"/>
    </xf>
    <xf borderId="0" fillId="0" fontId="2" numFmtId="10" xfId="0" applyAlignment="1" applyFont="1" applyNumberFormat="1">
      <alignment horizontal="right"/>
    </xf>
    <xf borderId="0" fillId="0" fontId="6" numFmtId="10" xfId="0" applyAlignment="1" applyFont="1" applyNumberFormat="1">
      <alignment vertical="bottom"/>
    </xf>
    <xf borderId="0" fillId="0" fontId="9" numFmtId="10" xfId="0" applyAlignment="1" applyFont="1" applyNumberFormat="1">
      <alignment horizontal="right"/>
    </xf>
    <xf borderId="0" fillId="0" fontId="3" numFmtId="166" xfId="0" applyAlignment="1" applyFont="1" applyNumberFormat="1">
      <alignment horizontal="right" readingOrder="0"/>
    </xf>
    <xf borderId="0" fillId="0" fontId="9" numFmtId="166" xfId="0" applyAlignment="1" applyFont="1" applyNumberFormat="1">
      <alignment horizontal="right"/>
    </xf>
    <xf borderId="0" fillId="0" fontId="2" numFmtId="166" xfId="0" applyAlignment="1" applyFont="1" applyNumberFormat="1">
      <alignment horizontal="right"/>
    </xf>
    <xf borderId="0" fillId="0" fontId="7" numFmtId="3" xfId="0" applyAlignment="1" applyFont="1" applyNumberFormat="1">
      <alignment horizontal="right" vertical="bottom"/>
    </xf>
    <xf borderId="0" fillId="0" fontId="3" numFmtId="167" xfId="0" applyAlignment="1" applyFont="1" applyNumberFormat="1">
      <alignment horizontal="right" readingOrder="0"/>
    </xf>
    <xf borderId="0" fillId="0" fontId="2" numFmtId="166" xfId="0" applyAlignment="1" applyFont="1" applyNumberFormat="1">
      <alignment horizontal="right" readingOrder="0"/>
    </xf>
    <xf borderId="0" fillId="0" fontId="2" numFmtId="9" xfId="0" applyAlignment="1" applyFont="1" applyNumberFormat="1">
      <alignment horizontal="right"/>
    </xf>
    <xf borderId="0" fillId="0" fontId="6" numFmtId="9" xfId="0" applyAlignment="1" applyFont="1" applyNumberFormat="1">
      <alignment vertical="bottom"/>
    </xf>
    <xf borderId="0" fillId="0" fontId="2" numFmtId="0" xfId="0" applyAlignment="1" applyFont="1">
      <alignment horizontal="right" readingOrder="0"/>
    </xf>
    <xf borderId="0" fillId="0" fontId="6" numFmtId="0" xfId="0" applyAlignment="1" applyFont="1">
      <alignment readingOrder="0" vertical="bottom"/>
    </xf>
    <xf borderId="0" fillId="0" fontId="4" numFmtId="10" xfId="0" applyAlignment="1" applyFont="1" applyNumberFormat="1">
      <alignment horizontal="right"/>
    </xf>
    <xf borderId="0" fillId="0" fontId="4" numFmtId="9" xfId="0" applyAlignment="1" applyFont="1" applyNumberFormat="1">
      <alignment horizontal="right"/>
    </xf>
    <xf borderId="0" fillId="0" fontId="2" numFmtId="167" xfId="0" applyAlignment="1" applyFont="1" applyNumberFormat="1">
      <alignment horizontal="right"/>
    </xf>
    <xf borderId="0" fillId="0" fontId="4" numFmtId="3" xfId="0" applyAlignment="1" applyFont="1" applyNumberFormat="1">
      <alignment horizontal="right"/>
    </xf>
    <xf borderId="0" fillId="0" fontId="2" numFmtId="3" xfId="0" applyAlignment="1" applyFont="1" applyNumberFormat="1">
      <alignment horizontal="right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4" numFmtId="166" xfId="0" applyFont="1" applyNumberFormat="1"/>
    <xf borderId="0" fillId="0" fontId="2" numFmtId="2" xfId="0" applyFont="1" applyNumberFormat="1"/>
    <xf borderId="0" fillId="0" fontId="2" numFmtId="167" xfId="0" applyFont="1" applyNumberFormat="1"/>
    <xf borderId="0" fillId="0" fontId="2" numFmtId="167" xfId="0" applyAlignment="1" applyFont="1" applyNumberFormat="1">
      <alignment horizontal="right"/>
    </xf>
    <xf borderId="0" fillId="0" fontId="2" numFmtId="2" xfId="0" applyAlignment="1" applyFont="1" applyNumberFormat="1">
      <alignment horizontal="right"/>
    </xf>
    <xf borderId="0" fillId="2" fontId="1" numFmtId="0" xfId="0" applyAlignment="1" applyFont="1">
      <alignment horizontal="center"/>
    </xf>
    <xf borderId="0" fillId="2" fontId="1" numFmtId="10" xfId="0" applyAlignment="1" applyFont="1" applyNumberFormat="1">
      <alignment horizontal="right" readingOrder="0"/>
    </xf>
    <xf borderId="0" fillId="0" fontId="2" numFmtId="10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9" numFmtId="0" xfId="0" applyAlignment="1" applyFont="1">
      <alignment horizontal="right"/>
    </xf>
    <xf borderId="0" fillId="0" fontId="2" numFmtId="10" xfId="0" applyFont="1" applyNumberFormat="1"/>
    <xf borderId="0" fillId="0" fontId="10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ec.gov/" TargetMode="External"/><Relationship Id="rId2" Type="http://schemas.openxmlformats.org/officeDocument/2006/relationships/hyperlink" Target="https://www.sec.gov/edgar/browse/?CIK=1016281&amp;owner=exclude" TargetMode="External"/><Relationship Id="rId3" Type="http://schemas.openxmlformats.org/officeDocument/2006/relationships/hyperlink" Target="http://finance.yahoo.com/" TargetMode="External"/><Relationship Id="rId4" Type="http://schemas.openxmlformats.org/officeDocument/2006/relationships/hyperlink" Target="https://finance.yahoo.com/quote/CSV/?fr=yhssrp_catchall&amp;guccounter=1&amp;guce_referrer=aHR0cHM6Ly9zZWFyY2gueWFob28uY29tL3locy9zZWFyY2g_aHNwYXJ0PXN5bmRpYzgmaHNpbXA9eWhzLWFjdGl2OGlnaHQmcD1jc3Yrc3RvY2srcHJpY2UmdHlwZT1zb3VyY2VBVUQ1Nw&amp;guce_referrer_sig=AQAAANu-PMTzoe4oGGhLpN6-81TzzkDptqEp4DmD4sFiOXwx80TssSKHGCge0cNdAuiRC1WT5xx4i7FGXkeg1xujM81Ln3J-8twBr5RC4TBh7ipGVRWdSqOVvMnSCm9IFdOOq_xY0Nf-GNah7gvOW8iyhZ2vGT8JUaQZ2pNHZJ1vITdG" TargetMode="External"/><Relationship Id="rId5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23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</row>
    <row r="3">
      <c r="A3" s="6" t="s">
        <v>4</v>
      </c>
      <c r="B3" s="5" t="s">
        <v>5</v>
      </c>
    </row>
    <row r="4">
      <c r="A4" s="6" t="s">
        <v>6</v>
      </c>
      <c r="B4" s="5" t="s">
        <v>7</v>
      </c>
    </row>
    <row r="5">
      <c r="A5" s="6" t="s">
        <v>8</v>
      </c>
      <c r="B5" s="7">
        <v>46161.0</v>
      </c>
    </row>
    <row r="6">
      <c r="A6" s="6" t="s">
        <v>9</v>
      </c>
      <c r="B6" s="8">
        <f>Inputs!C2</f>
        <v>44.07</v>
      </c>
    </row>
    <row r="7">
      <c r="A7" s="6" t="s">
        <v>10</v>
      </c>
      <c r="B7" s="9">
        <f>'Multiples Check'!B3</f>
        <v>688990380</v>
      </c>
    </row>
    <row r="8">
      <c r="A8" s="6" t="s">
        <v>11</v>
      </c>
      <c r="B8" s="10" t="s">
        <v>12</v>
      </c>
    </row>
    <row r="9">
      <c r="B9" s="11"/>
    </row>
    <row r="10">
      <c r="B10" s="12" t="s">
        <v>13</v>
      </c>
    </row>
    <row r="11">
      <c r="A11" s="6" t="s">
        <v>14</v>
      </c>
      <c r="B11" s="13">
        <f>DCF!B18</f>
        <v>12.91805816</v>
      </c>
    </row>
    <row r="12">
      <c r="A12" s="6" t="s">
        <v>15</v>
      </c>
      <c r="B12" s="14">
        <f>'Dividend Model'!C6</f>
        <v>5.79375</v>
      </c>
    </row>
    <row r="13">
      <c r="A13" s="6" t="s">
        <v>16</v>
      </c>
      <c r="B13" s="13">
        <f>'Multiples Check'!D22</f>
        <v>31.59751183</v>
      </c>
    </row>
    <row r="14">
      <c r="B14" s="11"/>
    </row>
    <row r="15">
      <c r="A15" s="6" t="s">
        <v>17</v>
      </c>
      <c r="B15" s="8" t="str">
        <f>Conclusion!B11</f>
        <v>$24.00 - $32.00</v>
      </c>
    </row>
    <row r="17">
      <c r="A17" s="15" t="s">
        <v>18</v>
      </c>
      <c r="B17" s="16">
        <f>Conclusion!D21</f>
        <v>26.92764841</v>
      </c>
    </row>
    <row r="18">
      <c r="A18" s="15" t="s">
        <v>19</v>
      </c>
      <c r="B18" s="17">
        <v>0.15</v>
      </c>
    </row>
    <row r="19">
      <c r="A19" s="15" t="s">
        <v>20</v>
      </c>
      <c r="B19" s="18">
        <f>B17*(1-B18)</f>
        <v>22.88850115</v>
      </c>
    </row>
    <row r="20">
      <c r="A20" s="15" t="s">
        <v>21</v>
      </c>
      <c r="B20" s="8" t="str">
        <f>Conclusion!B15</f>
        <v>Watchlist / Do Not Buy</v>
      </c>
    </row>
    <row r="22">
      <c r="A22" s="6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</cols>
  <sheetData>
    <row r="1">
      <c r="A1" s="19" t="s">
        <v>1</v>
      </c>
      <c r="B1" s="19" t="s">
        <v>23</v>
      </c>
      <c r="C1" s="19" t="s">
        <v>24</v>
      </c>
      <c r="D1" s="19" t="s">
        <v>25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6" t="s">
        <v>9</v>
      </c>
      <c r="B2" s="21">
        <f t="shared" ref="B2:B5" si="1">C2</f>
        <v>44.07</v>
      </c>
      <c r="C2" s="22">
        <v>44.07</v>
      </c>
      <c r="D2" s="21">
        <f t="shared" ref="D2:D5" si="2">C2</f>
        <v>44.07</v>
      </c>
    </row>
    <row r="3">
      <c r="A3" s="6" t="s">
        <v>26</v>
      </c>
      <c r="B3" s="23">
        <f t="shared" si="1"/>
        <v>15634000</v>
      </c>
      <c r="C3" s="24">
        <v>1.5634E7</v>
      </c>
      <c r="D3" s="23">
        <f t="shared" si="2"/>
        <v>15634000</v>
      </c>
    </row>
    <row r="4">
      <c r="A4" s="6" t="s">
        <v>27</v>
      </c>
      <c r="B4" s="25">
        <f t="shared" si="1"/>
        <v>1688000</v>
      </c>
      <c r="C4" s="26">
        <v>1688000.0</v>
      </c>
      <c r="D4" s="25">
        <f t="shared" si="2"/>
        <v>1688000</v>
      </c>
    </row>
    <row r="5">
      <c r="A5" s="6" t="s">
        <v>28</v>
      </c>
      <c r="B5" s="25">
        <f t="shared" si="1"/>
        <v>541970000</v>
      </c>
      <c r="C5" s="26">
        <v>5.4197E8</v>
      </c>
      <c r="D5" s="25">
        <f t="shared" si="2"/>
        <v>541970000</v>
      </c>
    </row>
    <row r="6">
      <c r="A6" s="6" t="s">
        <v>29</v>
      </c>
      <c r="B6" s="27">
        <v>0.02</v>
      </c>
      <c r="C6" s="27">
        <v>0.035</v>
      </c>
      <c r="D6" s="27">
        <v>0.05</v>
      </c>
    </row>
    <row r="7">
      <c r="A7" s="6" t="s">
        <v>30</v>
      </c>
      <c r="B7" s="27">
        <v>0.19</v>
      </c>
      <c r="C7" s="17">
        <v>0.21</v>
      </c>
      <c r="D7" s="27">
        <v>0.23</v>
      </c>
    </row>
    <row r="8">
      <c r="A8" s="6" t="s">
        <v>31</v>
      </c>
      <c r="B8" s="27">
        <v>0.27</v>
      </c>
      <c r="C8" s="17">
        <v>0.27</v>
      </c>
      <c r="D8" s="27">
        <v>0.27</v>
      </c>
    </row>
    <row r="9">
      <c r="A9" s="6" t="s">
        <v>32</v>
      </c>
      <c r="B9" s="27">
        <v>0.05</v>
      </c>
      <c r="C9" s="28">
        <f>'Historical Financials'!L26</f>
        <v>0.05483409438</v>
      </c>
      <c r="D9" s="27">
        <v>0.057</v>
      </c>
    </row>
    <row r="10">
      <c r="A10" s="6" t="s">
        <v>33</v>
      </c>
      <c r="B10" s="27">
        <v>0.06</v>
      </c>
      <c r="C10" s="28">
        <f>'Historical Financials'!L25</f>
        <v>0.05571493084</v>
      </c>
      <c r="D10" s="27">
        <v>0.05</v>
      </c>
    </row>
    <row r="11">
      <c r="A11" s="6" t="s">
        <v>34</v>
      </c>
      <c r="B11" s="27">
        <v>0.01</v>
      </c>
      <c r="C11" s="27">
        <v>0.005</v>
      </c>
      <c r="D11" s="27">
        <v>0.0</v>
      </c>
    </row>
    <row r="12">
      <c r="A12" s="6" t="s">
        <v>35</v>
      </c>
      <c r="B12" s="27">
        <v>0.12</v>
      </c>
      <c r="C12" s="27">
        <v>0.11</v>
      </c>
      <c r="D12" s="27">
        <v>0.1</v>
      </c>
    </row>
    <row r="13">
      <c r="A13" s="6" t="s">
        <v>36</v>
      </c>
      <c r="B13" s="27">
        <v>0.015</v>
      </c>
      <c r="C13" s="27">
        <v>0.02</v>
      </c>
      <c r="D13" s="27">
        <v>0.025</v>
      </c>
    </row>
    <row r="14">
      <c r="A14" s="6" t="s">
        <v>37</v>
      </c>
      <c r="B14" s="27">
        <v>0.02</v>
      </c>
      <c r="C14" s="27">
        <v>0.03</v>
      </c>
      <c r="D14" s="27">
        <v>0.04</v>
      </c>
    </row>
    <row r="15">
      <c r="A15" s="6" t="s">
        <v>38</v>
      </c>
      <c r="B15" s="27">
        <v>0.12</v>
      </c>
      <c r="C15" s="27">
        <v>0.11</v>
      </c>
      <c r="D15" s="27">
        <v>0.1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</cols>
  <sheetData>
    <row r="1">
      <c r="A1" s="19"/>
      <c r="B1" s="29">
        <v>2016.0</v>
      </c>
      <c r="C1" s="29">
        <v>2017.0</v>
      </c>
      <c r="D1" s="29">
        <v>2018.0</v>
      </c>
      <c r="E1" s="29">
        <v>2019.0</v>
      </c>
      <c r="F1" s="29">
        <v>2020.0</v>
      </c>
      <c r="G1" s="29">
        <v>2021.0</v>
      </c>
      <c r="H1" s="29">
        <v>2022.0</v>
      </c>
      <c r="I1" s="29">
        <v>2023.0</v>
      </c>
      <c r="J1" s="29">
        <v>2024.0</v>
      </c>
      <c r="K1" s="30">
        <v>2025.0</v>
      </c>
      <c r="L1" s="30" t="s">
        <v>39</v>
      </c>
      <c r="M1" s="3"/>
      <c r="N1" s="3"/>
    </row>
    <row r="2">
      <c r="A2" s="6" t="s">
        <v>40</v>
      </c>
      <c r="B2" s="26">
        <v>2.482E8</v>
      </c>
      <c r="C2" s="26">
        <v>2.58139E8</v>
      </c>
      <c r="D2" s="26">
        <v>2.67992E8</v>
      </c>
      <c r="E2" s="26">
        <v>2.74107E8</v>
      </c>
      <c r="F2" s="26">
        <v>3.29448E8</v>
      </c>
      <c r="G2" s="26">
        <v>3.75886E8</v>
      </c>
      <c r="H2" s="26">
        <v>3.70174E8</v>
      </c>
      <c r="I2" s="26">
        <v>3.8252E8</v>
      </c>
      <c r="J2" s="26">
        <v>4.04198E8</v>
      </c>
      <c r="K2" s="26">
        <v>4.1744E8</v>
      </c>
      <c r="L2" s="15">
        <f>IFERROR(__xludf.DUMMYFUNCTION("IFERROR(AVERAGE(FILTER(B2:K2,B2:K2&lt;&gt;"""")),"""")"),3.328104E8)</f>
        <v>332810400</v>
      </c>
    </row>
    <row r="3">
      <c r="A3" s="6" t="s">
        <v>29</v>
      </c>
      <c r="B3" s="31"/>
      <c r="C3" s="31">
        <f t="shared" ref="C3:K3" si="1">IFERROR(C2/B2-1,"")</f>
        <v>0.0400443191</v>
      </c>
      <c r="D3" s="31">
        <f t="shared" si="1"/>
        <v>0.03816935837</v>
      </c>
      <c r="E3" s="31">
        <f t="shared" si="1"/>
        <v>0.02281784531</v>
      </c>
      <c r="F3" s="31">
        <f t="shared" si="1"/>
        <v>0.2018956101</v>
      </c>
      <c r="G3" s="31">
        <f t="shared" si="1"/>
        <v>0.1409569947</v>
      </c>
      <c r="H3" s="31">
        <f t="shared" si="1"/>
        <v>-0.01519609669</v>
      </c>
      <c r="I3" s="31">
        <f t="shared" si="1"/>
        <v>0.03335188317</v>
      </c>
      <c r="J3" s="31">
        <f t="shared" si="1"/>
        <v>0.05667154659</v>
      </c>
      <c r="K3" s="31">
        <f t="shared" si="1"/>
        <v>0.03276117151</v>
      </c>
      <c r="L3" s="32">
        <f>IFERROR(__xludf.DUMMYFUNCTION("IFERROR(AVERAGE(FILTER(C3:K3,C3:K3&lt;&gt;"""")),"""")"),0.061274736909413194)</f>
        <v>0.06127473691</v>
      </c>
    </row>
    <row r="4">
      <c r="A4" s="6" t="s">
        <v>41</v>
      </c>
      <c r="B4" s="26">
        <v>5.0204E7</v>
      </c>
      <c r="C4" s="26">
        <v>4.8941E7</v>
      </c>
      <c r="D4" s="26">
        <v>4.3307E7</v>
      </c>
      <c r="E4" s="26">
        <v>5.2289E7</v>
      </c>
      <c r="F4" s="26">
        <v>5.7227E7</v>
      </c>
      <c r="G4" s="26">
        <v>9.366E7</v>
      </c>
      <c r="H4" s="26">
        <v>7.9726E7</v>
      </c>
      <c r="I4" s="26">
        <v>8.0979E7</v>
      </c>
      <c r="J4" s="26">
        <v>8.1799E7</v>
      </c>
      <c r="K4" s="26">
        <v>9.7657E7</v>
      </c>
      <c r="L4" s="15">
        <f>IFERROR(__xludf.DUMMYFUNCTION("IFERROR(AVERAGE(FILTER(B4:K4,B4:K4&lt;&gt;"""")),"""")"),6.85789E7)</f>
        <v>68578900</v>
      </c>
    </row>
    <row r="5">
      <c r="A5" s="6" t="s">
        <v>30</v>
      </c>
      <c r="B5" s="31">
        <f t="shared" ref="B5:K5" si="2">IFERROR(B4/B2,"")</f>
        <v>0.202272361</v>
      </c>
      <c r="C5" s="31">
        <f t="shared" si="2"/>
        <v>0.1895916541</v>
      </c>
      <c r="D5" s="31">
        <f t="shared" si="2"/>
        <v>0.1615981074</v>
      </c>
      <c r="E5" s="31">
        <f t="shared" si="2"/>
        <v>0.1907612721</v>
      </c>
      <c r="F5" s="31">
        <f t="shared" si="2"/>
        <v>0.1737057138</v>
      </c>
      <c r="G5" s="31">
        <f t="shared" si="2"/>
        <v>0.2491712913</v>
      </c>
      <c r="H5" s="31">
        <f t="shared" si="2"/>
        <v>0.2153743915</v>
      </c>
      <c r="I5" s="31">
        <f t="shared" si="2"/>
        <v>0.2116987347</v>
      </c>
      <c r="J5" s="31">
        <f t="shared" si="2"/>
        <v>0.2023735892</v>
      </c>
      <c r="K5" s="31">
        <f t="shared" si="2"/>
        <v>0.2339426025</v>
      </c>
      <c r="L5" s="32">
        <f>IFERROR(__xludf.DUMMYFUNCTION("IFERROR(AVERAGE(FILTER(B5:K5,B5:K5&lt;&gt;"""")),"""")"),0.203048971758833)</f>
        <v>0.2030489718</v>
      </c>
    </row>
    <row r="6">
      <c r="A6" s="6" t="s">
        <v>42</v>
      </c>
      <c r="B6" s="26">
        <v>3.2241E7</v>
      </c>
      <c r="C6" s="26">
        <v>3.2782E7</v>
      </c>
      <c r="D6" s="26">
        <v>1.8266E7</v>
      </c>
      <c r="E6" s="26">
        <v>2.2416E7</v>
      </c>
      <c r="F6" s="26">
        <v>2.4642E7</v>
      </c>
      <c r="G6" s="26">
        <v>4.4304E7</v>
      </c>
      <c r="H6" s="26">
        <v>5.7194E7</v>
      </c>
      <c r="I6" s="26">
        <v>4.6429E7</v>
      </c>
      <c r="J6" s="26">
        <v>5.008E7</v>
      </c>
      <c r="K6" s="26">
        <v>7.0263E7</v>
      </c>
      <c r="L6" s="15">
        <f>IFERROR(__xludf.DUMMYFUNCTION("IFERROR(AVERAGE(FILTER(B6:K6,B6:K6&lt;&gt;"""")),"""")"),3.98617E7)</f>
        <v>39861700</v>
      </c>
    </row>
    <row r="7">
      <c r="A7" s="6" t="s">
        <v>43</v>
      </c>
      <c r="B7" s="26">
        <v>1.266E7</v>
      </c>
      <c r="C7" s="26">
        <v>-4411000.0</v>
      </c>
      <c r="D7" s="26">
        <v>5754000.0</v>
      </c>
      <c r="E7" s="26">
        <v>7395000.0</v>
      </c>
      <c r="F7" s="26">
        <v>8552000.0</v>
      </c>
      <c r="G7" s="26">
        <v>1.1145E7</v>
      </c>
      <c r="H7" s="26">
        <v>1.5813E7</v>
      </c>
      <c r="I7" s="26">
        <v>1.3016E7</v>
      </c>
      <c r="J7" s="26">
        <v>1.7127E7</v>
      </c>
      <c r="K7" s="26">
        <v>1.8756E7</v>
      </c>
      <c r="L7" s="15">
        <f>IFERROR(__xludf.DUMMYFUNCTION("IFERROR(AVERAGE(FILTER(B7:K7,B7:K7&lt;&gt;"""")),"""")"),1.05807E7)</f>
        <v>10580700</v>
      </c>
    </row>
    <row r="8">
      <c r="A8" s="6" t="s">
        <v>31</v>
      </c>
      <c r="B8" s="33">
        <f t="shared" ref="B8:K8" si="3">IFERROR(B7/B6,"")</f>
        <v>0.3926677212</v>
      </c>
      <c r="C8" s="33">
        <f t="shared" si="3"/>
        <v>-0.1345555488</v>
      </c>
      <c r="D8" s="33">
        <f t="shared" si="3"/>
        <v>0.3150114968</v>
      </c>
      <c r="E8" s="33">
        <f t="shared" si="3"/>
        <v>0.3298982869</v>
      </c>
      <c r="F8" s="33">
        <f t="shared" si="3"/>
        <v>0.3470497525</v>
      </c>
      <c r="G8" s="33">
        <f t="shared" si="3"/>
        <v>0.2515574215</v>
      </c>
      <c r="H8" s="33">
        <f t="shared" si="3"/>
        <v>0.2764800504</v>
      </c>
      <c r="I8" s="33">
        <f t="shared" si="3"/>
        <v>0.2803420276</v>
      </c>
      <c r="J8" s="33">
        <f t="shared" si="3"/>
        <v>0.3419928115</v>
      </c>
      <c r="K8" s="33">
        <f t="shared" si="3"/>
        <v>0.2669399257</v>
      </c>
      <c r="L8" s="32">
        <f>IFERROR(__xludf.DUMMYFUNCTION("IFERROR(AVERAGE(FILTER(B8:K8,B8:K8&lt;&gt;"""")),"""")"),0.26673839452388426)</f>
        <v>0.2667383945</v>
      </c>
    </row>
    <row r="9">
      <c r="A9" s="6" t="s">
        <v>44</v>
      </c>
      <c r="B9" s="26">
        <v>1.9581E7</v>
      </c>
      <c r="C9" s="26">
        <v>3.7193E7</v>
      </c>
      <c r="D9" s="26">
        <v>1.1645E7</v>
      </c>
      <c r="E9" s="26">
        <v>1.4533E7</v>
      </c>
      <c r="F9" s="26">
        <v>1.609E7</v>
      </c>
      <c r="G9" s="26">
        <v>3.3159E7</v>
      </c>
      <c r="H9" s="26">
        <v>4.1381E7</v>
      </c>
      <c r="I9" s="26">
        <v>3.3413E7</v>
      </c>
      <c r="J9" s="26">
        <v>3.2953E7</v>
      </c>
      <c r="K9" s="26">
        <v>5.1507E7</v>
      </c>
      <c r="L9" s="15">
        <f>IFERROR(__xludf.DUMMYFUNCTION("IFERROR(AVERAGE(FILTER(B9:K9,B9:K9&lt;&gt;"""")),"""")"),2.91455E7)</f>
        <v>29145500</v>
      </c>
    </row>
    <row r="10">
      <c r="A10" s="6" t="s">
        <v>45</v>
      </c>
      <c r="B10" s="31">
        <f t="shared" ref="B10:K10" si="4">IFERROR(B9/B2,"")</f>
        <v>0.07889202256</v>
      </c>
      <c r="C10" s="31">
        <f t="shared" si="4"/>
        <v>0.1440812895</v>
      </c>
      <c r="D10" s="31">
        <f t="shared" si="4"/>
        <v>0.04345278964</v>
      </c>
      <c r="E10" s="31">
        <f t="shared" si="4"/>
        <v>0.05301944131</v>
      </c>
      <c r="F10" s="31">
        <f t="shared" si="4"/>
        <v>0.04883927054</v>
      </c>
      <c r="G10" s="31">
        <f t="shared" si="4"/>
        <v>0.088215576</v>
      </c>
      <c r="H10" s="31">
        <f t="shared" si="4"/>
        <v>0.11178797</v>
      </c>
      <c r="I10" s="31">
        <f t="shared" si="4"/>
        <v>0.08734968106</v>
      </c>
      <c r="J10" s="31">
        <f t="shared" si="4"/>
        <v>0.08152687544</v>
      </c>
      <c r="K10" s="31">
        <f t="shared" si="4"/>
        <v>0.1233877923</v>
      </c>
      <c r="L10" s="32">
        <f>IFERROR(__xludf.DUMMYFUNCTION("IFERROR(AVERAGE(FILTER(B10:K10,B10:K10&lt;&gt;"""")),"""")"),0.08605527083292382)</f>
        <v>0.08605527083</v>
      </c>
    </row>
    <row r="11">
      <c r="A11" s="6" t="s">
        <v>46</v>
      </c>
      <c r="B11" s="34">
        <v>1.3919E7</v>
      </c>
      <c r="C11" s="34">
        <v>1.4374E7</v>
      </c>
      <c r="D11" s="34">
        <v>1.5617E7</v>
      </c>
      <c r="E11" s="34">
        <v>1.6355E7</v>
      </c>
      <c r="F11" s="34">
        <v>1.7962E7</v>
      </c>
      <c r="G11" s="34">
        <v>1.9279E7</v>
      </c>
      <c r="H11" s="34">
        <v>1.9175E7</v>
      </c>
      <c r="I11" s="34">
        <v>2.0205E7</v>
      </c>
      <c r="J11" s="34">
        <v>2.1897E7</v>
      </c>
      <c r="K11" s="34">
        <v>2.2555E7</v>
      </c>
      <c r="L11" s="15">
        <f>IFERROR(__xludf.DUMMYFUNCTION("IFERROR(AVERAGE(FILTER(B11:K11,B11:K11&lt;&gt;"""")),"""")"),1.81338E7)</f>
        <v>18133800</v>
      </c>
    </row>
    <row r="12">
      <c r="A12" s="6" t="s">
        <v>47</v>
      </c>
      <c r="B12" s="26">
        <v>5.0035E7</v>
      </c>
      <c r="C12" s="26">
        <v>4.523E7</v>
      </c>
      <c r="D12" s="26">
        <v>4.8994E7</v>
      </c>
      <c r="E12" s="26">
        <v>4.3216E7</v>
      </c>
      <c r="F12" s="26">
        <v>8.2915E7</v>
      </c>
      <c r="G12" s="26">
        <v>8.4246E7</v>
      </c>
      <c r="H12" s="26">
        <v>6.1024E7</v>
      </c>
      <c r="I12" s="26">
        <v>7.559E7</v>
      </c>
      <c r="J12" s="26">
        <v>5.1996E7</v>
      </c>
      <c r="K12" s="26">
        <v>6.0693E7</v>
      </c>
      <c r="L12" s="15">
        <f>IFERROR(__xludf.DUMMYFUNCTION("IFERROR(AVERAGE(FILTER(B12:K12,B12:K12&lt;&gt;"""")),"""")"),6.03939E7)</f>
        <v>60393900</v>
      </c>
    </row>
    <row r="13">
      <c r="A13" s="6" t="s">
        <v>48</v>
      </c>
      <c r="B13" s="26">
        <v>1.6846E7</v>
      </c>
      <c r="C13" s="26">
        <v>1.6395E7</v>
      </c>
      <c r="D13" s="26">
        <v>1.3526E7</v>
      </c>
      <c r="E13" s="26">
        <v>1.5379E7</v>
      </c>
      <c r="F13" s="26">
        <v>1.5198E7</v>
      </c>
      <c r="G13" s="26">
        <v>2.4883E7</v>
      </c>
      <c r="H13" s="26">
        <v>2.6081E7</v>
      </c>
      <c r="I13" s="26">
        <v>1.8039E7</v>
      </c>
      <c r="J13" s="26">
        <v>1.6098E7</v>
      </c>
      <c r="K13" s="26">
        <v>2.0628E7</v>
      </c>
      <c r="L13" s="15">
        <f>IFERROR(__xludf.DUMMYFUNCTION("IFERROR(AVERAGE(FILTER(B13:K13,B13:K13&lt;&gt;"""")),"""")"),1.83073E7)</f>
        <v>18307300</v>
      </c>
    </row>
    <row r="14">
      <c r="A14" s="6" t="s">
        <v>49</v>
      </c>
      <c r="B14" s="35">
        <f t="shared" ref="B14:K14" si="5">IFERROR(B12-B13,"")</f>
        <v>33189000</v>
      </c>
      <c r="C14" s="35">
        <f t="shared" si="5"/>
        <v>28835000</v>
      </c>
      <c r="D14" s="35">
        <f t="shared" si="5"/>
        <v>35468000</v>
      </c>
      <c r="E14" s="35">
        <f t="shared" si="5"/>
        <v>27837000</v>
      </c>
      <c r="F14" s="35">
        <f t="shared" si="5"/>
        <v>67717000</v>
      </c>
      <c r="G14" s="35">
        <f t="shared" si="5"/>
        <v>59363000</v>
      </c>
      <c r="H14" s="35">
        <f t="shared" si="5"/>
        <v>34943000</v>
      </c>
      <c r="I14" s="35">
        <f t="shared" si="5"/>
        <v>57551000</v>
      </c>
      <c r="J14" s="35">
        <f t="shared" si="5"/>
        <v>35898000</v>
      </c>
      <c r="K14" s="35">
        <f t="shared" si="5"/>
        <v>40065000</v>
      </c>
      <c r="L14" s="15">
        <f>IFERROR(__xludf.DUMMYFUNCTION("IFERROR(AVERAGE(FILTER(B14:K14,B14:K14&lt;&gt;"""")),"""")"),4.20866E7)</f>
        <v>42086600</v>
      </c>
    </row>
    <row r="15">
      <c r="A15" s="6" t="s">
        <v>27</v>
      </c>
      <c r="B15" s="26">
        <v>3286000.0</v>
      </c>
      <c r="C15" s="26">
        <v>952000.0</v>
      </c>
      <c r="D15" s="26">
        <v>644000.0</v>
      </c>
      <c r="E15" s="26">
        <v>716000.0</v>
      </c>
      <c r="F15" s="26">
        <v>889000.0</v>
      </c>
      <c r="G15" s="26">
        <v>1148000.0</v>
      </c>
      <c r="H15" s="26">
        <v>1170000.0</v>
      </c>
      <c r="I15" s="26">
        <v>1.5823E7</v>
      </c>
      <c r="J15" s="26">
        <v>1165000.0</v>
      </c>
      <c r="K15" s="26">
        <v>1688000.0</v>
      </c>
      <c r="L15" s="15">
        <f>IFERROR(__xludf.DUMMYFUNCTION("IFERROR(AVERAGE(FILTER(B15:K15,B15:K15&lt;&gt;"""")),"""")"),2748100.0)</f>
        <v>2748100</v>
      </c>
    </row>
    <row r="16">
      <c r="A16" s="6" t="s">
        <v>28</v>
      </c>
      <c r="B16" s="26">
        <v>3.37267E8</v>
      </c>
      <c r="C16" s="26">
        <v>3.53846E8</v>
      </c>
      <c r="D16" s="26">
        <v>3.6638E8</v>
      </c>
      <c r="E16" s="26">
        <v>4.90854E8</v>
      </c>
      <c r="F16" s="26">
        <v>4.58015E8</v>
      </c>
      <c r="G16" s="26">
        <v>5.60412E8</v>
      </c>
      <c r="H16" s="26">
        <v>5.95432E8</v>
      </c>
      <c r="I16" s="26">
        <v>5.88833E8</v>
      </c>
      <c r="J16" s="26">
        <v>5.46833E8</v>
      </c>
      <c r="K16" s="26">
        <v>5.4197E8</v>
      </c>
      <c r="L16" s="15">
        <f>IFERROR(__xludf.DUMMYFUNCTION("IFERROR(AVERAGE(FILTER(B16:K16,B16:K16&lt;&gt;"""")),"""")"),4.839842E8)</f>
        <v>483984200</v>
      </c>
    </row>
    <row r="17">
      <c r="A17" s="6" t="s">
        <v>50</v>
      </c>
      <c r="B17" s="26">
        <v>1.75734E8</v>
      </c>
      <c r="C17" s="26">
        <v>1.97656E8</v>
      </c>
      <c r="D17" s="26">
        <v>2.21492E8</v>
      </c>
      <c r="E17" s="26">
        <v>2.26569E8</v>
      </c>
      <c r="F17" s="26">
        <v>2.40502E8</v>
      </c>
      <c r="G17" s="26">
        <v>1.28015E8</v>
      </c>
      <c r="H17" s="26">
        <v>1.37134E8</v>
      </c>
      <c r="I17" s="26">
        <v>1.7306E8</v>
      </c>
      <c r="J17" s="26">
        <v>2.0855E8</v>
      </c>
      <c r="K17" s="26">
        <v>2.54776E8</v>
      </c>
      <c r="L17" s="15">
        <f>IFERROR(__xludf.DUMMYFUNCTION("IFERROR(AVERAGE(FILTER(B17:K17,B17:K17&lt;&gt;"""")),"""")"),1.963488E8)</f>
        <v>196348800</v>
      </c>
    </row>
    <row r="18">
      <c r="A18" s="6" t="s">
        <v>51</v>
      </c>
      <c r="B18" s="36">
        <f t="shared" ref="B18:K18" si="6">IFERROR(B16+B17-B15,"")</f>
        <v>509715000</v>
      </c>
      <c r="C18" s="36">
        <f t="shared" si="6"/>
        <v>550550000</v>
      </c>
      <c r="D18" s="36">
        <f t="shared" si="6"/>
        <v>587228000</v>
      </c>
      <c r="E18" s="36">
        <f t="shared" si="6"/>
        <v>716707000</v>
      </c>
      <c r="F18" s="36">
        <f t="shared" si="6"/>
        <v>697628000</v>
      </c>
      <c r="G18" s="36">
        <f t="shared" si="6"/>
        <v>687279000</v>
      </c>
      <c r="H18" s="36">
        <f t="shared" si="6"/>
        <v>731396000</v>
      </c>
      <c r="I18" s="36">
        <f t="shared" si="6"/>
        <v>746070000</v>
      </c>
      <c r="J18" s="36">
        <f t="shared" si="6"/>
        <v>754218000</v>
      </c>
      <c r="K18" s="36">
        <f t="shared" si="6"/>
        <v>795058000</v>
      </c>
      <c r="L18" s="15">
        <f>IFERROR(__xludf.DUMMYFUNCTION("IFERROR(AVERAGE(FILTER(B18:K18,B18:K18&lt;&gt;"""")),"""")"),6.775849E8)</f>
        <v>677584900</v>
      </c>
    </row>
    <row r="19">
      <c r="A19" s="6" t="s">
        <v>52</v>
      </c>
      <c r="B19" s="37">
        <v>1.746E7</v>
      </c>
      <c r="C19" s="37">
        <v>1.7715E7</v>
      </c>
      <c r="D19" s="37">
        <v>1.8374E7</v>
      </c>
      <c r="E19" s="37">
        <v>1.8005E7</v>
      </c>
      <c r="F19" s="37">
        <v>1.8077E7</v>
      </c>
      <c r="G19" s="37">
        <v>1.8266E7</v>
      </c>
      <c r="H19" s="37">
        <v>1.571E7</v>
      </c>
      <c r="I19" s="37">
        <v>1.5455E7</v>
      </c>
      <c r="J19" s="37">
        <v>1.5443E7</v>
      </c>
      <c r="K19" s="37">
        <v>1.5634E7</v>
      </c>
      <c r="L19" s="15">
        <f>IFERROR(__xludf.DUMMYFUNCTION("IFERROR(AVERAGE(FILTER(B19:K19,B19:K19&lt;&gt;"""")),"""")"),1.70139E7)</f>
        <v>17013900</v>
      </c>
    </row>
    <row r="20">
      <c r="A20" s="6" t="s">
        <v>53</v>
      </c>
      <c r="B20" s="38">
        <v>0.15</v>
      </c>
      <c r="C20" s="38">
        <v>0.225</v>
      </c>
      <c r="D20" s="38">
        <v>0.3</v>
      </c>
      <c r="E20" s="38">
        <v>0.3</v>
      </c>
      <c r="F20" s="38">
        <v>0.3375</v>
      </c>
      <c r="G20" s="38">
        <v>0.4125</v>
      </c>
      <c r="H20" s="38">
        <v>0.45</v>
      </c>
      <c r="I20" s="38">
        <v>0.45</v>
      </c>
      <c r="J20" s="38">
        <v>0.45</v>
      </c>
      <c r="K20" s="38">
        <v>0.45</v>
      </c>
      <c r="L20" s="15">
        <f>IFERROR(__xludf.DUMMYFUNCTION("IFERROR(AVERAGE(FILTER(B20:K20,B20:K20&lt;&gt;"""")),"""")"),0.3525000000000001)</f>
        <v>0.3525</v>
      </c>
    </row>
    <row r="21">
      <c r="A21" s="6" t="s">
        <v>54</v>
      </c>
      <c r="B21" s="36">
        <f t="shared" ref="B21:K21" si="7">IFERROR(B20*B19,"")</f>
        <v>2619000</v>
      </c>
      <c r="C21" s="36">
        <f t="shared" si="7"/>
        <v>3985875</v>
      </c>
      <c r="D21" s="36">
        <f t="shared" si="7"/>
        <v>5512200</v>
      </c>
      <c r="E21" s="36">
        <f t="shared" si="7"/>
        <v>5401500</v>
      </c>
      <c r="F21" s="36">
        <f t="shared" si="7"/>
        <v>6100987.5</v>
      </c>
      <c r="G21" s="36">
        <f t="shared" si="7"/>
        <v>7534725</v>
      </c>
      <c r="H21" s="36">
        <f t="shared" si="7"/>
        <v>7069500</v>
      </c>
      <c r="I21" s="36">
        <f t="shared" si="7"/>
        <v>6954750</v>
      </c>
      <c r="J21" s="36">
        <f t="shared" si="7"/>
        <v>6949350</v>
      </c>
      <c r="K21" s="36">
        <f t="shared" si="7"/>
        <v>7035300</v>
      </c>
      <c r="L21" s="15">
        <f>IFERROR(__xludf.DUMMYFUNCTION("IFERROR(AVERAGE(FILTER(B21:K21,B21:K21&lt;&gt;"""")),"""")"),5916318.75)</f>
        <v>5916318.75</v>
      </c>
    </row>
    <row r="22">
      <c r="A22" s="6" t="s">
        <v>55</v>
      </c>
      <c r="B22" s="39">
        <f t="shared" ref="B22:K22" si="8">B4*(1-B8)</f>
        <v>30490509.72</v>
      </c>
      <c r="C22" s="39">
        <f t="shared" si="8"/>
        <v>55526283.11</v>
      </c>
      <c r="D22" s="39">
        <f t="shared" si="8"/>
        <v>29664797.11</v>
      </c>
      <c r="E22" s="39">
        <f t="shared" si="8"/>
        <v>35038948.47</v>
      </c>
      <c r="F22" s="39">
        <f t="shared" si="8"/>
        <v>37366383.82</v>
      </c>
      <c r="G22" s="39">
        <f t="shared" si="8"/>
        <v>70099131.91</v>
      </c>
      <c r="H22" s="39">
        <f t="shared" si="8"/>
        <v>57683351.51</v>
      </c>
      <c r="I22" s="39">
        <f t="shared" si="8"/>
        <v>58277182.95</v>
      </c>
      <c r="J22" s="39">
        <f t="shared" si="8"/>
        <v>53824330.01</v>
      </c>
      <c r="K22" s="39">
        <f t="shared" si="8"/>
        <v>71588447.68</v>
      </c>
      <c r="L22" s="15">
        <f>IFERROR(__xludf.DUMMYFUNCTION("IFERROR(AVERAGE(FILTER(B22:K22,B22:K22&lt;&gt;"""")),"""")"),4.9955936628163986E7)</f>
        <v>49955936.63</v>
      </c>
    </row>
    <row r="23">
      <c r="A23" s="6" t="s">
        <v>56</v>
      </c>
      <c r="B23" s="31">
        <f t="shared" ref="B23:K23" si="9">IFERROR(B22/B18,"")</f>
        <v>0.0598187413</v>
      </c>
      <c r="C23" s="31">
        <f t="shared" si="9"/>
        <v>0.1008560224</v>
      </c>
      <c r="D23" s="31">
        <f t="shared" si="9"/>
        <v>0.05051665981</v>
      </c>
      <c r="E23" s="31">
        <f t="shared" si="9"/>
        <v>0.04888880459</v>
      </c>
      <c r="F23" s="31">
        <f t="shared" si="9"/>
        <v>0.05356204713</v>
      </c>
      <c r="G23" s="31">
        <f t="shared" si="9"/>
        <v>0.1019951605</v>
      </c>
      <c r="H23" s="31">
        <f t="shared" si="9"/>
        <v>0.0788674692</v>
      </c>
      <c r="I23" s="31">
        <f t="shared" si="9"/>
        <v>0.07811221862</v>
      </c>
      <c r="J23" s="31">
        <f t="shared" si="9"/>
        <v>0.07136441985</v>
      </c>
      <c r="K23" s="31">
        <f t="shared" si="9"/>
        <v>0.09004179277</v>
      </c>
      <c r="L23" s="32">
        <f>IFERROR(__xludf.DUMMYFUNCTION("IFERROR(AVERAGE(FILTER(B23:K23,B23:K23&lt;&gt;"""")),"""")"),0.07340233361429863)</f>
        <v>0.07340233361</v>
      </c>
    </row>
    <row r="24">
      <c r="A24" s="6" t="s">
        <v>57</v>
      </c>
      <c r="B24" s="40">
        <f t="shared" ref="B24:K24" si="10">IFERROR(B16/B17,0)</f>
        <v>1.919190367</v>
      </c>
      <c r="C24" s="40">
        <f t="shared" si="10"/>
        <v>1.790211276</v>
      </c>
      <c r="D24" s="40">
        <f t="shared" si="10"/>
        <v>1.654145522</v>
      </c>
      <c r="E24" s="40">
        <f t="shared" si="10"/>
        <v>2.166465845</v>
      </c>
      <c r="F24" s="40">
        <f t="shared" si="10"/>
        <v>1.904412437</v>
      </c>
      <c r="G24" s="40">
        <f t="shared" si="10"/>
        <v>4.377705738</v>
      </c>
      <c r="H24" s="40">
        <f t="shared" si="10"/>
        <v>4.341972086</v>
      </c>
      <c r="I24" s="40">
        <f t="shared" si="10"/>
        <v>3.402478909</v>
      </c>
      <c r="J24" s="40">
        <f t="shared" si="10"/>
        <v>2.622071446</v>
      </c>
      <c r="K24" s="40">
        <f t="shared" si="10"/>
        <v>2.127241184</v>
      </c>
      <c r="L24" s="41">
        <f>IFERROR(__xludf.DUMMYFUNCTION("IFERROR(AVERAGE(FILTER(B24:K24,B24:K24&lt;&gt;"""")),"""")"),2.6305894810227053)</f>
        <v>2.630589481</v>
      </c>
    </row>
    <row r="25">
      <c r="A25" s="6" t="s">
        <v>33</v>
      </c>
      <c r="B25" s="40">
        <f t="shared" ref="B25:K25" si="11">IFERROR(B13/B2,0)</f>
        <v>0.06787268332</v>
      </c>
      <c r="C25" s="40">
        <f t="shared" si="11"/>
        <v>0.06351229376</v>
      </c>
      <c r="D25" s="40">
        <f t="shared" si="11"/>
        <v>0.05047165587</v>
      </c>
      <c r="E25" s="40">
        <f t="shared" si="11"/>
        <v>0.05610582729</v>
      </c>
      <c r="F25" s="40">
        <f t="shared" si="11"/>
        <v>0.04613171123</v>
      </c>
      <c r="G25" s="40">
        <f t="shared" si="11"/>
        <v>0.06619826224</v>
      </c>
      <c r="H25" s="40">
        <f t="shared" si="11"/>
        <v>0.0704560558</v>
      </c>
      <c r="I25" s="40">
        <f t="shared" si="11"/>
        <v>0.04715831852</v>
      </c>
      <c r="J25" s="40">
        <f t="shared" si="11"/>
        <v>0.03982701547</v>
      </c>
      <c r="K25" s="40">
        <f t="shared" si="11"/>
        <v>0.04941548486</v>
      </c>
      <c r="L25" s="41">
        <f>IFERROR(__xludf.DUMMYFUNCTION("IFERROR(AVERAGE(FILTER(B25:K25,B25:K25&lt;&gt;"""")),"""")"),0.05571493083587918)</f>
        <v>0.05571493084</v>
      </c>
    </row>
    <row r="26">
      <c r="A26" s="6" t="s">
        <v>32</v>
      </c>
      <c r="B26" s="40">
        <f t="shared" ref="B26:K26" si="12">IFERROR(B11/B2,0)</f>
        <v>0.05607977438</v>
      </c>
      <c r="C26" s="40">
        <f t="shared" si="12"/>
        <v>0.05568317844</v>
      </c>
      <c r="D26" s="40">
        <f t="shared" si="12"/>
        <v>0.05827412759</v>
      </c>
      <c r="E26" s="40">
        <f t="shared" si="12"/>
        <v>0.05966648061</v>
      </c>
      <c r="F26" s="40">
        <f t="shared" si="12"/>
        <v>0.05452150263</v>
      </c>
      <c r="G26" s="40">
        <f t="shared" si="12"/>
        <v>0.05128948671</v>
      </c>
      <c r="H26" s="40">
        <f t="shared" si="12"/>
        <v>0.05179996434</v>
      </c>
      <c r="I26" s="40">
        <f t="shared" si="12"/>
        <v>0.05282076754</v>
      </c>
      <c r="J26" s="40">
        <f t="shared" si="12"/>
        <v>0.05417394445</v>
      </c>
      <c r="K26" s="40">
        <f t="shared" si="12"/>
        <v>0.05403171713</v>
      </c>
      <c r="L26" s="41">
        <f>IFERROR(__xludf.DUMMYFUNCTION("IFERROR(AVERAGE(FILTER(B26:K26,B26:K26&lt;&gt;"""")),"""")"),0.05483409438213749)</f>
        <v>0.05483409438</v>
      </c>
    </row>
    <row r="27">
      <c r="A27" s="6" t="s">
        <v>58</v>
      </c>
      <c r="B27" s="40">
        <f t="shared" ref="B27:K27" si="13">IFERROR(B14/B2,0)</f>
        <v>0.1337187752</v>
      </c>
      <c r="C27" s="40">
        <f t="shared" si="13"/>
        <v>0.1117033846</v>
      </c>
      <c r="D27" s="40">
        <f t="shared" si="13"/>
        <v>0.1323472342</v>
      </c>
      <c r="E27" s="40">
        <f t="shared" si="13"/>
        <v>0.1015552321</v>
      </c>
      <c r="F27" s="40">
        <f t="shared" si="13"/>
        <v>0.2055468541</v>
      </c>
      <c r="G27" s="40">
        <f t="shared" si="13"/>
        <v>0.1579282016</v>
      </c>
      <c r="H27" s="40">
        <f t="shared" si="13"/>
        <v>0.09439614884</v>
      </c>
      <c r="I27" s="40">
        <f t="shared" si="13"/>
        <v>0.1504522639</v>
      </c>
      <c r="J27" s="40">
        <f t="shared" si="13"/>
        <v>0.08881290853</v>
      </c>
      <c r="K27" s="40">
        <f t="shared" si="13"/>
        <v>0.09597786508</v>
      </c>
      <c r="L27" s="41">
        <f>IFERROR(__xludf.DUMMYFUNCTION("IFERROR(AVERAGE(FILTER(B27:K27,B27:K27&lt;&gt;"""")),"""")"),0.1272438868265448)</f>
        <v>0.1272438868</v>
      </c>
    </row>
    <row r="28">
      <c r="A28" s="6" t="s">
        <v>59</v>
      </c>
      <c r="B28" s="40">
        <f t="shared" ref="B28:K28" si="14">IFERROR(B21/B9,0)</f>
        <v>0.1337521066</v>
      </c>
      <c r="C28" s="40">
        <f t="shared" si="14"/>
        <v>0.1071673433</v>
      </c>
      <c r="D28" s="40">
        <f t="shared" si="14"/>
        <v>0.4733533705</v>
      </c>
      <c r="E28" s="40">
        <f t="shared" si="14"/>
        <v>0.3716713686</v>
      </c>
      <c r="F28" s="40">
        <f t="shared" si="14"/>
        <v>0.3791788378</v>
      </c>
      <c r="G28" s="40">
        <f t="shared" si="14"/>
        <v>0.2272301638</v>
      </c>
      <c r="H28" s="40">
        <f t="shared" si="14"/>
        <v>0.1708392741</v>
      </c>
      <c r="I28" s="40">
        <f t="shared" si="14"/>
        <v>0.2081450334</v>
      </c>
      <c r="J28" s="40">
        <f t="shared" si="14"/>
        <v>0.2108867174</v>
      </c>
      <c r="K28" s="40">
        <f t="shared" si="14"/>
        <v>0.1365892015</v>
      </c>
      <c r="L28" s="41">
        <f>IFERROR(__xludf.DUMMYFUNCTION("IFERROR(AVERAGE(FILTER(B28:K28,B28:K28&lt;&gt;"""")),"""")"),0.24188134169968772)</f>
        <v>0.2418813417</v>
      </c>
    </row>
    <row r="29">
      <c r="A29" s="6" t="s">
        <v>60</v>
      </c>
      <c r="B29" s="11">
        <f t="shared" ref="B29:K29" si="15">IFERROR(B17/B19,0)</f>
        <v>10.06494845</v>
      </c>
      <c r="C29" s="11">
        <f t="shared" si="15"/>
        <v>11.1575501</v>
      </c>
      <c r="D29" s="11">
        <f t="shared" si="15"/>
        <v>12.05464243</v>
      </c>
      <c r="E29" s="11">
        <f t="shared" si="15"/>
        <v>12.5836712</v>
      </c>
      <c r="F29" s="11">
        <f t="shared" si="15"/>
        <v>13.30430934</v>
      </c>
      <c r="G29" s="11">
        <f t="shared" si="15"/>
        <v>7.008376218</v>
      </c>
      <c r="H29" s="11">
        <f t="shared" si="15"/>
        <v>8.729089752</v>
      </c>
      <c r="I29" s="11">
        <f t="shared" si="15"/>
        <v>11.19767066</v>
      </c>
      <c r="J29" s="11">
        <f t="shared" si="15"/>
        <v>13.50450042</v>
      </c>
      <c r="K29" s="11">
        <f t="shared" si="15"/>
        <v>16.29627734</v>
      </c>
      <c r="L29" s="15">
        <f>IFERROR(__xludf.DUMMYFUNCTION("IFERROR(AVERAGE(FILTER(B29:K29,B29:K29&lt;&gt;"""")),"""")"),11.590103591948123)</f>
        <v>11.59010359</v>
      </c>
    </row>
    <row r="30">
      <c r="A30" s="42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>
      <c r="A31" s="43" t="s">
        <v>61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11.25"/>
    <col customWidth="1" min="3" max="7" width="11.63"/>
    <col customWidth="1" min="8" max="25" width="9.88"/>
  </cols>
  <sheetData>
    <row r="1">
      <c r="A1" s="19"/>
      <c r="B1" s="29" t="s">
        <v>62</v>
      </c>
      <c r="C1" s="29" t="s">
        <v>63</v>
      </c>
      <c r="D1" s="29" t="s">
        <v>64</v>
      </c>
      <c r="E1" s="29" t="s">
        <v>65</v>
      </c>
      <c r="F1" s="29" t="s">
        <v>66</v>
      </c>
      <c r="G1" s="29" t="s">
        <v>67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6" t="s">
        <v>40</v>
      </c>
      <c r="B2" s="9">
        <f>'Historical Financials'!K2</f>
        <v>417440000</v>
      </c>
      <c r="C2" s="36">
        <f>B2*(1+Inputs!$C$6)</f>
        <v>432050400</v>
      </c>
      <c r="D2" s="36">
        <f>C2*(1+Inputs!$C$6)</f>
        <v>447172164</v>
      </c>
      <c r="E2" s="36">
        <f>D2*(1+Inputs!$C$6)</f>
        <v>462823189.7</v>
      </c>
      <c r="F2" s="36">
        <f>E2*(1+Inputs!$C$6)</f>
        <v>479022001.4</v>
      </c>
      <c r="G2" s="36">
        <f>F2*(1+Inputs!$C$6)</f>
        <v>495787771.4</v>
      </c>
    </row>
    <row r="3">
      <c r="A3" s="6" t="s">
        <v>29</v>
      </c>
      <c r="B3" s="44">
        <f>'Historical Financials'!K3</f>
        <v>0.03276117151</v>
      </c>
      <c r="C3" s="31">
        <f>Inputs!$C$6</f>
        <v>0.035</v>
      </c>
      <c r="D3" s="31">
        <f>Inputs!$C$6</f>
        <v>0.035</v>
      </c>
      <c r="E3" s="31">
        <f>Inputs!$C$6</f>
        <v>0.035</v>
      </c>
      <c r="F3" s="31">
        <f>Inputs!$C$6</f>
        <v>0.035</v>
      </c>
      <c r="G3" s="31">
        <f>Inputs!$C$6</f>
        <v>0.035</v>
      </c>
    </row>
    <row r="4">
      <c r="A4" s="6" t="s">
        <v>41</v>
      </c>
      <c r="B4" s="9">
        <f>'Historical Financials'!K4</f>
        <v>97657000</v>
      </c>
      <c r="C4" s="36">
        <f t="shared" ref="C4:G4" si="1">C2*C5</f>
        <v>90730584</v>
      </c>
      <c r="D4" s="36">
        <f t="shared" si="1"/>
        <v>93906154.44</v>
      </c>
      <c r="E4" s="36">
        <f t="shared" si="1"/>
        <v>97192869.85</v>
      </c>
      <c r="F4" s="36">
        <f t="shared" si="1"/>
        <v>100594620.3</v>
      </c>
      <c r="G4" s="36">
        <f t="shared" si="1"/>
        <v>104115432</v>
      </c>
    </row>
    <row r="5">
      <c r="A5" s="6" t="s">
        <v>30</v>
      </c>
      <c r="B5" s="44">
        <f>'Historical Financials'!K5</f>
        <v>0.2339426025</v>
      </c>
      <c r="C5" s="40">
        <f>Inputs!$C$7</f>
        <v>0.21</v>
      </c>
      <c r="D5" s="40">
        <f>Inputs!$C$7</f>
        <v>0.21</v>
      </c>
      <c r="E5" s="40">
        <f>Inputs!$C$7</f>
        <v>0.21</v>
      </c>
      <c r="F5" s="40">
        <f>Inputs!$C$7</f>
        <v>0.21</v>
      </c>
      <c r="G5" s="40">
        <f>Inputs!$C$7</f>
        <v>0.21</v>
      </c>
    </row>
    <row r="6">
      <c r="A6" s="6" t="s">
        <v>31</v>
      </c>
      <c r="B6" s="44">
        <f>'Historical Financials'!K8</f>
        <v>0.2669399257</v>
      </c>
      <c r="C6" s="40">
        <f>Inputs!$C$8</f>
        <v>0.27</v>
      </c>
      <c r="D6" s="40">
        <f>Inputs!$C$8</f>
        <v>0.27</v>
      </c>
      <c r="E6" s="40">
        <f>Inputs!$C$8</f>
        <v>0.27</v>
      </c>
      <c r="F6" s="40">
        <f>Inputs!$C$8</f>
        <v>0.27</v>
      </c>
      <c r="G6" s="40">
        <f>Inputs!$C$8</f>
        <v>0.27</v>
      </c>
    </row>
    <row r="7">
      <c r="A7" s="6" t="s">
        <v>55</v>
      </c>
      <c r="B7" s="9">
        <f>'Historical Financials'!K22</f>
        <v>71588447.68</v>
      </c>
      <c r="C7" s="36">
        <f t="shared" ref="C7:G7" si="2">C4*(1-C6)</f>
        <v>66233326.32</v>
      </c>
      <c r="D7" s="36">
        <f t="shared" si="2"/>
        <v>68551492.74</v>
      </c>
      <c r="E7" s="36">
        <f t="shared" si="2"/>
        <v>70950794.99</v>
      </c>
      <c r="F7" s="36">
        <f t="shared" si="2"/>
        <v>73434072.81</v>
      </c>
      <c r="G7" s="36">
        <f t="shared" si="2"/>
        <v>76004265.36</v>
      </c>
    </row>
    <row r="8">
      <c r="A8" s="6" t="s">
        <v>46</v>
      </c>
      <c r="B8" s="9">
        <f>'Historical Financials'!K11</f>
        <v>22555000</v>
      </c>
      <c r="C8" s="36">
        <f t="shared" ref="C8:G8" si="3">C2*C9</f>
        <v>23691092.41</v>
      </c>
      <c r="D8" s="36">
        <f t="shared" si="3"/>
        <v>24520280.65</v>
      </c>
      <c r="E8" s="36">
        <f t="shared" si="3"/>
        <v>25378490.47</v>
      </c>
      <c r="F8" s="36">
        <f t="shared" si="3"/>
        <v>26266737.63</v>
      </c>
      <c r="G8" s="36">
        <f t="shared" si="3"/>
        <v>27186073.45</v>
      </c>
    </row>
    <row r="9">
      <c r="A9" s="6" t="s">
        <v>32</v>
      </c>
      <c r="B9" s="45">
        <f>'Historical Financials'!K26</f>
        <v>0.05403171713</v>
      </c>
      <c r="C9" s="31">
        <f>Inputs!$C$9</f>
        <v>0.05483409438</v>
      </c>
      <c r="D9" s="31">
        <f>Inputs!$C$9</f>
        <v>0.05483409438</v>
      </c>
      <c r="E9" s="31">
        <f>Inputs!$C$9</f>
        <v>0.05483409438</v>
      </c>
      <c r="F9" s="31">
        <f>Inputs!$C$9</f>
        <v>0.05483409438</v>
      </c>
      <c r="G9" s="31">
        <f>Inputs!$C$9</f>
        <v>0.05483409438</v>
      </c>
    </row>
    <row r="10">
      <c r="A10" s="6" t="s">
        <v>48</v>
      </c>
      <c r="B10" s="9">
        <f>'Historical Financials'!K13</f>
        <v>20628000</v>
      </c>
      <c r="C10" s="36">
        <f t="shared" ref="C10:G10" si="4">C2*C11</f>
        <v>24071658.15</v>
      </c>
      <c r="D10" s="36">
        <f t="shared" si="4"/>
        <v>24914166.19</v>
      </c>
      <c r="E10" s="36">
        <f t="shared" si="4"/>
        <v>25786162.01</v>
      </c>
      <c r="F10" s="36">
        <f t="shared" si="4"/>
        <v>26688677.68</v>
      </c>
      <c r="G10" s="36">
        <f t="shared" si="4"/>
        <v>27622781.39</v>
      </c>
    </row>
    <row r="11">
      <c r="A11" s="6" t="s">
        <v>33</v>
      </c>
      <c r="B11" s="45">
        <f>'Historical Financials'!K25</f>
        <v>0.04941548486</v>
      </c>
      <c r="C11" s="31">
        <f>Inputs!$C$10</f>
        <v>0.05571493084</v>
      </c>
      <c r="D11" s="31">
        <f>Inputs!$C$10</f>
        <v>0.05571493084</v>
      </c>
      <c r="E11" s="31">
        <f>Inputs!$C$10</f>
        <v>0.05571493084</v>
      </c>
      <c r="F11" s="31">
        <f>Inputs!$C$10</f>
        <v>0.05571493084</v>
      </c>
      <c r="G11" s="31">
        <f>Inputs!$C$10</f>
        <v>0.05571493084</v>
      </c>
    </row>
    <row r="12">
      <c r="A12" s="6" t="s">
        <v>68</v>
      </c>
      <c r="B12" s="11">
        <f>0</f>
        <v>0</v>
      </c>
      <c r="C12" s="36">
        <f>C2*Inputs!$C$11</f>
        <v>2160252</v>
      </c>
      <c r="D12" s="36">
        <f>D2*Inputs!$C$11</f>
        <v>2235860.82</v>
      </c>
      <c r="E12" s="36">
        <f>E2*Inputs!$C$11</f>
        <v>2314115.949</v>
      </c>
      <c r="F12" s="36">
        <f>F2*Inputs!$C$11</f>
        <v>2395110.007</v>
      </c>
      <c r="G12" s="36">
        <f>G2*Inputs!$C$11</f>
        <v>2478938.857</v>
      </c>
    </row>
    <row r="13">
      <c r="A13" s="6" t="s">
        <v>69</v>
      </c>
      <c r="B13" s="36">
        <f>IFERROR(B7+B8-B10-B12,"")</f>
        <v>73515447.68</v>
      </c>
      <c r="C13" s="36">
        <f t="shared" ref="C13:G13" si="5">C7+C8-C10-C12</f>
        <v>63692508.58</v>
      </c>
      <c r="D13" s="36">
        <f t="shared" si="5"/>
        <v>65921746.38</v>
      </c>
      <c r="E13" s="36">
        <f t="shared" si="5"/>
        <v>68229007.5</v>
      </c>
      <c r="F13" s="36">
        <f t="shared" si="5"/>
        <v>70617022.76</v>
      </c>
      <c r="G13" s="36">
        <f t="shared" si="5"/>
        <v>73088618.56</v>
      </c>
    </row>
    <row r="14">
      <c r="A14" s="6" t="s">
        <v>44</v>
      </c>
      <c r="B14" s="9">
        <f>'Historical Financials'!K9</f>
        <v>51507000</v>
      </c>
      <c r="C14" s="36">
        <f t="shared" ref="C14:G14" si="6">C7</f>
        <v>66233326.32</v>
      </c>
      <c r="D14" s="36">
        <f t="shared" si="6"/>
        <v>68551492.74</v>
      </c>
      <c r="E14" s="36">
        <f t="shared" si="6"/>
        <v>70950794.99</v>
      </c>
      <c r="F14" s="36">
        <f t="shared" si="6"/>
        <v>73434072.81</v>
      </c>
      <c r="G14" s="36">
        <f t="shared" si="6"/>
        <v>76004265.36</v>
      </c>
    </row>
    <row r="15">
      <c r="A15" s="6" t="s">
        <v>54</v>
      </c>
      <c r="B15" s="9">
        <f>'Historical Financials'!K21</f>
        <v>7035300</v>
      </c>
      <c r="C15" s="46">
        <f t="shared" ref="C15:G15" si="7">C17*C16</f>
        <v>7246359</v>
      </c>
      <c r="D15" s="46">
        <f t="shared" si="7"/>
        <v>7463749.77</v>
      </c>
      <c r="E15" s="46">
        <f t="shared" si="7"/>
        <v>7687662.263</v>
      </c>
      <c r="F15" s="46">
        <f t="shared" si="7"/>
        <v>7918292.131</v>
      </c>
      <c r="G15" s="46">
        <f t="shared" si="7"/>
        <v>8155840.895</v>
      </c>
    </row>
    <row r="16">
      <c r="A16" s="6" t="s">
        <v>52</v>
      </c>
      <c r="B16" s="47">
        <f>'Historical Financials'!K19</f>
        <v>15634000</v>
      </c>
      <c r="C16" s="48">
        <f t="shared" ref="C16:G16" si="8">B16</f>
        <v>15634000</v>
      </c>
      <c r="D16" s="48">
        <f t="shared" si="8"/>
        <v>15634000</v>
      </c>
      <c r="E16" s="48">
        <f t="shared" si="8"/>
        <v>15634000</v>
      </c>
      <c r="F16" s="48">
        <f t="shared" si="8"/>
        <v>15634000</v>
      </c>
      <c r="G16" s="48">
        <f t="shared" si="8"/>
        <v>15634000</v>
      </c>
    </row>
    <row r="17">
      <c r="A17" s="6" t="s">
        <v>53</v>
      </c>
      <c r="B17" s="13">
        <f>'Historical Financials'!K20</f>
        <v>0.45</v>
      </c>
      <c r="C17" s="46">
        <f>B17*(1+Inputs!$C$14)</f>
        <v>0.4635</v>
      </c>
      <c r="D17" s="46">
        <f>C17*(1+Inputs!$C$14)</f>
        <v>0.477405</v>
      </c>
      <c r="E17" s="46">
        <f>D17*(1+Inputs!$C$14)</f>
        <v>0.49172715</v>
      </c>
      <c r="F17" s="46">
        <f>E17*(1+Inputs!$C$14)</f>
        <v>0.5064789645</v>
      </c>
      <c r="G17" s="46">
        <f>F17*(1+Inputs!$C$14)</f>
        <v>0.5216733334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2" max="26" width="13.63"/>
  </cols>
  <sheetData>
    <row r="1">
      <c r="A1" s="19"/>
      <c r="B1" s="29" t="s">
        <v>63</v>
      </c>
      <c r="C1" s="29" t="s">
        <v>64</v>
      </c>
      <c r="D1" s="29" t="s">
        <v>65</v>
      </c>
      <c r="E1" s="29" t="s">
        <v>66</v>
      </c>
      <c r="F1" s="29" t="s">
        <v>67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69</v>
      </c>
      <c r="B2" s="9">
        <f>Forecast!C13</f>
        <v>63692508.58</v>
      </c>
      <c r="C2" s="9">
        <f>Forecast!D13</f>
        <v>65921746.38</v>
      </c>
      <c r="D2" s="9">
        <f>Forecast!E13</f>
        <v>68229007.5</v>
      </c>
      <c r="E2" s="9">
        <f>Forecast!F13</f>
        <v>70617022.76</v>
      </c>
      <c r="F2" s="9">
        <f>Forecast!G13</f>
        <v>73088618.56</v>
      </c>
    </row>
    <row r="3">
      <c r="A3" s="6" t="s">
        <v>70</v>
      </c>
      <c r="B3" s="42">
        <v>1.0</v>
      </c>
      <c r="C3" s="42">
        <v>2.0</v>
      </c>
      <c r="D3" s="42">
        <v>3.0</v>
      </c>
      <c r="E3" s="42">
        <v>4.0</v>
      </c>
      <c r="F3" s="42">
        <v>5.0</v>
      </c>
    </row>
    <row r="4">
      <c r="A4" s="6" t="s">
        <v>71</v>
      </c>
      <c r="B4" s="11">
        <f>1/(1+Inputs!$C$12)^B3</f>
        <v>0.9009009009</v>
      </c>
      <c r="C4" s="11">
        <f>1/(1+Inputs!$C$12)^C3</f>
        <v>0.8116224332</v>
      </c>
      <c r="D4" s="11">
        <f>1/(1+Inputs!$C$12)^D3</f>
        <v>0.7311913813</v>
      </c>
      <c r="E4" s="11">
        <f>1/(1+Inputs!$C$12)^E3</f>
        <v>0.6587309741</v>
      </c>
      <c r="F4" s="11">
        <f>1/(1+Inputs!$C$12)^F3</f>
        <v>0.5934513281</v>
      </c>
    </row>
    <row r="5">
      <c r="A5" s="6" t="s">
        <v>72</v>
      </c>
      <c r="B5" s="36">
        <f t="shared" ref="B5:F5" si="1">B2*B4</f>
        <v>57380638.36</v>
      </c>
      <c r="C5" s="36">
        <f t="shared" si="1"/>
        <v>53503568.2</v>
      </c>
      <c r="D5" s="36">
        <f t="shared" si="1"/>
        <v>49888462.24</v>
      </c>
      <c r="E5" s="36">
        <f t="shared" si="1"/>
        <v>46517620.2</v>
      </c>
      <c r="F5" s="36">
        <f t="shared" si="1"/>
        <v>43374537.75</v>
      </c>
    </row>
    <row r="7">
      <c r="A7" s="49" t="s">
        <v>73</v>
      </c>
      <c r="B7" s="12" t="s">
        <v>74</v>
      </c>
    </row>
    <row r="8">
      <c r="A8" s="6" t="s">
        <v>75</v>
      </c>
      <c r="B8" s="36">
        <f>Forecast!G13</f>
        <v>73088618.56</v>
      </c>
    </row>
    <row r="9">
      <c r="A9" s="6" t="s">
        <v>36</v>
      </c>
      <c r="B9" s="31">
        <f>Inputs!C13</f>
        <v>0.02</v>
      </c>
    </row>
    <row r="10">
      <c r="A10" s="6" t="s">
        <v>35</v>
      </c>
      <c r="B10" s="31">
        <f>Inputs!C12</f>
        <v>0.11</v>
      </c>
    </row>
    <row r="11">
      <c r="A11" s="6" t="s">
        <v>76</v>
      </c>
      <c r="B11" s="36">
        <f>B8*(1+B9)/(B10-B9)</f>
        <v>828337677</v>
      </c>
    </row>
    <row r="12">
      <c r="A12" s="6" t="s">
        <v>77</v>
      </c>
      <c r="B12" s="36">
        <f>B11/(1+B10)^5</f>
        <v>491578094.5</v>
      </c>
    </row>
    <row r="13">
      <c r="A13" s="6" t="s">
        <v>78</v>
      </c>
      <c r="B13" s="36">
        <f>SUM(B5:F5)+B12</f>
        <v>742242921.3</v>
      </c>
    </row>
    <row r="14">
      <c r="A14" s="6" t="s">
        <v>79</v>
      </c>
      <c r="B14" s="36">
        <f>Inputs!C5</f>
        <v>541970000</v>
      </c>
    </row>
    <row r="15">
      <c r="A15" s="6" t="s">
        <v>80</v>
      </c>
      <c r="B15" s="36">
        <f>Inputs!C4</f>
        <v>1688000</v>
      </c>
    </row>
    <row r="16">
      <c r="A16" s="6" t="s">
        <v>81</v>
      </c>
      <c r="B16" s="36">
        <f>B13-B14+B15</f>
        <v>201960921.3</v>
      </c>
    </row>
    <row r="17">
      <c r="A17" s="6" t="s">
        <v>82</v>
      </c>
      <c r="B17" s="48">
        <f>Inputs!C3</f>
        <v>15634000</v>
      </c>
    </row>
    <row r="18">
      <c r="A18" s="6" t="s">
        <v>83</v>
      </c>
      <c r="B18" s="46">
        <f>B16/B17</f>
        <v>12.91805816</v>
      </c>
    </row>
    <row r="20">
      <c r="A20" s="50" t="s">
        <v>84</v>
      </c>
    </row>
    <row r="21">
      <c r="A21" s="6" t="s">
        <v>85</v>
      </c>
      <c r="B21" s="51">
        <f>Inputs!C5</f>
        <v>541970000</v>
      </c>
      <c r="C21" s="25">
        <f t="shared" ref="C21:F21" si="2">B26</f>
        <v>527858462.6</v>
      </c>
      <c r="D21" s="25">
        <f t="shared" si="2"/>
        <v>513243963.5</v>
      </c>
      <c r="E21" s="25">
        <f t="shared" si="2"/>
        <v>498108627.1</v>
      </c>
      <c r="F21" s="25">
        <f t="shared" si="2"/>
        <v>482433944.5</v>
      </c>
    </row>
    <row r="22">
      <c r="A22" s="6" t="s">
        <v>49</v>
      </c>
      <c r="B22" s="51">
        <f>Forecast!C13</f>
        <v>63692508.58</v>
      </c>
      <c r="C22" s="25">
        <f>Forecast!D13</f>
        <v>65921746.38</v>
      </c>
      <c r="D22" s="25">
        <f>Forecast!E13</f>
        <v>68229007.5</v>
      </c>
      <c r="E22" s="25">
        <f>Forecast!F13</f>
        <v>70617022.76</v>
      </c>
      <c r="F22" s="25">
        <f>Forecast!G13</f>
        <v>73088618.56</v>
      </c>
    </row>
    <row r="23">
      <c r="A23" s="6" t="s">
        <v>54</v>
      </c>
      <c r="B23" s="51">
        <f>Forecast!C15</f>
        <v>7246359</v>
      </c>
      <c r="C23" s="25">
        <f>Forecast!D15</f>
        <v>7463749.77</v>
      </c>
      <c r="D23" s="25">
        <f>Forecast!E15</f>
        <v>7687662.263</v>
      </c>
      <c r="E23" s="25">
        <f>Forecast!F15</f>
        <v>7918292.131</v>
      </c>
      <c r="F23" s="25">
        <f>Forecast!G15</f>
        <v>8155840.895</v>
      </c>
    </row>
    <row r="24">
      <c r="A24" s="6" t="s">
        <v>86</v>
      </c>
      <c r="B24" s="25">
        <f t="shared" ref="B24:F24" si="3">MAX(0,B22-B23)</f>
        <v>56446149.58</v>
      </c>
      <c r="C24" s="25">
        <f t="shared" si="3"/>
        <v>58457996.61</v>
      </c>
      <c r="D24" s="25">
        <f t="shared" si="3"/>
        <v>60541345.24</v>
      </c>
      <c r="E24" s="25">
        <f t="shared" si="3"/>
        <v>62698730.63</v>
      </c>
      <c r="F24" s="25">
        <f t="shared" si="3"/>
        <v>64932777.67</v>
      </c>
    </row>
    <row r="25">
      <c r="A25" s="6" t="s">
        <v>87</v>
      </c>
      <c r="B25" s="25">
        <f t="shared" ref="B25:F25" si="4">MIN(B21,B24*$B$29)</f>
        <v>14111537.39</v>
      </c>
      <c r="C25" s="25">
        <f t="shared" si="4"/>
        <v>14614499.15</v>
      </c>
      <c r="D25" s="25">
        <f t="shared" si="4"/>
        <v>15135336.31</v>
      </c>
      <c r="E25" s="25">
        <f t="shared" si="4"/>
        <v>15674682.66</v>
      </c>
      <c r="F25" s="25">
        <f t="shared" si="4"/>
        <v>16233194.42</v>
      </c>
    </row>
    <row r="26">
      <c r="A26" s="6" t="s">
        <v>88</v>
      </c>
      <c r="B26" s="25">
        <f t="shared" ref="B26:F26" si="5">B21-B25</f>
        <v>527858462.6</v>
      </c>
      <c r="C26" s="25">
        <f t="shared" si="5"/>
        <v>513243963.5</v>
      </c>
      <c r="D26" s="25">
        <f t="shared" si="5"/>
        <v>498108627.1</v>
      </c>
      <c r="E26" s="25">
        <f t="shared" si="5"/>
        <v>482433944.5</v>
      </c>
      <c r="F26" s="25">
        <f t="shared" si="5"/>
        <v>466200750.1</v>
      </c>
    </row>
    <row r="27">
      <c r="A27" s="6" t="s">
        <v>89</v>
      </c>
      <c r="B27" s="52">
        <f>B26/(Forecast!C4+Forecast!C8)</f>
        <v>4.613273281</v>
      </c>
      <c r="C27" s="52">
        <f>C26/(Forecast!D4+Forecast!D8)</f>
        <v>4.333863154</v>
      </c>
      <c r="D27" s="52">
        <f>D26/(Forecast!E4+Forecast!E8)</f>
        <v>4.063825561</v>
      </c>
      <c r="E27" s="52">
        <f>E26/(Forecast!F4+Forecast!F8)</f>
        <v>3.802843926</v>
      </c>
      <c r="F27" s="52">
        <f>F26/(Forecast!G4+Forecast!G8)</f>
        <v>3.550612375</v>
      </c>
    </row>
    <row r="29">
      <c r="A29" s="6" t="s">
        <v>90</v>
      </c>
      <c r="B29" s="27">
        <v>0.25</v>
      </c>
    </row>
    <row r="30">
      <c r="A30" s="6" t="s">
        <v>91</v>
      </c>
      <c r="B30" s="53">
        <f>B18</f>
        <v>12.91805816</v>
      </c>
    </row>
    <row r="31">
      <c r="A31" s="6" t="s">
        <v>92</v>
      </c>
      <c r="B31" s="53">
        <f>(B13-F26+Inputs!C4)/Inputs!C3</f>
        <v>17.7644986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</cols>
  <sheetData>
    <row r="1">
      <c r="A1" s="19" t="s">
        <v>1</v>
      </c>
      <c r="B1" s="29" t="s">
        <v>23</v>
      </c>
      <c r="C1" s="29" t="s">
        <v>24</v>
      </c>
      <c r="D1" s="29" t="s">
        <v>25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93</v>
      </c>
      <c r="B2" s="46">
        <f>Forecast!$B$17</f>
        <v>0.45</v>
      </c>
      <c r="C2" s="46">
        <f>Forecast!$B$17</f>
        <v>0.45</v>
      </c>
      <c r="D2" s="46">
        <f>Forecast!$B$17</f>
        <v>0.45</v>
      </c>
    </row>
    <row r="3">
      <c r="A3" s="6" t="s">
        <v>37</v>
      </c>
      <c r="B3" s="31">
        <f>Inputs!B14</f>
        <v>0.02</v>
      </c>
      <c r="C3" s="31">
        <f>Inputs!C14</f>
        <v>0.03</v>
      </c>
      <c r="D3" s="31">
        <f>Inputs!D14</f>
        <v>0.04</v>
      </c>
    </row>
    <row r="4">
      <c r="A4" s="6" t="s">
        <v>94</v>
      </c>
      <c r="B4" s="31">
        <f>Inputs!B15</f>
        <v>0.12</v>
      </c>
      <c r="C4" s="31">
        <f>Inputs!C15</f>
        <v>0.11</v>
      </c>
      <c r="D4" s="31">
        <f>Inputs!D15</f>
        <v>0.1</v>
      </c>
    </row>
    <row r="5">
      <c r="A5" s="6" t="s">
        <v>95</v>
      </c>
      <c r="B5" s="46">
        <f t="shared" ref="B5:D5" si="1">B2*(1+B3)</f>
        <v>0.459</v>
      </c>
      <c r="C5" s="46">
        <f t="shared" si="1"/>
        <v>0.4635</v>
      </c>
      <c r="D5" s="46">
        <f t="shared" si="1"/>
        <v>0.468</v>
      </c>
    </row>
    <row r="6">
      <c r="A6" s="6" t="s">
        <v>96</v>
      </c>
      <c r="B6" s="54">
        <f t="shared" ref="B6:D6" si="2">IFERROR(B5/(B4-B3),"")</f>
        <v>4.59</v>
      </c>
      <c r="C6" s="54">
        <f t="shared" si="2"/>
        <v>5.79375</v>
      </c>
      <c r="D6" s="54">
        <f t="shared" si="2"/>
        <v>7.8</v>
      </c>
    </row>
    <row r="8">
      <c r="A8" s="6" t="s">
        <v>97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</cols>
  <sheetData>
    <row r="1">
      <c r="A1" s="19" t="s">
        <v>98</v>
      </c>
      <c r="B1" s="29" t="s">
        <v>99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100</v>
      </c>
      <c r="B2" s="14">
        <f>Inputs!C2</f>
        <v>44.07</v>
      </c>
    </row>
    <row r="3">
      <c r="A3" s="6" t="s">
        <v>10</v>
      </c>
      <c r="B3" s="36">
        <f>B2*Inputs!C3</f>
        <v>688990380</v>
      </c>
    </row>
    <row r="4">
      <c r="A4" s="6" t="s">
        <v>78</v>
      </c>
      <c r="B4" s="36">
        <f>B3+Inputs!C5-Inputs!C4</f>
        <v>1229272380</v>
      </c>
    </row>
    <row r="5">
      <c r="A5" s="6" t="s">
        <v>40</v>
      </c>
      <c r="B5" s="9">
        <f>Forecast!B2</f>
        <v>417440000</v>
      </c>
    </row>
    <row r="6">
      <c r="A6" s="6" t="s">
        <v>101</v>
      </c>
      <c r="B6" s="36">
        <f>Forecast!B4+Forecast!B8</f>
        <v>120212000</v>
      </c>
    </row>
    <row r="7">
      <c r="A7" s="6" t="s">
        <v>44</v>
      </c>
      <c r="B7" s="9">
        <f>Forecast!B14</f>
        <v>51507000</v>
      </c>
    </row>
    <row r="8">
      <c r="A8" s="6" t="s">
        <v>102</v>
      </c>
      <c r="B8" s="9">
        <f>'Historical Financials'!K17</f>
        <v>254776000</v>
      </c>
    </row>
    <row r="9">
      <c r="A9" s="6" t="s">
        <v>103</v>
      </c>
      <c r="B9" s="55">
        <f>IFERROR(B4/B5,"")</f>
        <v>2.944788185</v>
      </c>
    </row>
    <row r="10">
      <c r="A10" s="6" t="s">
        <v>104</v>
      </c>
      <c r="B10" s="55">
        <f>IFERROR(B4/B6,"")</f>
        <v>10.22587079</v>
      </c>
    </row>
    <row r="11">
      <c r="A11" s="6" t="s">
        <v>105</v>
      </c>
      <c r="B11" s="55">
        <f>IFERROR(B3/B7,"")</f>
        <v>13.3766358</v>
      </c>
    </row>
    <row r="12">
      <c r="A12" s="6" t="s">
        <v>106</v>
      </c>
      <c r="B12" s="55">
        <f>IFERROR(B3/B8,"")</f>
        <v>2.7042986</v>
      </c>
    </row>
    <row r="13">
      <c r="A13" s="6" t="s">
        <v>107</v>
      </c>
      <c r="B13" s="31">
        <f>IFERROR(Forecast!B17/B2,"")</f>
        <v>0.01021102791</v>
      </c>
    </row>
    <row r="15">
      <c r="A15" s="6"/>
      <c r="B15" s="12" t="s">
        <v>99</v>
      </c>
      <c r="C15" s="12" t="s">
        <v>23</v>
      </c>
      <c r="D15" s="12" t="s">
        <v>24</v>
      </c>
      <c r="E15" s="12" t="s">
        <v>25</v>
      </c>
    </row>
    <row r="16">
      <c r="A16" s="6" t="s">
        <v>108</v>
      </c>
      <c r="B16" s="22">
        <v>10.23</v>
      </c>
      <c r="C16" s="22">
        <v>7.0</v>
      </c>
      <c r="D16" s="22">
        <v>8.0</v>
      </c>
      <c r="E16" s="22">
        <v>10.0</v>
      </c>
    </row>
    <row r="17">
      <c r="A17" s="6" t="s">
        <v>109</v>
      </c>
      <c r="B17" s="22">
        <v>13.38</v>
      </c>
      <c r="C17" s="22">
        <v>9.0</v>
      </c>
      <c r="D17" s="22">
        <v>11.0</v>
      </c>
      <c r="E17" s="22">
        <v>13.0</v>
      </c>
    </row>
    <row r="19">
      <c r="A19" s="6" t="s">
        <v>108</v>
      </c>
      <c r="C19" s="53">
        <f>(($B$6*C16)-Inputs!$C$5+Inputs!$C$4)/Inputs!$C$3</f>
        <v>19.26583088</v>
      </c>
      <c r="D19" s="53">
        <f>(($B$6*D16)-Inputs!$C$5+Inputs!$C$4)/Inputs!$C$3</f>
        <v>26.95496994</v>
      </c>
      <c r="E19" s="53">
        <f>(($B$6*E16)-Inputs!$C$5+Inputs!$C$4)/Inputs!$C$3</f>
        <v>42.33324805</v>
      </c>
    </row>
    <row r="20">
      <c r="A20" s="6" t="s">
        <v>109</v>
      </c>
      <c r="C20" s="53">
        <f>C17*($B$7/Inputs!$C$3)</f>
        <v>29.65095305</v>
      </c>
      <c r="D20" s="53">
        <f>D17*($B$7/Inputs!$C$3)</f>
        <v>36.24005373</v>
      </c>
      <c r="E20" s="53">
        <f>E17*($B$7/Inputs!$C$3)</f>
        <v>42.82915441</v>
      </c>
    </row>
    <row r="22">
      <c r="A22" s="6" t="s">
        <v>110</v>
      </c>
      <c r="C22" s="53">
        <f>MIN(C19:C20)</f>
        <v>19.26583088</v>
      </c>
      <c r="D22" s="53">
        <f>AVERAGE(D19:D20)</f>
        <v>31.59751183</v>
      </c>
      <c r="E22" s="53">
        <f>MAX(E19:E20)</f>
        <v>42.82915441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6"/>
      <c r="B1" s="57">
        <v>0.015</v>
      </c>
      <c r="C1" s="57">
        <v>0.02</v>
      </c>
      <c r="D1" s="57">
        <v>0.025</v>
      </c>
      <c r="E1" s="57">
        <v>0.03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8">
        <v>0.1</v>
      </c>
      <c r="B2" s="54">
        <f>IFERROR((SUMPRODUCT(DCF!$B$2:$F$2,1/(1+$A2)^DCF!$B$3:$F$3)+((DCF!$B$8*(1+B$1)/($A2-B$1))/(1+$A2)^5)-Inputs!$C$5+Inputs!$C$4)/Inputs!$C$3,"")</f>
        <v>16.55974281</v>
      </c>
      <c r="C2" s="54">
        <f>IFERROR((SUMPRODUCT(DCF!$B$2:$F$2,1/(1+$A2)^DCF!$B$3:$F$3)+((DCF!$B$8*(1+C$1)/($A2-C$1))/(1+$A2)^5)-Inputs!$C$5+Inputs!$C$4)/Inputs!$C$3,"")</f>
        <v>18.90759092</v>
      </c>
      <c r="D2" s="54">
        <f>IFERROR((SUMPRODUCT(DCF!$B$2:$F$2,1/(1+$A2)^DCF!$B$3:$F$3)+((DCF!$B$8*(1+D$1)/($A2-D$1))/(1+$A2)^5)-Inputs!$C$5+Inputs!$C$4)/Inputs!$C$3,"")</f>
        <v>21.56848544</v>
      </c>
      <c r="E2" s="54">
        <f>IFERROR((SUMPRODUCT(DCF!$B$2:$F$2,1/(1+$A2)^DCF!$B$3:$F$3)+((DCF!$B$8*(1+E$1)/($A2-E$1))/(1+$A2)^5)-Inputs!$C$5+Inputs!$C$4)/Inputs!$C$3,"")</f>
        <v>24.60950775</v>
      </c>
    </row>
    <row r="3">
      <c r="A3" s="58">
        <v>0.105</v>
      </c>
      <c r="B3" s="54">
        <f>IFERROR((SUMPRODUCT(DCF!$B$2:$F$2,1/(1+$A3)^DCF!$B$3:$F$3)+((DCF!$B$8*(1+B$1)/($A3-B$1))/(1+$A3)^5)-Inputs!$C$5+Inputs!$C$4)/Inputs!$C$3,"")</f>
        <v>13.68697308</v>
      </c>
      <c r="C3" s="54">
        <f>IFERROR((SUMPRODUCT(DCF!$B$2:$F$2,1/(1+$A3)^DCF!$B$3:$F$3)+((DCF!$B$8*(1+C$1)/($A3-C$1))/(1+$A3)^5)-Inputs!$C$5+Inputs!$C$4)/Inputs!$C$3,"")</f>
        <v>15.73643146</v>
      </c>
      <c r="D3" s="54">
        <f>IFERROR((SUMPRODUCT(DCF!$B$2:$F$2,1/(1+$A3)^DCF!$B$3:$F$3)+((DCF!$B$8*(1+D$1)/($A3-D$1))/(1+$A3)^5)-Inputs!$C$5+Inputs!$C$4)/Inputs!$C$3,"")</f>
        <v>18.04207213</v>
      </c>
      <c r="E3" s="54">
        <f>IFERROR((SUMPRODUCT(DCF!$B$2:$F$2,1/(1+$A3)^DCF!$B$3:$F$3)+((DCF!$B$8*(1+E$1)/($A3-E$1))/(1+$A3)^5)-Inputs!$C$5+Inputs!$C$4)/Inputs!$C$3,"")</f>
        <v>20.65513157</v>
      </c>
    </row>
    <row r="4">
      <c r="A4" s="58">
        <v>0.11</v>
      </c>
      <c r="B4" s="54">
        <f>IFERROR((SUMPRODUCT(DCF!$B$2:$F$2,1/(1+$A4)^DCF!$B$3:$F$3)+((DCF!$B$8*(1+B$1)/($A4-B$1))/(1+$A4)^5)-Inputs!$C$5+Inputs!$C$4)/Inputs!$C$3,"")</f>
        <v>11.11714977</v>
      </c>
      <c r="C4" s="54">
        <f>IFERROR((SUMPRODUCT(DCF!$B$2:$F$2,1/(1+$A4)^DCF!$B$3:$F$3)+((DCF!$B$8*(1+C$1)/($A4-C$1))/(1+$A4)^5)-Inputs!$C$5+Inputs!$C$4)/Inputs!$C$3,"")</f>
        <v>12.91805816</v>
      </c>
      <c r="D4" s="54">
        <f>IFERROR((SUMPRODUCT(DCF!$B$2:$F$2,1/(1+$A4)^DCF!$B$3:$F$3)+((DCF!$B$8*(1+D$1)/($A4-D$1))/(1+$A4)^5)-Inputs!$C$5+Inputs!$C$4)/Inputs!$C$3,"")</f>
        <v>14.93083812</v>
      </c>
      <c r="E4" s="54">
        <f>IFERROR((SUMPRODUCT(DCF!$B$2:$F$2,1/(1+$A4)^DCF!$B$3:$F$3)+((DCF!$B$8*(1+E$1)/($A4-E$1))/(1+$A4)^5)-Inputs!$C$5+Inputs!$C$4)/Inputs!$C$3,"")</f>
        <v>17.19521557</v>
      </c>
    </row>
    <row r="5">
      <c r="A5" s="58">
        <v>0.115</v>
      </c>
      <c r="B5" s="54">
        <f>IFERROR((SUMPRODUCT(DCF!$B$2:$F$2,1/(1+$A5)^DCF!$B$3:$F$3)+((DCF!$B$8*(1+B$1)/($A5-B$1))/(1+$A5)^5)-Inputs!$C$5+Inputs!$C$4)/Inputs!$C$3,"")</f>
        <v>8.804818828</v>
      </c>
      <c r="C5" s="54">
        <f>IFERROR((SUMPRODUCT(DCF!$B$2:$F$2,1/(1+$A5)^DCF!$B$3:$F$3)+((DCF!$B$8*(1+C$1)/($A5-C$1))/(1+$A5)^5)-Inputs!$C$5+Inputs!$C$4)/Inputs!$C$3,"")</f>
        <v>10.39675839</v>
      </c>
      <c r="D5" s="54">
        <f>IFERROR((SUMPRODUCT(DCF!$B$2:$F$2,1/(1+$A5)^DCF!$B$3:$F$3)+((DCF!$B$8*(1+D$1)/($A5-D$1))/(1+$A5)^5)-Inputs!$C$5+Inputs!$C$4)/Inputs!$C$3,"")</f>
        <v>12.16558012</v>
      </c>
      <c r="E5" s="54">
        <f>IFERROR((SUMPRODUCT(DCF!$B$2:$F$2,1/(1+$A5)^DCF!$B$3:$F$3)+((DCF!$B$8*(1+E$1)/($A5-E$1))/(1+$A5)^5)-Inputs!$C$5+Inputs!$C$4)/Inputs!$C$3,"")</f>
        <v>14.14249853</v>
      </c>
    </row>
    <row r="6">
      <c r="A6" s="58">
        <v>0.12</v>
      </c>
      <c r="B6" s="54">
        <f>IFERROR((SUMPRODUCT(DCF!$B$2:$F$2,1/(1+$A6)^DCF!$B$3:$F$3)+((DCF!$B$8*(1+B$1)/($A6-B$1))/(1+$A6)^5)-Inputs!$C$5+Inputs!$C$4)/Inputs!$C$3,"")</f>
        <v>6.713184417</v>
      </c>
      <c r="C6" s="54">
        <f>IFERROR((SUMPRODUCT(DCF!$B$2:$F$2,1/(1+$A6)^DCF!$B$3:$F$3)+((DCF!$B$8*(1+C$1)/($A6-C$1))/(1+$A6)^5)-Inputs!$C$5+Inputs!$C$4)/Inputs!$C$3,"")</f>
        <v>8.127962295</v>
      </c>
      <c r="D6" s="54">
        <f>IFERROR((SUMPRODUCT(DCF!$B$2:$F$2,1/(1+$A6)^DCF!$B$3:$F$3)+((DCF!$B$8*(1+D$1)/($A6-D$1))/(1+$A6)^5)-Inputs!$C$5+Inputs!$C$4)/Inputs!$C$3,"")</f>
        <v>9.69166416</v>
      </c>
      <c r="E6" s="54">
        <f>IFERROR((SUMPRODUCT(DCF!$B$2:$F$2,1/(1+$A6)^DCF!$B$3:$F$3)+((DCF!$B$8*(1+E$1)/($A6-E$1))/(1+$A6)^5)-Inputs!$C$5+Inputs!$C$4)/Inputs!$C$3,"")</f>
        <v>11.42911068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7.63"/>
  </cols>
  <sheetData>
    <row r="1">
      <c r="A1" s="59" t="s">
        <v>111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0" customHeight="1">
      <c r="A2" s="6" t="s">
        <v>112</v>
      </c>
    </row>
    <row r="5">
      <c r="A5" s="59" t="s">
        <v>113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7">
      <c r="A7" s="49" t="s">
        <v>114</v>
      </c>
      <c r="B7" s="12" t="s">
        <v>115</v>
      </c>
    </row>
    <row r="8">
      <c r="A8" s="6" t="s">
        <v>14</v>
      </c>
      <c r="B8" s="13">
        <f>DCF!B18</f>
        <v>12.91805816</v>
      </c>
    </row>
    <row r="9">
      <c r="A9" s="6" t="s">
        <v>15</v>
      </c>
      <c r="B9" s="14">
        <f>'Dividend Model'!C6</f>
        <v>5.79375</v>
      </c>
    </row>
    <row r="10">
      <c r="A10" s="6" t="s">
        <v>16</v>
      </c>
      <c r="B10" s="13">
        <f>'Multiples Check'!D22</f>
        <v>31.59751183</v>
      </c>
    </row>
    <row r="11">
      <c r="A11" s="6" t="s">
        <v>116</v>
      </c>
      <c r="B11" s="60" t="str">
        <f>TEXT(ROUND(D21*0.9,0),"$0.00")&amp;" - "&amp;TEXT(ROUND(D21*1.2,0),"$0.00")</f>
        <v>$24.00 - $32.00</v>
      </c>
    </row>
    <row r="13">
      <c r="A13" s="6" t="s">
        <v>9</v>
      </c>
      <c r="B13" s="16">
        <f>Inputs!C2</f>
        <v>44.07</v>
      </c>
    </row>
    <row r="14">
      <c r="A14" s="6" t="s">
        <v>117</v>
      </c>
      <c r="B14" s="61">
        <f>D21/B13-1</f>
        <v>-0.3889800677</v>
      </c>
    </row>
    <row r="15">
      <c r="A15" s="6" t="s">
        <v>21</v>
      </c>
      <c r="B15" s="22" t="s">
        <v>118</v>
      </c>
    </row>
    <row r="17">
      <c r="A17" s="50" t="s">
        <v>119</v>
      </c>
      <c r="B17" s="50" t="s">
        <v>74</v>
      </c>
      <c r="C17" s="50" t="s">
        <v>120</v>
      </c>
      <c r="D17" s="50" t="s">
        <v>121</v>
      </c>
    </row>
    <row r="18">
      <c r="A18" s="6" t="s">
        <v>14</v>
      </c>
      <c r="B18" s="53">
        <f t="shared" ref="B18:B20" si="1">B8</f>
        <v>12.91805816</v>
      </c>
      <c r="C18" s="27">
        <v>0.25</v>
      </c>
      <c r="D18" s="53">
        <f t="shared" ref="D18:D20" si="2">B18*C18</f>
        <v>3.22951454</v>
      </c>
    </row>
    <row r="19">
      <c r="A19" s="6" t="s">
        <v>122</v>
      </c>
      <c r="B19" s="18">
        <f t="shared" si="1"/>
        <v>5.79375</v>
      </c>
      <c r="C19" s="27">
        <v>0.0</v>
      </c>
      <c r="D19" s="18">
        <f t="shared" si="2"/>
        <v>0</v>
      </c>
    </row>
    <row r="20">
      <c r="A20" s="6" t="s">
        <v>16</v>
      </c>
      <c r="B20" s="53">
        <f t="shared" si="1"/>
        <v>31.59751183</v>
      </c>
      <c r="C20" s="27">
        <v>0.75</v>
      </c>
      <c r="D20" s="53">
        <f t="shared" si="2"/>
        <v>23.69813387</v>
      </c>
    </row>
    <row r="21">
      <c r="A21" s="6" t="s">
        <v>121</v>
      </c>
      <c r="D21" s="53">
        <f>SUM(D18:D20)</f>
        <v>26.92764841</v>
      </c>
    </row>
  </sheetData>
  <mergeCells count="1">
    <mergeCell ref="A2:K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36.88"/>
    <col customWidth="1" min="3" max="3" width="15.75"/>
    <col customWidth="1" min="4" max="4" width="14.25"/>
    <col customWidth="1" min="5" max="26" width="8.5"/>
  </cols>
  <sheetData>
    <row r="1">
      <c r="A1" s="19" t="s">
        <v>123</v>
      </c>
      <c r="B1" s="19" t="s">
        <v>124</v>
      </c>
      <c r="C1" s="19" t="s">
        <v>125</v>
      </c>
      <c r="D1" s="19" t="s">
        <v>126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127</v>
      </c>
      <c r="B2" s="62" t="s">
        <v>128</v>
      </c>
      <c r="C2" s="62" t="s">
        <v>129</v>
      </c>
    </row>
    <row r="3">
      <c r="A3" s="6" t="s">
        <v>100</v>
      </c>
      <c r="B3" s="62" t="s">
        <v>130</v>
      </c>
      <c r="C3" s="62" t="s">
        <v>129</v>
      </c>
    </row>
    <row r="4">
      <c r="B4" s="63"/>
      <c r="C4" s="63"/>
    </row>
    <row r="5">
      <c r="B5" s="63"/>
      <c r="C5" s="63"/>
    </row>
    <row r="6">
      <c r="B6" s="63"/>
      <c r="C6" s="63"/>
    </row>
    <row r="7">
      <c r="B7" s="63"/>
      <c r="C7" s="63"/>
    </row>
    <row r="8">
      <c r="B8" s="63"/>
      <c r="C8" s="63"/>
    </row>
    <row r="9">
      <c r="B9" s="63"/>
      <c r="C9" s="63"/>
    </row>
    <row r="10">
      <c r="B10" s="63"/>
      <c r="C10" s="63"/>
    </row>
    <row r="11">
      <c r="B11" s="63"/>
      <c r="C11" s="63"/>
    </row>
    <row r="12">
      <c r="B12" s="63"/>
      <c r="C12" s="63"/>
    </row>
    <row r="13">
      <c r="B13" s="63"/>
      <c r="C13" s="63"/>
    </row>
    <row r="14">
      <c r="B14" s="63"/>
      <c r="C14" s="63"/>
    </row>
    <row r="15">
      <c r="B15" s="63"/>
      <c r="C15" s="63"/>
    </row>
    <row r="16">
      <c r="B16" s="63"/>
      <c r="C16" s="63"/>
    </row>
    <row r="17">
      <c r="B17" s="63"/>
      <c r="C17" s="63"/>
    </row>
    <row r="18">
      <c r="B18" s="63"/>
      <c r="C18" s="63"/>
    </row>
    <row r="19">
      <c r="B19" s="63"/>
      <c r="C19" s="63"/>
    </row>
    <row r="20">
      <c r="B20" s="63"/>
      <c r="C20" s="63"/>
    </row>
    <row r="21">
      <c r="B21" s="63"/>
      <c r="C21" s="63"/>
    </row>
    <row r="22">
      <c r="B22" s="63"/>
      <c r="C22" s="63"/>
    </row>
    <row r="23">
      <c r="B23" s="63"/>
      <c r="C23" s="63"/>
    </row>
    <row r="24">
      <c r="B24" s="63"/>
      <c r="C24" s="63"/>
    </row>
    <row r="25">
      <c r="B25" s="63"/>
      <c r="C25" s="63"/>
    </row>
    <row r="26">
      <c r="B26" s="63"/>
      <c r="C26" s="63"/>
    </row>
    <row r="27">
      <c r="B27" s="63"/>
      <c r="C27" s="63"/>
    </row>
    <row r="28">
      <c r="B28" s="63"/>
      <c r="C28" s="63"/>
    </row>
    <row r="29">
      <c r="B29" s="63"/>
      <c r="C29" s="63"/>
    </row>
    <row r="30">
      <c r="B30" s="63"/>
      <c r="C30" s="63"/>
    </row>
    <row r="31">
      <c r="B31" s="63"/>
      <c r="C31" s="63"/>
    </row>
    <row r="32">
      <c r="B32" s="63"/>
      <c r="C32" s="63"/>
    </row>
    <row r="33">
      <c r="B33" s="63"/>
      <c r="C33" s="63"/>
    </row>
    <row r="34">
      <c r="B34" s="63"/>
      <c r="C34" s="63"/>
    </row>
    <row r="35">
      <c r="B35" s="63"/>
      <c r="C35" s="63"/>
    </row>
    <row r="36">
      <c r="B36" s="63"/>
      <c r="C36" s="63"/>
    </row>
    <row r="37">
      <c r="B37" s="63"/>
      <c r="C37" s="63"/>
    </row>
    <row r="38">
      <c r="B38" s="63"/>
      <c r="C38" s="63"/>
    </row>
    <row r="39">
      <c r="B39" s="63"/>
      <c r="C39" s="63"/>
    </row>
    <row r="40">
      <c r="B40" s="63"/>
      <c r="C40" s="63"/>
    </row>
    <row r="41">
      <c r="B41" s="63"/>
      <c r="C41" s="63"/>
    </row>
    <row r="42">
      <c r="B42" s="63"/>
      <c r="C42" s="63"/>
    </row>
    <row r="43">
      <c r="B43" s="63"/>
      <c r="C43" s="63"/>
    </row>
    <row r="44">
      <c r="B44" s="63"/>
      <c r="C44" s="63"/>
    </row>
    <row r="45">
      <c r="B45" s="63"/>
      <c r="C45" s="63"/>
    </row>
    <row r="46">
      <c r="B46" s="63"/>
      <c r="C46" s="63"/>
    </row>
    <row r="47">
      <c r="B47" s="63"/>
      <c r="C47" s="63"/>
    </row>
    <row r="48">
      <c r="B48" s="63"/>
      <c r="C48" s="63"/>
    </row>
    <row r="49">
      <c r="B49" s="63"/>
      <c r="C49" s="63"/>
    </row>
    <row r="50">
      <c r="B50" s="63"/>
      <c r="C50" s="63"/>
    </row>
    <row r="51">
      <c r="B51" s="63"/>
      <c r="C51" s="63"/>
    </row>
    <row r="52">
      <c r="B52" s="63"/>
      <c r="C52" s="63"/>
    </row>
    <row r="53">
      <c r="B53" s="63"/>
      <c r="C53" s="63"/>
    </row>
    <row r="54">
      <c r="B54" s="63"/>
      <c r="C54" s="63"/>
    </row>
    <row r="55">
      <c r="B55" s="63"/>
      <c r="C55" s="63"/>
    </row>
    <row r="56">
      <c r="B56" s="63"/>
      <c r="C56" s="63"/>
    </row>
    <row r="57">
      <c r="B57" s="63"/>
      <c r="C57" s="63"/>
    </row>
    <row r="58">
      <c r="B58" s="63"/>
      <c r="C58" s="63"/>
    </row>
    <row r="59">
      <c r="B59" s="63"/>
      <c r="C59" s="63"/>
    </row>
    <row r="60">
      <c r="B60" s="63"/>
      <c r="C60" s="63"/>
    </row>
    <row r="61">
      <c r="B61" s="63"/>
      <c r="C61" s="63"/>
    </row>
    <row r="62">
      <c r="B62" s="63"/>
      <c r="C62" s="63"/>
    </row>
    <row r="63">
      <c r="B63" s="63"/>
      <c r="C63" s="63"/>
    </row>
    <row r="64">
      <c r="B64" s="63"/>
      <c r="C64" s="63"/>
    </row>
    <row r="65">
      <c r="B65" s="63"/>
      <c r="C65" s="63"/>
    </row>
    <row r="66">
      <c r="B66" s="63"/>
      <c r="C66" s="63"/>
    </row>
    <row r="67">
      <c r="B67" s="63"/>
      <c r="C67" s="63"/>
    </row>
    <row r="68">
      <c r="B68" s="63"/>
      <c r="C68" s="63"/>
    </row>
    <row r="69">
      <c r="B69" s="63"/>
      <c r="C69" s="63"/>
    </row>
    <row r="70">
      <c r="B70" s="63"/>
      <c r="C70" s="63"/>
    </row>
    <row r="71">
      <c r="B71" s="63"/>
      <c r="C71" s="63"/>
    </row>
    <row r="72">
      <c r="B72" s="63"/>
      <c r="C72" s="63"/>
    </row>
    <row r="73">
      <c r="B73" s="63"/>
      <c r="C73" s="63"/>
    </row>
    <row r="74">
      <c r="B74" s="63"/>
      <c r="C74" s="63"/>
    </row>
    <row r="75">
      <c r="B75" s="63"/>
      <c r="C75" s="63"/>
    </row>
    <row r="76">
      <c r="B76" s="63"/>
      <c r="C76" s="63"/>
    </row>
    <row r="77">
      <c r="B77" s="63"/>
      <c r="C77" s="63"/>
    </row>
    <row r="78">
      <c r="B78" s="63"/>
      <c r="C78" s="63"/>
    </row>
    <row r="79">
      <c r="B79" s="63"/>
      <c r="C79" s="63"/>
    </row>
    <row r="80">
      <c r="B80" s="63"/>
      <c r="C80" s="63"/>
    </row>
    <row r="81">
      <c r="B81" s="63"/>
      <c r="C81" s="63"/>
    </row>
    <row r="82">
      <c r="B82" s="63"/>
      <c r="C82" s="63"/>
    </row>
    <row r="83">
      <c r="B83" s="63"/>
      <c r="C83" s="63"/>
    </row>
    <row r="84">
      <c r="B84" s="63"/>
      <c r="C84" s="63"/>
    </row>
    <row r="85">
      <c r="B85" s="63"/>
      <c r="C85" s="63"/>
    </row>
    <row r="86">
      <c r="B86" s="63"/>
      <c r="C86" s="63"/>
    </row>
    <row r="87">
      <c r="B87" s="63"/>
      <c r="C87" s="63"/>
    </row>
    <row r="88">
      <c r="B88" s="63"/>
      <c r="C88" s="63"/>
    </row>
    <row r="89">
      <c r="B89" s="63"/>
      <c r="C89" s="63"/>
    </row>
    <row r="90">
      <c r="B90" s="63"/>
      <c r="C90" s="63"/>
    </row>
    <row r="91">
      <c r="B91" s="63"/>
      <c r="C91" s="63"/>
    </row>
    <row r="92">
      <c r="B92" s="63"/>
      <c r="C92" s="63"/>
    </row>
    <row r="93">
      <c r="B93" s="63"/>
      <c r="C93" s="63"/>
    </row>
    <row r="94">
      <c r="B94" s="63"/>
      <c r="C94" s="63"/>
    </row>
    <row r="95">
      <c r="B95" s="63"/>
      <c r="C95" s="63"/>
    </row>
    <row r="96">
      <c r="B96" s="63"/>
      <c r="C96" s="63"/>
    </row>
    <row r="97">
      <c r="B97" s="63"/>
      <c r="C97" s="63"/>
    </row>
    <row r="98">
      <c r="B98" s="63"/>
      <c r="C98" s="63"/>
    </row>
    <row r="99">
      <c r="B99" s="63"/>
      <c r="C99" s="63"/>
    </row>
    <row r="100">
      <c r="B100" s="63"/>
      <c r="C100" s="63"/>
    </row>
    <row r="101">
      <c r="B101" s="63"/>
      <c r="C101" s="63"/>
    </row>
    <row r="102">
      <c r="B102" s="63"/>
      <c r="C102" s="63"/>
    </row>
    <row r="103">
      <c r="B103" s="63"/>
      <c r="C103" s="63"/>
    </row>
    <row r="104">
      <c r="B104" s="63"/>
      <c r="C104" s="63"/>
    </row>
    <row r="105">
      <c r="B105" s="63"/>
      <c r="C105" s="63"/>
    </row>
    <row r="106">
      <c r="B106" s="63"/>
      <c r="C106" s="63"/>
    </row>
    <row r="107">
      <c r="B107" s="63"/>
      <c r="C107" s="63"/>
    </row>
    <row r="108">
      <c r="B108" s="63"/>
      <c r="C108" s="63"/>
    </row>
    <row r="109">
      <c r="B109" s="63"/>
      <c r="C109" s="63"/>
    </row>
    <row r="110">
      <c r="B110" s="63"/>
      <c r="C110" s="63"/>
    </row>
    <row r="111">
      <c r="B111" s="63"/>
      <c r="C111" s="63"/>
    </row>
    <row r="112">
      <c r="B112" s="63"/>
      <c r="C112" s="63"/>
    </row>
    <row r="113">
      <c r="B113" s="63"/>
      <c r="C113" s="63"/>
    </row>
    <row r="114">
      <c r="B114" s="63"/>
      <c r="C114" s="63"/>
    </row>
    <row r="115">
      <c r="B115" s="63"/>
      <c r="C115" s="63"/>
    </row>
    <row r="116">
      <c r="B116" s="63"/>
      <c r="C116" s="63"/>
    </row>
    <row r="117">
      <c r="B117" s="63"/>
      <c r="C117" s="63"/>
    </row>
    <row r="118">
      <c r="B118" s="63"/>
      <c r="C118" s="63"/>
    </row>
    <row r="119">
      <c r="B119" s="63"/>
      <c r="C119" s="63"/>
    </row>
    <row r="120">
      <c r="B120" s="63"/>
      <c r="C120" s="63"/>
    </row>
    <row r="121">
      <c r="B121" s="63"/>
      <c r="C121" s="63"/>
    </row>
    <row r="122">
      <c r="B122" s="63"/>
      <c r="C122" s="63"/>
    </row>
    <row r="123">
      <c r="B123" s="63"/>
      <c r="C123" s="63"/>
    </row>
    <row r="124">
      <c r="B124" s="63"/>
      <c r="C124" s="63"/>
    </row>
    <row r="125">
      <c r="B125" s="63"/>
      <c r="C125" s="63"/>
    </row>
    <row r="126">
      <c r="B126" s="63"/>
      <c r="C126" s="63"/>
    </row>
    <row r="127">
      <c r="B127" s="63"/>
      <c r="C127" s="63"/>
    </row>
    <row r="128">
      <c r="B128" s="63"/>
      <c r="C128" s="63"/>
    </row>
    <row r="129">
      <c r="B129" s="63"/>
      <c r="C129" s="63"/>
    </row>
    <row r="130">
      <c r="B130" s="63"/>
      <c r="C130" s="63"/>
    </row>
    <row r="131">
      <c r="B131" s="63"/>
      <c r="C131" s="63"/>
    </row>
    <row r="132">
      <c r="B132" s="63"/>
      <c r="C132" s="63"/>
    </row>
    <row r="133">
      <c r="B133" s="63"/>
      <c r="C133" s="63"/>
    </row>
    <row r="134">
      <c r="B134" s="63"/>
      <c r="C134" s="63"/>
    </row>
    <row r="135">
      <c r="B135" s="63"/>
      <c r="C135" s="63"/>
    </row>
    <row r="136">
      <c r="B136" s="63"/>
      <c r="C136" s="63"/>
    </row>
    <row r="137">
      <c r="B137" s="63"/>
      <c r="C137" s="63"/>
    </row>
    <row r="138">
      <c r="B138" s="63"/>
      <c r="C138" s="63"/>
    </row>
    <row r="139">
      <c r="B139" s="63"/>
      <c r="C139" s="63"/>
    </row>
    <row r="140">
      <c r="B140" s="63"/>
      <c r="C140" s="63"/>
    </row>
    <row r="141">
      <c r="B141" s="63"/>
      <c r="C141" s="63"/>
    </row>
    <row r="142">
      <c r="B142" s="63"/>
      <c r="C142" s="63"/>
    </row>
    <row r="143">
      <c r="B143" s="63"/>
      <c r="C143" s="63"/>
    </row>
    <row r="144">
      <c r="B144" s="63"/>
      <c r="C144" s="63"/>
    </row>
    <row r="145">
      <c r="B145" s="63"/>
      <c r="C145" s="63"/>
    </row>
    <row r="146">
      <c r="B146" s="63"/>
      <c r="C146" s="63"/>
    </row>
    <row r="147">
      <c r="B147" s="63"/>
      <c r="C147" s="63"/>
    </row>
    <row r="148">
      <c r="B148" s="63"/>
      <c r="C148" s="63"/>
    </row>
    <row r="149">
      <c r="B149" s="63"/>
      <c r="C149" s="63"/>
    </row>
    <row r="150">
      <c r="B150" s="63"/>
      <c r="C150" s="63"/>
    </row>
    <row r="151">
      <c r="B151" s="63"/>
      <c r="C151" s="63"/>
    </row>
    <row r="152">
      <c r="B152" s="63"/>
      <c r="C152" s="63"/>
    </row>
    <row r="153">
      <c r="B153" s="63"/>
      <c r="C153" s="63"/>
    </row>
    <row r="154">
      <c r="B154" s="63"/>
      <c r="C154" s="63"/>
    </row>
    <row r="155">
      <c r="B155" s="63"/>
      <c r="C155" s="63"/>
    </row>
    <row r="156">
      <c r="B156" s="63"/>
      <c r="C156" s="63"/>
    </row>
    <row r="157">
      <c r="B157" s="63"/>
      <c r="C157" s="63"/>
    </row>
    <row r="158">
      <c r="B158" s="63"/>
      <c r="C158" s="63"/>
    </row>
    <row r="159">
      <c r="B159" s="63"/>
      <c r="C159" s="63"/>
    </row>
    <row r="160">
      <c r="B160" s="63"/>
      <c r="C160" s="63"/>
    </row>
    <row r="161">
      <c r="B161" s="63"/>
      <c r="C161" s="63"/>
    </row>
    <row r="162">
      <c r="B162" s="63"/>
      <c r="C162" s="63"/>
    </row>
    <row r="163">
      <c r="B163" s="63"/>
      <c r="C163" s="63"/>
    </row>
    <row r="164">
      <c r="B164" s="63"/>
      <c r="C164" s="63"/>
    </row>
    <row r="165">
      <c r="B165" s="63"/>
      <c r="C165" s="63"/>
    </row>
    <row r="166">
      <c r="B166" s="63"/>
      <c r="C166" s="63"/>
    </row>
    <row r="167">
      <c r="B167" s="63"/>
      <c r="C167" s="63"/>
    </row>
    <row r="168">
      <c r="B168" s="63"/>
      <c r="C168" s="63"/>
    </row>
    <row r="169">
      <c r="B169" s="63"/>
      <c r="C169" s="63"/>
    </row>
    <row r="170">
      <c r="B170" s="63"/>
      <c r="C170" s="63"/>
    </row>
    <row r="171">
      <c r="B171" s="63"/>
      <c r="C171" s="63"/>
    </row>
    <row r="172">
      <c r="B172" s="63"/>
      <c r="C172" s="63"/>
    </row>
    <row r="173">
      <c r="B173" s="63"/>
      <c r="C173" s="63"/>
    </row>
    <row r="174">
      <c r="B174" s="63"/>
      <c r="C174" s="63"/>
    </row>
    <row r="175">
      <c r="B175" s="63"/>
      <c r="C175" s="63"/>
    </row>
    <row r="176">
      <c r="B176" s="63"/>
      <c r="C176" s="63"/>
    </row>
    <row r="177">
      <c r="B177" s="63"/>
      <c r="C177" s="63"/>
    </row>
    <row r="178">
      <c r="B178" s="63"/>
      <c r="C178" s="63"/>
    </row>
    <row r="179">
      <c r="B179" s="63"/>
      <c r="C179" s="63"/>
    </row>
    <row r="180">
      <c r="B180" s="63"/>
      <c r="C180" s="63"/>
    </row>
    <row r="181">
      <c r="B181" s="63"/>
      <c r="C181" s="63"/>
    </row>
    <row r="182">
      <c r="B182" s="63"/>
      <c r="C182" s="63"/>
    </row>
    <row r="183">
      <c r="B183" s="63"/>
      <c r="C183" s="63"/>
    </row>
    <row r="184">
      <c r="B184" s="63"/>
      <c r="C184" s="63"/>
    </row>
    <row r="185">
      <c r="B185" s="63"/>
      <c r="C185" s="63"/>
    </row>
    <row r="186">
      <c r="B186" s="63"/>
      <c r="C186" s="63"/>
    </row>
    <row r="187">
      <c r="B187" s="63"/>
      <c r="C187" s="63"/>
    </row>
    <row r="188">
      <c r="B188" s="63"/>
      <c r="C188" s="63"/>
    </row>
    <row r="189">
      <c r="B189" s="63"/>
      <c r="C189" s="63"/>
    </row>
    <row r="190">
      <c r="B190" s="63"/>
      <c r="C190" s="63"/>
    </row>
    <row r="191">
      <c r="B191" s="63"/>
      <c r="C191" s="63"/>
    </row>
    <row r="192">
      <c r="B192" s="63"/>
      <c r="C192" s="63"/>
    </row>
    <row r="193">
      <c r="B193" s="63"/>
      <c r="C193" s="63"/>
    </row>
    <row r="194">
      <c r="B194" s="63"/>
      <c r="C194" s="63"/>
    </row>
    <row r="195">
      <c r="B195" s="63"/>
      <c r="C195" s="63"/>
    </row>
    <row r="196">
      <c r="B196" s="63"/>
      <c r="C196" s="63"/>
    </row>
    <row r="197">
      <c r="B197" s="63"/>
      <c r="C197" s="63"/>
    </row>
    <row r="198">
      <c r="B198" s="63"/>
      <c r="C198" s="63"/>
    </row>
    <row r="199">
      <c r="B199" s="63"/>
      <c r="C199" s="63"/>
    </row>
    <row r="200">
      <c r="B200" s="63"/>
      <c r="C200" s="63"/>
    </row>
    <row r="201">
      <c r="B201" s="63"/>
      <c r="C201" s="63"/>
    </row>
    <row r="202">
      <c r="B202" s="63"/>
      <c r="C202" s="63"/>
    </row>
    <row r="203">
      <c r="B203" s="63"/>
      <c r="C203" s="63"/>
    </row>
    <row r="204">
      <c r="B204" s="63"/>
      <c r="C204" s="63"/>
    </row>
    <row r="205">
      <c r="B205" s="63"/>
      <c r="C205" s="63"/>
    </row>
    <row r="206">
      <c r="B206" s="63"/>
      <c r="C206" s="63"/>
    </row>
    <row r="207">
      <c r="B207" s="63"/>
      <c r="C207" s="63"/>
    </row>
    <row r="208">
      <c r="B208" s="63"/>
      <c r="C208" s="63"/>
    </row>
    <row r="209">
      <c r="B209" s="63"/>
      <c r="C209" s="63"/>
    </row>
    <row r="210">
      <c r="B210" s="63"/>
      <c r="C210" s="63"/>
    </row>
    <row r="211">
      <c r="B211" s="63"/>
      <c r="C211" s="63"/>
    </row>
    <row r="212">
      <c r="B212" s="63"/>
      <c r="C212" s="63"/>
    </row>
    <row r="213">
      <c r="B213" s="63"/>
      <c r="C213" s="63"/>
    </row>
    <row r="214">
      <c r="B214" s="63"/>
      <c r="C214" s="63"/>
    </row>
    <row r="215">
      <c r="B215" s="63"/>
      <c r="C215" s="63"/>
    </row>
    <row r="216">
      <c r="B216" s="63"/>
      <c r="C216" s="63"/>
    </row>
    <row r="217">
      <c r="B217" s="63"/>
      <c r="C217" s="63"/>
    </row>
    <row r="218">
      <c r="B218" s="63"/>
      <c r="C218" s="63"/>
    </row>
    <row r="219">
      <c r="B219" s="63"/>
      <c r="C219" s="63"/>
    </row>
    <row r="220">
      <c r="B220" s="63"/>
      <c r="C220" s="63"/>
    </row>
    <row r="221">
      <c r="B221" s="63"/>
      <c r="C221" s="63"/>
    </row>
    <row r="222">
      <c r="B222" s="63"/>
      <c r="C222" s="63"/>
    </row>
    <row r="223">
      <c r="B223" s="63"/>
      <c r="C223" s="63"/>
    </row>
    <row r="224">
      <c r="B224" s="63"/>
      <c r="C224" s="63"/>
    </row>
    <row r="225">
      <c r="B225" s="63"/>
      <c r="C225" s="63"/>
    </row>
    <row r="226">
      <c r="B226" s="63"/>
      <c r="C226" s="63"/>
    </row>
    <row r="227">
      <c r="B227" s="63"/>
      <c r="C227" s="63"/>
    </row>
    <row r="228">
      <c r="B228" s="63"/>
      <c r="C228" s="63"/>
    </row>
    <row r="229">
      <c r="B229" s="63"/>
      <c r="C229" s="63"/>
    </row>
    <row r="230">
      <c r="B230" s="63"/>
      <c r="C230" s="63"/>
    </row>
    <row r="231">
      <c r="B231" s="63"/>
      <c r="C231" s="63"/>
    </row>
    <row r="232">
      <c r="B232" s="63"/>
      <c r="C232" s="63"/>
    </row>
    <row r="233">
      <c r="B233" s="63"/>
      <c r="C233" s="63"/>
    </row>
    <row r="234">
      <c r="B234" s="63"/>
      <c r="C234" s="63"/>
    </row>
    <row r="235">
      <c r="B235" s="63"/>
      <c r="C235" s="63"/>
    </row>
    <row r="236">
      <c r="B236" s="63"/>
      <c r="C236" s="63"/>
    </row>
    <row r="237">
      <c r="B237" s="63"/>
      <c r="C237" s="63"/>
    </row>
    <row r="238">
      <c r="B238" s="63"/>
      <c r="C238" s="63"/>
    </row>
    <row r="239">
      <c r="B239" s="63"/>
      <c r="C239" s="63"/>
    </row>
    <row r="240">
      <c r="B240" s="63"/>
      <c r="C240" s="63"/>
    </row>
    <row r="241">
      <c r="B241" s="63"/>
      <c r="C241" s="63"/>
    </row>
    <row r="242">
      <c r="B242" s="63"/>
      <c r="C242" s="63"/>
    </row>
    <row r="243">
      <c r="B243" s="63"/>
      <c r="C243" s="63"/>
    </row>
    <row r="244">
      <c r="B244" s="63"/>
      <c r="C244" s="63"/>
    </row>
    <row r="245">
      <c r="B245" s="63"/>
      <c r="C245" s="63"/>
    </row>
    <row r="246">
      <c r="B246" s="63"/>
      <c r="C246" s="63"/>
    </row>
    <row r="247">
      <c r="B247" s="63"/>
      <c r="C247" s="63"/>
    </row>
    <row r="248">
      <c r="B248" s="63"/>
      <c r="C248" s="63"/>
    </row>
    <row r="249">
      <c r="B249" s="63"/>
      <c r="C249" s="63"/>
    </row>
    <row r="250">
      <c r="B250" s="63"/>
      <c r="C250" s="63"/>
    </row>
    <row r="251">
      <c r="B251" s="63"/>
      <c r="C251" s="63"/>
    </row>
    <row r="252">
      <c r="B252" s="63"/>
      <c r="C252" s="63"/>
    </row>
    <row r="253">
      <c r="B253" s="63"/>
      <c r="C253" s="63"/>
    </row>
    <row r="254">
      <c r="B254" s="63"/>
      <c r="C254" s="63"/>
    </row>
    <row r="255">
      <c r="B255" s="63"/>
      <c r="C255" s="63"/>
    </row>
    <row r="256">
      <c r="B256" s="63"/>
      <c r="C256" s="63"/>
    </row>
    <row r="257">
      <c r="B257" s="63"/>
      <c r="C257" s="63"/>
    </row>
    <row r="258">
      <c r="B258" s="63"/>
      <c r="C258" s="63"/>
    </row>
    <row r="259">
      <c r="B259" s="63"/>
      <c r="C259" s="63"/>
    </row>
    <row r="260">
      <c r="B260" s="63"/>
      <c r="C260" s="63"/>
    </row>
    <row r="261">
      <c r="B261" s="63"/>
      <c r="C261" s="63"/>
    </row>
    <row r="262">
      <c r="B262" s="63"/>
      <c r="C262" s="63"/>
    </row>
    <row r="263">
      <c r="B263" s="63"/>
      <c r="C263" s="63"/>
    </row>
    <row r="264">
      <c r="B264" s="63"/>
      <c r="C264" s="63"/>
    </row>
    <row r="265">
      <c r="B265" s="63"/>
      <c r="C265" s="63"/>
    </row>
    <row r="266">
      <c r="B266" s="63"/>
      <c r="C266" s="63"/>
    </row>
    <row r="267">
      <c r="B267" s="63"/>
      <c r="C267" s="63"/>
    </row>
    <row r="268">
      <c r="B268" s="63"/>
      <c r="C268" s="63"/>
    </row>
    <row r="269">
      <c r="B269" s="63"/>
      <c r="C269" s="63"/>
    </row>
    <row r="270">
      <c r="B270" s="63"/>
      <c r="C270" s="63"/>
    </row>
    <row r="271">
      <c r="B271" s="63"/>
      <c r="C271" s="63"/>
    </row>
    <row r="272">
      <c r="B272" s="63"/>
      <c r="C272" s="63"/>
    </row>
    <row r="273">
      <c r="B273" s="63"/>
      <c r="C273" s="63"/>
    </row>
    <row r="274">
      <c r="B274" s="63"/>
      <c r="C274" s="63"/>
    </row>
    <row r="275">
      <c r="B275" s="63"/>
      <c r="C275" s="63"/>
    </row>
    <row r="276">
      <c r="B276" s="63"/>
      <c r="C276" s="63"/>
    </row>
    <row r="277">
      <c r="B277" s="63"/>
      <c r="C277" s="63"/>
    </row>
    <row r="278">
      <c r="B278" s="63"/>
      <c r="C278" s="63"/>
    </row>
    <row r="279">
      <c r="B279" s="63"/>
      <c r="C279" s="63"/>
    </row>
    <row r="280">
      <c r="B280" s="63"/>
      <c r="C280" s="63"/>
    </row>
    <row r="281">
      <c r="B281" s="63"/>
      <c r="C281" s="63"/>
    </row>
    <row r="282">
      <c r="B282" s="63"/>
      <c r="C282" s="63"/>
    </row>
    <row r="283">
      <c r="B283" s="63"/>
      <c r="C283" s="63"/>
    </row>
    <row r="284">
      <c r="B284" s="63"/>
      <c r="C284" s="63"/>
    </row>
    <row r="285">
      <c r="B285" s="63"/>
      <c r="C285" s="63"/>
    </row>
    <row r="286">
      <c r="B286" s="63"/>
      <c r="C286" s="63"/>
    </row>
    <row r="287">
      <c r="B287" s="63"/>
      <c r="C287" s="63"/>
    </row>
    <row r="288">
      <c r="B288" s="63"/>
      <c r="C288" s="63"/>
    </row>
    <row r="289">
      <c r="B289" s="63"/>
      <c r="C289" s="63"/>
    </row>
    <row r="290">
      <c r="B290" s="63"/>
      <c r="C290" s="63"/>
    </row>
    <row r="291">
      <c r="B291" s="63"/>
      <c r="C291" s="63"/>
    </row>
    <row r="292">
      <c r="B292" s="63"/>
      <c r="C292" s="63"/>
    </row>
    <row r="293">
      <c r="B293" s="63"/>
      <c r="C293" s="63"/>
    </row>
    <row r="294">
      <c r="B294" s="63"/>
      <c r="C294" s="63"/>
    </row>
    <row r="295">
      <c r="B295" s="63"/>
      <c r="C295" s="63"/>
    </row>
    <row r="296">
      <c r="B296" s="63"/>
      <c r="C296" s="63"/>
    </row>
    <row r="297">
      <c r="B297" s="63"/>
      <c r="C297" s="63"/>
    </row>
    <row r="298">
      <c r="B298" s="63"/>
      <c r="C298" s="63"/>
    </row>
    <row r="299">
      <c r="B299" s="63"/>
      <c r="C299" s="63"/>
    </row>
    <row r="300">
      <c r="B300" s="63"/>
      <c r="C300" s="63"/>
    </row>
    <row r="301">
      <c r="B301" s="63"/>
      <c r="C301" s="63"/>
    </row>
    <row r="302">
      <c r="B302" s="63"/>
      <c r="C302" s="63"/>
    </row>
    <row r="303">
      <c r="B303" s="63"/>
      <c r="C303" s="63"/>
    </row>
    <row r="304">
      <c r="B304" s="63"/>
      <c r="C304" s="63"/>
    </row>
    <row r="305">
      <c r="B305" s="63"/>
      <c r="C305" s="63"/>
    </row>
    <row r="306">
      <c r="B306" s="63"/>
      <c r="C306" s="63"/>
    </row>
    <row r="307">
      <c r="B307" s="63"/>
      <c r="C307" s="63"/>
    </row>
    <row r="308">
      <c r="B308" s="63"/>
      <c r="C308" s="63"/>
    </row>
    <row r="309">
      <c r="B309" s="63"/>
      <c r="C309" s="63"/>
    </row>
    <row r="310">
      <c r="B310" s="63"/>
      <c r="C310" s="63"/>
    </row>
    <row r="311">
      <c r="B311" s="63"/>
      <c r="C311" s="63"/>
    </row>
    <row r="312">
      <c r="B312" s="63"/>
      <c r="C312" s="63"/>
    </row>
    <row r="313">
      <c r="B313" s="63"/>
      <c r="C313" s="63"/>
    </row>
    <row r="314">
      <c r="B314" s="63"/>
      <c r="C314" s="63"/>
    </row>
    <row r="315">
      <c r="B315" s="63"/>
      <c r="C315" s="63"/>
    </row>
    <row r="316">
      <c r="B316" s="63"/>
      <c r="C316" s="63"/>
    </row>
    <row r="317">
      <c r="B317" s="63"/>
      <c r="C317" s="63"/>
    </row>
    <row r="318">
      <c r="B318" s="63"/>
      <c r="C318" s="63"/>
    </row>
    <row r="319">
      <c r="B319" s="63"/>
      <c r="C319" s="63"/>
    </row>
    <row r="320">
      <c r="B320" s="63"/>
      <c r="C320" s="63"/>
    </row>
    <row r="321">
      <c r="B321" s="63"/>
      <c r="C321" s="63"/>
    </row>
    <row r="322">
      <c r="B322" s="63"/>
      <c r="C322" s="63"/>
    </row>
    <row r="323">
      <c r="B323" s="63"/>
      <c r="C323" s="63"/>
    </row>
    <row r="324">
      <c r="B324" s="63"/>
      <c r="C324" s="63"/>
    </row>
    <row r="325">
      <c r="B325" s="63"/>
      <c r="C325" s="63"/>
    </row>
    <row r="326">
      <c r="B326" s="63"/>
      <c r="C326" s="63"/>
    </row>
    <row r="327">
      <c r="B327" s="63"/>
      <c r="C327" s="63"/>
    </row>
    <row r="328">
      <c r="B328" s="63"/>
      <c r="C328" s="63"/>
    </row>
    <row r="329">
      <c r="B329" s="63"/>
      <c r="C329" s="63"/>
    </row>
    <row r="330">
      <c r="B330" s="63"/>
      <c r="C330" s="63"/>
    </row>
    <row r="331">
      <c r="B331" s="63"/>
      <c r="C331" s="63"/>
    </row>
    <row r="332">
      <c r="B332" s="63"/>
      <c r="C332" s="63"/>
    </row>
    <row r="333">
      <c r="B333" s="63"/>
      <c r="C333" s="63"/>
    </row>
    <row r="334">
      <c r="B334" s="63"/>
      <c r="C334" s="63"/>
    </row>
    <row r="335">
      <c r="B335" s="63"/>
      <c r="C335" s="63"/>
    </row>
    <row r="336">
      <c r="B336" s="63"/>
      <c r="C336" s="63"/>
    </row>
    <row r="337">
      <c r="B337" s="63"/>
      <c r="C337" s="63"/>
    </row>
    <row r="338">
      <c r="B338" s="63"/>
      <c r="C338" s="63"/>
    </row>
    <row r="339">
      <c r="B339" s="63"/>
      <c r="C339" s="63"/>
    </row>
    <row r="340">
      <c r="B340" s="63"/>
      <c r="C340" s="63"/>
    </row>
    <row r="341">
      <c r="B341" s="63"/>
      <c r="C341" s="63"/>
    </row>
    <row r="342">
      <c r="B342" s="63"/>
      <c r="C342" s="63"/>
    </row>
    <row r="343">
      <c r="B343" s="63"/>
      <c r="C343" s="63"/>
    </row>
    <row r="344">
      <c r="B344" s="63"/>
      <c r="C344" s="63"/>
    </row>
    <row r="345">
      <c r="B345" s="63"/>
      <c r="C345" s="63"/>
    </row>
    <row r="346">
      <c r="B346" s="63"/>
      <c r="C346" s="63"/>
    </row>
    <row r="347">
      <c r="B347" s="63"/>
      <c r="C347" s="63"/>
    </row>
    <row r="348">
      <c r="B348" s="63"/>
      <c r="C348" s="63"/>
    </row>
    <row r="349">
      <c r="B349" s="63"/>
      <c r="C349" s="63"/>
    </row>
    <row r="350">
      <c r="B350" s="63"/>
      <c r="C350" s="63"/>
    </row>
    <row r="351">
      <c r="B351" s="63"/>
      <c r="C351" s="63"/>
    </row>
    <row r="352">
      <c r="B352" s="63"/>
      <c r="C352" s="63"/>
    </row>
    <row r="353">
      <c r="B353" s="63"/>
      <c r="C353" s="63"/>
    </row>
    <row r="354">
      <c r="B354" s="63"/>
      <c r="C354" s="63"/>
    </row>
    <row r="355">
      <c r="B355" s="63"/>
      <c r="C355" s="63"/>
    </row>
    <row r="356">
      <c r="B356" s="63"/>
      <c r="C356" s="63"/>
    </row>
    <row r="357">
      <c r="B357" s="63"/>
      <c r="C357" s="63"/>
    </row>
    <row r="358">
      <c r="B358" s="63"/>
      <c r="C358" s="63"/>
    </row>
    <row r="359">
      <c r="B359" s="63"/>
      <c r="C359" s="63"/>
    </row>
    <row r="360">
      <c r="B360" s="63"/>
      <c r="C360" s="63"/>
    </row>
    <row r="361">
      <c r="B361" s="63"/>
      <c r="C361" s="63"/>
    </row>
    <row r="362">
      <c r="B362" s="63"/>
      <c r="C362" s="63"/>
    </row>
    <row r="363">
      <c r="B363" s="63"/>
      <c r="C363" s="63"/>
    </row>
    <row r="364">
      <c r="B364" s="63"/>
      <c r="C364" s="63"/>
    </row>
    <row r="365">
      <c r="B365" s="63"/>
      <c r="C365" s="63"/>
    </row>
    <row r="366">
      <c r="B366" s="63"/>
      <c r="C366" s="63"/>
    </row>
    <row r="367">
      <c r="B367" s="63"/>
      <c r="C367" s="63"/>
    </row>
    <row r="368">
      <c r="B368" s="63"/>
      <c r="C368" s="63"/>
    </row>
    <row r="369">
      <c r="B369" s="63"/>
      <c r="C369" s="63"/>
    </row>
    <row r="370">
      <c r="B370" s="63"/>
      <c r="C370" s="63"/>
    </row>
    <row r="371">
      <c r="B371" s="63"/>
      <c r="C371" s="63"/>
    </row>
    <row r="372">
      <c r="B372" s="63"/>
      <c r="C372" s="63"/>
    </row>
    <row r="373">
      <c r="B373" s="63"/>
      <c r="C373" s="63"/>
    </row>
    <row r="374">
      <c r="B374" s="63"/>
      <c r="C374" s="63"/>
    </row>
    <row r="375">
      <c r="B375" s="63"/>
      <c r="C375" s="63"/>
    </row>
    <row r="376">
      <c r="B376" s="63"/>
      <c r="C376" s="63"/>
    </row>
    <row r="377">
      <c r="B377" s="63"/>
      <c r="C377" s="63"/>
    </row>
    <row r="378">
      <c r="B378" s="63"/>
      <c r="C378" s="63"/>
    </row>
    <row r="379">
      <c r="B379" s="63"/>
      <c r="C379" s="63"/>
    </row>
    <row r="380">
      <c r="B380" s="63"/>
      <c r="C380" s="63"/>
    </row>
    <row r="381">
      <c r="B381" s="63"/>
      <c r="C381" s="63"/>
    </row>
    <row r="382">
      <c r="B382" s="63"/>
      <c r="C382" s="63"/>
    </row>
    <row r="383">
      <c r="B383" s="63"/>
      <c r="C383" s="63"/>
    </row>
    <row r="384">
      <c r="B384" s="63"/>
      <c r="C384" s="63"/>
    </row>
    <row r="385">
      <c r="B385" s="63"/>
      <c r="C385" s="63"/>
    </row>
    <row r="386">
      <c r="B386" s="63"/>
      <c r="C386" s="63"/>
    </row>
    <row r="387">
      <c r="B387" s="63"/>
      <c r="C387" s="63"/>
    </row>
    <row r="388">
      <c r="B388" s="63"/>
      <c r="C388" s="63"/>
    </row>
    <row r="389">
      <c r="B389" s="63"/>
      <c r="C389" s="63"/>
    </row>
    <row r="390">
      <c r="B390" s="63"/>
      <c r="C390" s="63"/>
    </row>
    <row r="391">
      <c r="B391" s="63"/>
      <c r="C391" s="63"/>
    </row>
    <row r="392">
      <c r="B392" s="63"/>
      <c r="C392" s="63"/>
    </row>
    <row r="393">
      <c r="B393" s="63"/>
      <c r="C393" s="63"/>
    </row>
    <row r="394">
      <c r="B394" s="63"/>
      <c r="C394" s="63"/>
    </row>
    <row r="395">
      <c r="B395" s="63"/>
      <c r="C395" s="63"/>
    </row>
    <row r="396">
      <c r="B396" s="63"/>
      <c r="C396" s="63"/>
    </row>
    <row r="397">
      <c r="B397" s="63"/>
      <c r="C397" s="63"/>
    </row>
    <row r="398">
      <c r="B398" s="63"/>
      <c r="C398" s="63"/>
    </row>
    <row r="399">
      <c r="B399" s="63"/>
      <c r="C399" s="63"/>
    </row>
    <row r="400">
      <c r="B400" s="63"/>
      <c r="C400" s="63"/>
    </row>
    <row r="401">
      <c r="B401" s="63"/>
      <c r="C401" s="63"/>
    </row>
    <row r="402">
      <c r="B402" s="63"/>
      <c r="C402" s="63"/>
    </row>
    <row r="403">
      <c r="B403" s="63"/>
      <c r="C403" s="63"/>
    </row>
    <row r="404">
      <c r="B404" s="63"/>
      <c r="C404" s="63"/>
    </row>
    <row r="405">
      <c r="B405" s="63"/>
      <c r="C405" s="63"/>
    </row>
    <row r="406">
      <c r="B406" s="63"/>
      <c r="C406" s="63"/>
    </row>
    <row r="407">
      <c r="B407" s="63"/>
      <c r="C407" s="63"/>
    </row>
    <row r="408">
      <c r="B408" s="63"/>
      <c r="C408" s="63"/>
    </row>
    <row r="409">
      <c r="B409" s="63"/>
      <c r="C409" s="63"/>
    </row>
    <row r="410">
      <c r="B410" s="63"/>
      <c r="C410" s="63"/>
    </row>
    <row r="411">
      <c r="B411" s="63"/>
      <c r="C411" s="63"/>
    </row>
    <row r="412">
      <c r="B412" s="63"/>
      <c r="C412" s="63"/>
    </row>
    <row r="413">
      <c r="B413" s="63"/>
      <c r="C413" s="63"/>
    </row>
    <row r="414">
      <c r="B414" s="63"/>
      <c r="C414" s="63"/>
    </row>
    <row r="415">
      <c r="B415" s="63"/>
      <c r="C415" s="63"/>
    </row>
    <row r="416">
      <c r="B416" s="63"/>
      <c r="C416" s="63"/>
    </row>
    <row r="417">
      <c r="B417" s="63"/>
      <c r="C417" s="63"/>
    </row>
    <row r="418">
      <c r="B418" s="63"/>
      <c r="C418" s="63"/>
    </row>
    <row r="419">
      <c r="B419" s="63"/>
      <c r="C419" s="63"/>
    </row>
    <row r="420">
      <c r="B420" s="63"/>
      <c r="C420" s="63"/>
    </row>
    <row r="421">
      <c r="B421" s="63"/>
      <c r="C421" s="63"/>
    </row>
    <row r="422">
      <c r="B422" s="63"/>
      <c r="C422" s="63"/>
    </row>
    <row r="423">
      <c r="B423" s="63"/>
      <c r="C423" s="63"/>
    </row>
    <row r="424">
      <c r="B424" s="63"/>
      <c r="C424" s="63"/>
    </row>
    <row r="425">
      <c r="B425" s="63"/>
      <c r="C425" s="63"/>
    </row>
    <row r="426">
      <c r="B426" s="63"/>
      <c r="C426" s="63"/>
    </row>
    <row r="427">
      <c r="B427" s="63"/>
      <c r="C427" s="63"/>
    </row>
    <row r="428">
      <c r="B428" s="63"/>
      <c r="C428" s="63"/>
    </row>
    <row r="429">
      <c r="B429" s="63"/>
      <c r="C429" s="63"/>
    </row>
    <row r="430">
      <c r="B430" s="63"/>
      <c r="C430" s="63"/>
    </row>
    <row r="431">
      <c r="B431" s="63"/>
      <c r="C431" s="63"/>
    </row>
    <row r="432">
      <c r="B432" s="63"/>
      <c r="C432" s="63"/>
    </row>
    <row r="433">
      <c r="B433" s="63"/>
      <c r="C433" s="63"/>
    </row>
    <row r="434">
      <c r="B434" s="63"/>
      <c r="C434" s="63"/>
    </row>
    <row r="435">
      <c r="B435" s="63"/>
      <c r="C435" s="63"/>
    </row>
    <row r="436">
      <c r="B436" s="63"/>
      <c r="C436" s="63"/>
    </row>
    <row r="437">
      <c r="B437" s="63"/>
      <c r="C437" s="63"/>
    </row>
    <row r="438">
      <c r="B438" s="63"/>
      <c r="C438" s="63"/>
    </row>
    <row r="439">
      <c r="B439" s="63"/>
      <c r="C439" s="63"/>
    </row>
    <row r="440">
      <c r="B440" s="63"/>
      <c r="C440" s="63"/>
    </row>
    <row r="441">
      <c r="B441" s="63"/>
      <c r="C441" s="63"/>
    </row>
    <row r="442">
      <c r="B442" s="63"/>
      <c r="C442" s="63"/>
    </row>
    <row r="443">
      <c r="B443" s="63"/>
      <c r="C443" s="63"/>
    </row>
    <row r="444">
      <c r="B444" s="63"/>
      <c r="C444" s="63"/>
    </row>
    <row r="445">
      <c r="B445" s="63"/>
      <c r="C445" s="63"/>
    </row>
    <row r="446">
      <c r="B446" s="63"/>
      <c r="C446" s="63"/>
    </row>
    <row r="447">
      <c r="B447" s="63"/>
      <c r="C447" s="63"/>
    </row>
    <row r="448">
      <c r="B448" s="63"/>
      <c r="C448" s="63"/>
    </row>
    <row r="449">
      <c r="B449" s="63"/>
      <c r="C449" s="63"/>
    </row>
    <row r="450">
      <c r="B450" s="63"/>
      <c r="C450" s="63"/>
    </row>
    <row r="451">
      <c r="B451" s="63"/>
      <c r="C451" s="63"/>
    </row>
    <row r="452">
      <c r="B452" s="63"/>
      <c r="C452" s="63"/>
    </row>
    <row r="453">
      <c r="B453" s="63"/>
      <c r="C453" s="63"/>
    </row>
    <row r="454">
      <c r="B454" s="63"/>
      <c r="C454" s="63"/>
    </row>
    <row r="455">
      <c r="B455" s="63"/>
      <c r="C455" s="63"/>
    </row>
    <row r="456">
      <c r="B456" s="63"/>
      <c r="C456" s="63"/>
    </row>
    <row r="457">
      <c r="B457" s="63"/>
      <c r="C457" s="63"/>
    </row>
    <row r="458">
      <c r="B458" s="63"/>
      <c r="C458" s="63"/>
    </row>
    <row r="459">
      <c r="B459" s="63"/>
      <c r="C459" s="63"/>
    </row>
    <row r="460">
      <c r="B460" s="63"/>
      <c r="C460" s="63"/>
    </row>
    <row r="461">
      <c r="B461" s="63"/>
      <c r="C461" s="63"/>
    </row>
    <row r="462">
      <c r="B462" s="63"/>
      <c r="C462" s="63"/>
    </row>
    <row r="463">
      <c r="B463" s="63"/>
      <c r="C463" s="63"/>
    </row>
    <row r="464">
      <c r="B464" s="63"/>
      <c r="C464" s="63"/>
    </row>
    <row r="465">
      <c r="B465" s="63"/>
      <c r="C465" s="63"/>
    </row>
    <row r="466">
      <c r="B466" s="63"/>
      <c r="C466" s="63"/>
    </row>
    <row r="467">
      <c r="B467" s="63"/>
      <c r="C467" s="63"/>
    </row>
    <row r="468">
      <c r="B468" s="63"/>
      <c r="C468" s="63"/>
    </row>
    <row r="469">
      <c r="B469" s="63"/>
      <c r="C469" s="63"/>
    </row>
    <row r="470">
      <c r="B470" s="63"/>
      <c r="C470" s="63"/>
    </row>
    <row r="471">
      <c r="B471" s="63"/>
      <c r="C471" s="63"/>
    </row>
    <row r="472">
      <c r="B472" s="63"/>
      <c r="C472" s="63"/>
    </row>
    <row r="473">
      <c r="B473" s="63"/>
      <c r="C473" s="63"/>
    </row>
    <row r="474">
      <c r="B474" s="63"/>
      <c r="C474" s="63"/>
    </row>
    <row r="475">
      <c r="B475" s="63"/>
      <c r="C475" s="63"/>
    </row>
    <row r="476">
      <c r="B476" s="63"/>
      <c r="C476" s="63"/>
    </row>
    <row r="477">
      <c r="B477" s="63"/>
      <c r="C477" s="63"/>
    </row>
    <row r="478">
      <c r="B478" s="63"/>
      <c r="C478" s="63"/>
    </row>
    <row r="479">
      <c r="B479" s="63"/>
      <c r="C479" s="63"/>
    </row>
    <row r="480">
      <c r="B480" s="63"/>
      <c r="C480" s="63"/>
    </row>
    <row r="481">
      <c r="B481" s="63"/>
      <c r="C481" s="63"/>
    </row>
    <row r="482">
      <c r="B482" s="63"/>
      <c r="C482" s="63"/>
    </row>
    <row r="483">
      <c r="B483" s="63"/>
      <c r="C483" s="63"/>
    </row>
    <row r="484">
      <c r="B484" s="63"/>
      <c r="C484" s="63"/>
    </row>
    <row r="485">
      <c r="B485" s="63"/>
      <c r="C485" s="63"/>
    </row>
    <row r="486">
      <c r="B486" s="63"/>
      <c r="C486" s="63"/>
    </row>
    <row r="487">
      <c r="B487" s="63"/>
      <c r="C487" s="63"/>
    </row>
    <row r="488">
      <c r="B488" s="63"/>
      <c r="C488" s="63"/>
    </row>
    <row r="489">
      <c r="B489" s="63"/>
      <c r="C489" s="63"/>
    </row>
    <row r="490">
      <c r="B490" s="63"/>
      <c r="C490" s="63"/>
    </row>
    <row r="491">
      <c r="B491" s="63"/>
      <c r="C491" s="63"/>
    </row>
    <row r="492">
      <c r="B492" s="63"/>
      <c r="C492" s="63"/>
    </row>
    <row r="493">
      <c r="B493" s="63"/>
      <c r="C493" s="63"/>
    </row>
    <row r="494">
      <c r="B494" s="63"/>
      <c r="C494" s="63"/>
    </row>
    <row r="495">
      <c r="B495" s="63"/>
      <c r="C495" s="63"/>
    </row>
    <row r="496">
      <c r="B496" s="63"/>
      <c r="C496" s="63"/>
    </row>
    <row r="497">
      <c r="B497" s="63"/>
      <c r="C497" s="63"/>
    </row>
    <row r="498">
      <c r="B498" s="63"/>
      <c r="C498" s="63"/>
    </row>
    <row r="499">
      <c r="B499" s="63"/>
      <c r="C499" s="63"/>
    </row>
    <row r="500">
      <c r="B500" s="63"/>
      <c r="C500" s="63"/>
    </row>
    <row r="501">
      <c r="B501" s="63"/>
      <c r="C501" s="63"/>
    </row>
    <row r="502">
      <c r="B502" s="63"/>
      <c r="C502" s="63"/>
    </row>
    <row r="503">
      <c r="B503" s="63"/>
      <c r="C503" s="63"/>
    </row>
    <row r="504">
      <c r="B504" s="63"/>
      <c r="C504" s="63"/>
    </row>
    <row r="505">
      <c r="B505" s="63"/>
      <c r="C505" s="63"/>
    </row>
    <row r="506">
      <c r="B506" s="63"/>
      <c r="C506" s="63"/>
    </row>
    <row r="507">
      <c r="B507" s="63"/>
      <c r="C507" s="63"/>
    </row>
    <row r="508">
      <c r="B508" s="63"/>
      <c r="C508" s="63"/>
    </row>
    <row r="509">
      <c r="B509" s="63"/>
      <c r="C509" s="63"/>
    </row>
    <row r="510">
      <c r="B510" s="63"/>
      <c r="C510" s="63"/>
    </row>
    <row r="511">
      <c r="B511" s="63"/>
      <c r="C511" s="63"/>
    </row>
    <row r="512">
      <c r="B512" s="63"/>
      <c r="C512" s="63"/>
    </row>
    <row r="513">
      <c r="B513" s="63"/>
      <c r="C513" s="63"/>
    </row>
    <row r="514">
      <c r="B514" s="63"/>
      <c r="C514" s="63"/>
    </row>
    <row r="515">
      <c r="B515" s="63"/>
      <c r="C515" s="63"/>
    </row>
    <row r="516">
      <c r="B516" s="63"/>
      <c r="C516" s="63"/>
    </row>
    <row r="517">
      <c r="B517" s="63"/>
      <c r="C517" s="63"/>
    </row>
    <row r="518">
      <c r="B518" s="63"/>
      <c r="C518" s="63"/>
    </row>
    <row r="519">
      <c r="B519" s="63"/>
      <c r="C519" s="63"/>
    </row>
    <row r="520">
      <c r="B520" s="63"/>
      <c r="C520" s="63"/>
    </row>
    <row r="521">
      <c r="B521" s="63"/>
      <c r="C521" s="63"/>
    </row>
    <row r="522">
      <c r="B522" s="63"/>
      <c r="C522" s="63"/>
    </row>
    <row r="523">
      <c r="B523" s="63"/>
      <c r="C523" s="63"/>
    </row>
    <row r="524">
      <c r="B524" s="63"/>
      <c r="C524" s="63"/>
    </row>
    <row r="525">
      <c r="B525" s="63"/>
      <c r="C525" s="63"/>
    </row>
    <row r="526">
      <c r="B526" s="63"/>
      <c r="C526" s="63"/>
    </row>
    <row r="527">
      <c r="B527" s="63"/>
      <c r="C527" s="63"/>
    </row>
    <row r="528">
      <c r="B528" s="63"/>
      <c r="C528" s="63"/>
    </row>
    <row r="529">
      <c r="B529" s="63"/>
      <c r="C529" s="63"/>
    </row>
    <row r="530">
      <c r="B530" s="63"/>
      <c r="C530" s="63"/>
    </row>
    <row r="531">
      <c r="B531" s="63"/>
      <c r="C531" s="63"/>
    </row>
    <row r="532">
      <c r="B532" s="63"/>
      <c r="C532" s="63"/>
    </row>
    <row r="533">
      <c r="B533" s="63"/>
      <c r="C533" s="63"/>
    </row>
    <row r="534">
      <c r="B534" s="63"/>
      <c r="C534" s="63"/>
    </row>
    <row r="535">
      <c r="B535" s="63"/>
      <c r="C535" s="63"/>
    </row>
    <row r="536">
      <c r="B536" s="63"/>
      <c r="C536" s="63"/>
    </row>
    <row r="537">
      <c r="B537" s="63"/>
      <c r="C537" s="63"/>
    </row>
    <row r="538">
      <c r="B538" s="63"/>
      <c r="C538" s="63"/>
    </row>
    <row r="539">
      <c r="B539" s="63"/>
      <c r="C539" s="63"/>
    </row>
    <row r="540">
      <c r="B540" s="63"/>
      <c r="C540" s="63"/>
    </row>
    <row r="541">
      <c r="B541" s="63"/>
      <c r="C541" s="63"/>
    </row>
    <row r="542">
      <c r="B542" s="63"/>
      <c r="C542" s="63"/>
    </row>
    <row r="543">
      <c r="B543" s="63"/>
      <c r="C543" s="63"/>
    </row>
    <row r="544">
      <c r="B544" s="63"/>
      <c r="C544" s="63"/>
    </row>
    <row r="545">
      <c r="B545" s="63"/>
      <c r="C545" s="63"/>
    </row>
    <row r="546">
      <c r="B546" s="63"/>
      <c r="C546" s="63"/>
    </row>
    <row r="547">
      <c r="B547" s="63"/>
      <c r="C547" s="63"/>
    </row>
    <row r="548">
      <c r="B548" s="63"/>
      <c r="C548" s="63"/>
    </row>
    <row r="549">
      <c r="B549" s="63"/>
      <c r="C549" s="63"/>
    </row>
    <row r="550">
      <c r="B550" s="63"/>
      <c r="C550" s="63"/>
    </row>
    <row r="551">
      <c r="B551" s="63"/>
      <c r="C551" s="63"/>
    </row>
    <row r="552">
      <c r="B552" s="63"/>
      <c r="C552" s="63"/>
    </row>
    <row r="553">
      <c r="B553" s="63"/>
      <c r="C553" s="63"/>
    </row>
    <row r="554">
      <c r="B554" s="63"/>
      <c r="C554" s="63"/>
    </row>
    <row r="555">
      <c r="B555" s="63"/>
      <c r="C555" s="63"/>
    </row>
    <row r="556">
      <c r="B556" s="63"/>
      <c r="C556" s="63"/>
    </row>
    <row r="557">
      <c r="B557" s="63"/>
      <c r="C557" s="63"/>
    </row>
    <row r="558">
      <c r="B558" s="63"/>
      <c r="C558" s="63"/>
    </row>
    <row r="559">
      <c r="B559" s="63"/>
      <c r="C559" s="63"/>
    </row>
    <row r="560">
      <c r="B560" s="63"/>
      <c r="C560" s="63"/>
    </row>
    <row r="561">
      <c r="B561" s="63"/>
      <c r="C561" s="63"/>
    </row>
    <row r="562">
      <c r="B562" s="63"/>
      <c r="C562" s="63"/>
    </row>
    <row r="563">
      <c r="B563" s="63"/>
      <c r="C563" s="63"/>
    </row>
    <row r="564">
      <c r="B564" s="63"/>
      <c r="C564" s="63"/>
    </row>
    <row r="565">
      <c r="B565" s="63"/>
      <c r="C565" s="63"/>
    </row>
    <row r="566">
      <c r="B566" s="63"/>
      <c r="C566" s="63"/>
    </row>
    <row r="567">
      <c r="B567" s="63"/>
      <c r="C567" s="63"/>
    </row>
    <row r="568">
      <c r="B568" s="63"/>
      <c r="C568" s="63"/>
    </row>
    <row r="569">
      <c r="B569" s="63"/>
      <c r="C569" s="63"/>
    </row>
    <row r="570">
      <c r="B570" s="63"/>
      <c r="C570" s="63"/>
    </row>
    <row r="571">
      <c r="B571" s="63"/>
      <c r="C571" s="63"/>
    </row>
    <row r="572">
      <c r="B572" s="63"/>
      <c r="C572" s="63"/>
    </row>
    <row r="573">
      <c r="B573" s="63"/>
      <c r="C573" s="63"/>
    </row>
    <row r="574">
      <c r="B574" s="63"/>
      <c r="C574" s="63"/>
    </row>
    <row r="575">
      <c r="B575" s="63"/>
      <c r="C575" s="63"/>
    </row>
    <row r="576">
      <c r="B576" s="63"/>
      <c r="C576" s="63"/>
    </row>
    <row r="577">
      <c r="B577" s="63"/>
      <c r="C577" s="63"/>
    </row>
    <row r="578">
      <c r="B578" s="63"/>
      <c r="C578" s="63"/>
    </row>
    <row r="579">
      <c r="B579" s="63"/>
      <c r="C579" s="63"/>
    </row>
    <row r="580">
      <c r="B580" s="63"/>
      <c r="C580" s="63"/>
    </row>
    <row r="581">
      <c r="B581" s="63"/>
      <c r="C581" s="63"/>
    </row>
    <row r="582">
      <c r="B582" s="63"/>
      <c r="C582" s="63"/>
    </row>
    <row r="583">
      <c r="B583" s="63"/>
      <c r="C583" s="63"/>
    </row>
    <row r="584">
      <c r="B584" s="63"/>
      <c r="C584" s="63"/>
    </row>
    <row r="585">
      <c r="B585" s="63"/>
      <c r="C585" s="63"/>
    </row>
    <row r="586">
      <c r="B586" s="63"/>
      <c r="C586" s="63"/>
    </row>
    <row r="587">
      <c r="B587" s="63"/>
      <c r="C587" s="63"/>
    </row>
    <row r="588">
      <c r="B588" s="63"/>
      <c r="C588" s="63"/>
    </row>
    <row r="589">
      <c r="B589" s="63"/>
      <c r="C589" s="63"/>
    </row>
    <row r="590">
      <c r="B590" s="63"/>
      <c r="C590" s="63"/>
    </row>
    <row r="591">
      <c r="B591" s="63"/>
      <c r="C591" s="63"/>
    </row>
    <row r="592">
      <c r="B592" s="63"/>
      <c r="C592" s="63"/>
    </row>
    <row r="593">
      <c r="B593" s="63"/>
      <c r="C593" s="63"/>
    </row>
    <row r="594">
      <c r="B594" s="63"/>
      <c r="C594" s="63"/>
    </row>
    <row r="595">
      <c r="B595" s="63"/>
      <c r="C595" s="63"/>
    </row>
    <row r="596">
      <c r="B596" s="63"/>
      <c r="C596" s="63"/>
    </row>
    <row r="597">
      <c r="B597" s="63"/>
      <c r="C597" s="63"/>
    </row>
    <row r="598">
      <c r="B598" s="63"/>
      <c r="C598" s="63"/>
    </row>
    <row r="599">
      <c r="B599" s="63"/>
      <c r="C599" s="63"/>
    </row>
    <row r="600">
      <c r="B600" s="63"/>
      <c r="C600" s="63"/>
    </row>
    <row r="601">
      <c r="B601" s="63"/>
      <c r="C601" s="63"/>
    </row>
    <row r="602">
      <c r="B602" s="63"/>
      <c r="C602" s="63"/>
    </row>
    <row r="603">
      <c r="B603" s="63"/>
      <c r="C603" s="63"/>
    </row>
    <row r="604">
      <c r="B604" s="63"/>
      <c r="C604" s="63"/>
    </row>
    <row r="605">
      <c r="B605" s="63"/>
      <c r="C605" s="63"/>
    </row>
    <row r="606">
      <c r="B606" s="63"/>
      <c r="C606" s="63"/>
    </row>
    <row r="607">
      <c r="B607" s="63"/>
      <c r="C607" s="63"/>
    </row>
    <row r="608">
      <c r="B608" s="63"/>
      <c r="C608" s="63"/>
    </row>
    <row r="609">
      <c r="B609" s="63"/>
      <c r="C609" s="63"/>
    </row>
    <row r="610">
      <c r="B610" s="63"/>
      <c r="C610" s="63"/>
    </row>
    <row r="611">
      <c r="B611" s="63"/>
      <c r="C611" s="63"/>
    </row>
    <row r="612">
      <c r="B612" s="63"/>
      <c r="C612" s="63"/>
    </row>
    <row r="613">
      <c r="B613" s="63"/>
      <c r="C613" s="63"/>
    </row>
    <row r="614">
      <c r="B614" s="63"/>
      <c r="C614" s="63"/>
    </row>
    <row r="615">
      <c r="B615" s="63"/>
      <c r="C615" s="63"/>
    </row>
    <row r="616">
      <c r="B616" s="63"/>
      <c r="C616" s="63"/>
    </row>
    <row r="617">
      <c r="B617" s="63"/>
      <c r="C617" s="63"/>
    </row>
    <row r="618">
      <c r="B618" s="63"/>
      <c r="C618" s="63"/>
    </row>
    <row r="619">
      <c r="B619" s="63"/>
      <c r="C619" s="63"/>
    </row>
    <row r="620">
      <c r="B620" s="63"/>
      <c r="C620" s="63"/>
    </row>
    <row r="621">
      <c r="B621" s="63"/>
      <c r="C621" s="63"/>
    </row>
    <row r="622">
      <c r="B622" s="63"/>
      <c r="C622" s="63"/>
    </row>
    <row r="623">
      <c r="B623" s="63"/>
      <c r="C623" s="63"/>
    </row>
    <row r="624">
      <c r="B624" s="63"/>
      <c r="C624" s="63"/>
    </row>
    <row r="625">
      <c r="B625" s="63"/>
      <c r="C625" s="63"/>
    </row>
    <row r="626">
      <c r="B626" s="63"/>
      <c r="C626" s="63"/>
    </row>
    <row r="627">
      <c r="B627" s="63"/>
      <c r="C627" s="63"/>
    </row>
    <row r="628">
      <c r="B628" s="63"/>
      <c r="C628" s="63"/>
    </row>
    <row r="629">
      <c r="B629" s="63"/>
      <c r="C629" s="63"/>
    </row>
    <row r="630">
      <c r="B630" s="63"/>
      <c r="C630" s="63"/>
    </row>
    <row r="631">
      <c r="B631" s="63"/>
      <c r="C631" s="63"/>
    </row>
    <row r="632">
      <c r="B632" s="63"/>
      <c r="C632" s="63"/>
    </row>
    <row r="633">
      <c r="B633" s="63"/>
      <c r="C633" s="63"/>
    </row>
    <row r="634">
      <c r="B634" s="63"/>
      <c r="C634" s="63"/>
    </row>
    <row r="635">
      <c r="B635" s="63"/>
      <c r="C635" s="63"/>
    </row>
    <row r="636">
      <c r="B636" s="63"/>
      <c r="C636" s="63"/>
    </row>
    <row r="637">
      <c r="B637" s="63"/>
      <c r="C637" s="63"/>
    </row>
    <row r="638">
      <c r="B638" s="63"/>
      <c r="C638" s="63"/>
    </row>
    <row r="639">
      <c r="B639" s="63"/>
      <c r="C639" s="63"/>
    </row>
    <row r="640">
      <c r="B640" s="63"/>
      <c r="C640" s="63"/>
    </row>
    <row r="641">
      <c r="B641" s="63"/>
      <c r="C641" s="63"/>
    </row>
    <row r="642">
      <c r="B642" s="63"/>
      <c r="C642" s="63"/>
    </row>
    <row r="643">
      <c r="B643" s="63"/>
      <c r="C643" s="63"/>
    </row>
    <row r="644">
      <c r="B644" s="63"/>
      <c r="C644" s="63"/>
    </row>
    <row r="645">
      <c r="B645" s="63"/>
      <c r="C645" s="63"/>
    </row>
    <row r="646">
      <c r="B646" s="63"/>
      <c r="C646" s="63"/>
    </row>
    <row r="647">
      <c r="B647" s="63"/>
      <c r="C647" s="63"/>
    </row>
    <row r="648">
      <c r="B648" s="63"/>
      <c r="C648" s="63"/>
    </row>
    <row r="649">
      <c r="B649" s="63"/>
      <c r="C649" s="63"/>
    </row>
    <row r="650">
      <c r="B650" s="63"/>
      <c r="C650" s="63"/>
    </row>
    <row r="651">
      <c r="B651" s="63"/>
      <c r="C651" s="63"/>
    </row>
    <row r="652">
      <c r="B652" s="63"/>
      <c r="C652" s="63"/>
    </row>
    <row r="653">
      <c r="B653" s="63"/>
      <c r="C653" s="63"/>
    </row>
    <row r="654">
      <c r="B654" s="63"/>
      <c r="C654" s="63"/>
    </row>
    <row r="655">
      <c r="B655" s="63"/>
      <c r="C655" s="63"/>
    </row>
    <row r="656">
      <c r="B656" s="63"/>
      <c r="C656" s="63"/>
    </row>
    <row r="657">
      <c r="B657" s="63"/>
      <c r="C657" s="63"/>
    </row>
    <row r="658">
      <c r="B658" s="63"/>
      <c r="C658" s="63"/>
    </row>
    <row r="659">
      <c r="B659" s="63"/>
      <c r="C659" s="63"/>
    </row>
    <row r="660">
      <c r="B660" s="63"/>
      <c r="C660" s="63"/>
    </row>
    <row r="661">
      <c r="B661" s="63"/>
      <c r="C661" s="63"/>
    </row>
    <row r="662">
      <c r="B662" s="63"/>
      <c r="C662" s="63"/>
    </row>
    <row r="663">
      <c r="B663" s="63"/>
      <c r="C663" s="63"/>
    </row>
    <row r="664">
      <c r="B664" s="63"/>
      <c r="C664" s="63"/>
    </row>
    <row r="665">
      <c r="B665" s="63"/>
      <c r="C665" s="63"/>
    </row>
    <row r="666">
      <c r="B666" s="63"/>
      <c r="C666" s="63"/>
    </row>
    <row r="667">
      <c r="B667" s="63"/>
      <c r="C667" s="63"/>
    </row>
    <row r="668">
      <c r="B668" s="63"/>
      <c r="C668" s="63"/>
    </row>
    <row r="669">
      <c r="B669" s="63"/>
      <c r="C669" s="63"/>
    </row>
    <row r="670">
      <c r="B670" s="63"/>
      <c r="C670" s="63"/>
    </row>
    <row r="671">
      <c r="B671" s="63"/>
      <c r="C671" s="63"/>
    </row>
    <row r="672">
      <c r="B672" s="63"/>
      <c r="C672" s="63"/>
    </row>
    <row r="673">
      <c r="B673" s="63"/>
      <c r="C673" s="63"/>
    </row>
    <row r="674">
      <c r="B674" s="63"/>
      <c r="C674" s="63"/>
    </row>
    <row r="675">
      <c r="B675" s="63"/>
      <c r="C675" s="63"/>
    </row>
    <row r="676">
      <c r="B676" s="63"/>
      <c r="C676" s="63"/>
    </row>
    <row r="677">
      <c r="B677" s="63"/>
      <c r="C677" s="63"/>
    </row>
    <row r="678">
      <c r="B678" s="63"/>
      <c r="C678" s="63"/>
    </row>
    <row r="679">
      <c r="B679" s="63"/>
      <c r="C679" s="63"/>
    </row>
    <row r="680">
      <c r="B680" s="63"/>
      <c r="C680" s="63"/>
    </row>
    <row r="681">
      <c r="B681" s="63"/>
      <c r="C681" s="63"/>
    </row>
    <row r="682">
      <c r="B682" s="63"/>
      <c r="C682" s="63"/>
    </row>
    <row r="683">
      <c r="B683" s="63"/>
      <c r="C683" s="63"/>
    </row>
    <row r="684">
      <c r="B684" s="63"/>
      <c r="C684" s="63"/>
    </row>
    <row r="685">
      <c r="B685" s="63"/>
      <c r="C685" s="63"/>
    </row>
    <row r="686">
      <c r="B686" s="63"/>
      <c r="C686" s="63"/>
    </row>
    <row r="687">
      <c r="B687" s="63"/>
      <c r="C687" s="63"/>
    </row>
    <row r="688">
      <c r="B688" s="63"/>
      <c r="C688" s="63"/>
    </row>
    <row r="689">
      <c r="B689" s="63"/>
      <c r="C689" s="63"/>
    </row>
    <row r="690">
      <c r="B690" s="63"/>
      <c r="C690" s="63"/>
    </row>
    <row r="691">
      <c r="B691" s="63"/>
      <c r="C691" s="63"/>
    </row>
    <row r="692">
      <c r="B692" s="63"/>
      <c r="C692" s="63"/>
    </row>
    <row r="693">
      <c r="B693" s="63"/>
      <c r="C693" s="63"/>
    </row>
    <row r="694">
      <c r="B694" s="63"/>
      <c r="C694" s="63"/>
    </row>
    <row r="695">
      <c r="B695" s="63"/>
      <c r="C695" s="63"/>
    </row>
    <row r="696">
      <c r="B696" s="63"/>
      <c r="C696" s="63"/>
    </row>
    <row r="697">
      <c r="B697" s="63"/>
      <c r="C697" s="63"/>
    </row>
    <row r="698">
      <c r="B698" s="63"/>
      <c r="C698" s="63"/>
    </row>
    <row r="699">
      <c r="B699" s="63"/>
      <c r="C699" s="63"/>
    </row>
    <row r="700">
      <c r="B700" s="63"/>
      <c r="C700" s="63"/>
    </row>
    <row r="701">
      <c r="B701" s="63"/>
      <c r="C701" s="63"/>
    </row>
    <row r="702">
      <c r="B702" s="63"/>
      <c r="C702" s="63"/>
    </row>
    <row r="703">
      <c r="B703" s="63"/>
      <c r="C703" s="63"/>
    </row>
    <row r="704">
      <c r="B704" s="63"/>
      <c r="C704" s="63"/>
    </row>
    <row r="705">
      <c r="B705" s="63"/>
      <c r="C705" s="63"/>
    </row>
    <row r="706">
      <c r="B706" s="63"/>
      <c r="C706" s="63"/>
    </row>
    <row r="707">
      <c r="B707" s="63"/>
      <c r="C707" s="63"/>
    </row>
    <row r="708">
      <c r="B708" s="63"/>
      <c r="C708" s="63"/>
    </row>
    <row r="709">
      <c r="B709" s="63"/>
      <c r="C709" s="63"/>
    </row>
    <row r="710">
      <c r="B710" s="63"/>
      <c r="C710" s="63"/>
    </row>
    <row r="711">
      <c r="B711" s="63"/>
      <c r="C711" s="63"/>
    </row>
    <row r="712">
      <c r="B712" s="63"/>
      <c r="C712" s="63"/>
    </row>
    <row r="713">
      <c r="B713" s="63"/>
      <c r="C713" s="63"/>
    </row>
    <row r="714">
      <c r="B714" s="63"/>
      <c r="C714" s="63"/>
    </row>
    <row r="715">
      <c r="B715" s="63"/>
      <c r="C715" s="63"/>
    </row>
    <row r="716">
      <c r="B716" s="63"/>
      <c r="C716" s="63"/>
    </row>
    <row r="717">
      <c r="B717" s="63"/>
      <c r="C717" s="63"/>
    </row>
    <row r="718">
      <c r="B718" s="63"/>
      <c r="C718" s="63"/>
    </row>
    <row r="719">
      <c r="B719" s="63"/>
      <c r="C719" s="63"/>
    </row>
    <row r="720">
      <c r="B720" s="63"/>
      <c r="C720" s="63"/>
    </row>
    <row r="721">
      <c r="B721" s="63"/>
      <c r="C721" s="63"/>
    </row>
    <row r="722">
      <c r="B722" s="63"/>
      <c r="C722" s="63"/>
    </row>
    <row r="723">
      <c r="B723" s="63"/>
      <c r="C723" s="63"/>
    </row>
    <row r="724">
      <c r="B724" s="63"/>
      <c r="C724" s="63"/>
    </row>
    <row r="725">
      <c r="B725" s="63"/>
      <c r="C725" s="63"/>
    </row>
    <row r="726">
      <c r="B726" s="63"/>
      <c r="C726" s="63"/>
    </row>
    <row r="727">
      <c r="B727" s="63"/>
      <c r="C727" s="63"/>
    </row>
    <row r="728">
      <c r="B728" s="63"/>
      <c r="C728" s="63"/>
    </row>
    <row r="729">
      <c r="B729" s="63"/>
      <c r="C729" s="63"/>
    </row>
    <row r="730">
      <c r="B730" s="63"/>
      <c r="C730" s="63"/>
    </row>
    <row r="731">
      <c r="B731" s="63"/>
      <c r="C731" s="63"/>
    </row>
    <row r="732">
      <c r="B732" s="63"/>
      <c r="C732" s="63"/>
    </row>
    <row r="733">
      <c r="B733" s="63"/>
      <c r="C733" s="63"/>
    </row>
    <row r="734">
      <c r="B734" s="63"/>
      <c r="C734" s="63"/>
    </row>
    <row r="735">
      <c r="B735" s="63"/>
      <c r="C735" s="63"/>
    </row>
    <row r="736">
      <c r="B736" s="63"/>
      <c r="C736" s="63"/>
    </row>
    <row r="737">
      <c r="B737" s="63"/>
      <c r="C737" s="63"/>
    </row>
    <row r="738">
      <c r="B738" s="63"/>
      <c r="C738" s="63"/>
    </row>
    <row r="739">
      <c r="B739" s="63"/>
      <c r="C739" s="63"/>
    </row>
    <row r="740">
      <c r="B740" s="63"/>
      <c r="C740" s="63"/>
    </row>
    <row r="741">
      <c r="B741" s="63"/>
      <c r="C741" s="63"/>
    </row>
    <row r="742">
      <c r="B742" s="63"/>
      <c r="C742" s="63"/>
    </row>
    <row r="743">
      <c r="B743" s="63"/>
      <c r="C743" s="63"/>
    </row>
    <row r="744">
      <c r="B744" s="63"/>
      <c r="C744" s="63"/>
    </row>
    <row r="745">
      <c r="B745" s="63"/>
      <c r="C745" s="63"/>
    </row>
    <row r="746">
      <c r="B746" s="63"/>
      <c r="C746" s="63"/>
    </row>
    <row r="747">
      <c r="B747" s="63"/>
      <c r="C747" s="63"/>
    </row>
    <row r="748">
      <c r="B748" s="63"/>
      <c r="C748" s="63"/>
    </row>
    <row r="749">
      <c r="B749" s="63"/>
      <c r="C749" s="63"/>
    </row>
    <row r="750">
      <c r="B750" s="63"/>
      <c r="C750" s="63"/>
    </row>
    <row r="751">
      <c r="B751" s="63"/>
      <c r="C751" s="63"/>
    </row>
    <row r="752">
      <c r="B752" s="63"/>
      <c r="C752" s="63"/>
    </row>
    <row r="753">
      <c r="B753" s="63"/>
      <c r="C753" s="63"/>
    </row>
    <row r="754">
      <c r="B754" s="63"/>
      <c r="C754" s="63"/>
    </row>
    <row r="755">
      <c r="B755" s="63"/>
      <c r="C755" s="63"/>
    </row>
    <row r="756">
      <c r="B756" s="63"/>
      <c r="C756" s="63"/>
    </row>
    <row r="757">
      <c r="B757" s="63"/>
      <c r="C757" s="63"/>
    </row>
    <row r="758">
      <c r="B758" s="63"/>
      <c r="C758" s="63"/>
    </row>
    <row r="759">
      <c r="B759" s="63"/>
      <c r="C759" s="63"/>
    </row>
    <row r="760">
      <c r="B760" s="63"/>
      <c r="C760" s="63"/>
    </row>
    <row r="761">
      <c r="B761" s="63"/>
      <c r="C761" s="63"/>
    </row>
    <row r="762">
      <c r="B762" s="63"/>
      <c r="C762" s="63"/>
    </row>
    <row r="763">
      <c r="B763" s="63"/>
      <c r="C763" s="63"/>
    </row>
    <row r="764">
      <c r="B764" s="63"/>
      <c r="C764" s="63"/>
    </row>
    <row r="765">
      <c r="B765" s="63"/>
      <c r="C765" s="63"/>
    </row>
    <row r="766">
      <c r="B766" s="63"/>
      <c r="C766" s="63"/>
    </row>
    <row r="767">
      <c r="B767" s="63"/>
      <c r="C767" s="63"/>
    </row>
    <row r="768">
      <c r="B768" s="63"/>
      <c r="C768" s="63"/>
    </row>
    <row r="769">
      <c r="B769" s="63"/>
      <c r="C769" s="63"/>
    </row>
    <row r="770">
      <c r="B770" s="63"/>
      <c r="C770" s="63"/>
    </row>
    <row r="771">
      <c r="B771" s="63"/>
      <c r="C771" s="63"/>
    </row>
    <row r="772">
      <c r="B772" s="63"/>
      <c r="C772" s="63"/>
    </row>
    <row r="773">
      <c r="B773" s="63"/>
      <c r="C773" s="63"/>
    </row>
    <row r="774">
      <c r="B774" s="63"/>
      <c r="C774" s="63"/>
    </row>
    <row r="775">
      <c r="B775" s="63"/>
      <c r="C775" s="63"/>
    </row>
    <row r="776">
      <c r="B776" s="63"/>
      <c r="C776" s="63"/>
    </row>
    <row r="777">
      <c r="B777" s="63"/>
      <c r="C777" s="63"/>
    </row>
    <row r="778">
      <c r="B778" s="63"/>
      <c r="C778" s="63"/>
    </row>
    <row r="779">
      <c r="B779" s="63"/>
      <c r="C779" s="63"/>
    </row>
    <row r="780">
      <c r="B780" s="63"/>
      <c r="C780" s="63"/>
    </row>
    <row r="781">
      <c r="B781" s="63"/>
      <c r="C781" s="63"/>
    </row>
    <row r="782">
      <c r="B782" s="63"/>
      <c r="C782" s="63"/>
    </row>
    <row r="783">
      <c r="B783" s="63"/>
      <c r="C783" s="63"/>
    </row>
    <row r="784">
      <c r="B784" s="63"/>
      <c r="C784" s="63"/>
    </row>
    <row r="785">
      <c r="B785" s="63"/>
      <c r="C785" s="63"/>
    </row>
    <row r="786">
      <c r="B786" s="63"/>
      <c r="C786" s="63"/>
    </row>
    <row r="787">
      <c r="B787" s="63"/>
      <c r="C787" s="63"/>
    </row>
    <row r="788">
      <c r="B788" s="63"/>
      <c r="C788" s="63"/>
    </row>
    <row r="789">
      <c r="B789" s="63"/>
      <c r="C789" s="63"/>
    </row>
    <row r="790">
      <c r="B790" s="63"/>
      <c r="C790" s="63"/>
    </row>
    <row r="791">
      <c r="B791" s="63"/>
      <c r="C791" s="63"/>
    </row>
    <row r="792">
      <c r="B792" s="63"/>
      <c r="C792" s="63"/>
    </row>
    <row r="793">
      <c r="B793" s="63"/>
      <c r="C793" s="63"/>
    </row>
    <row r="794">
      <c r="B794" s="63"/>
      <c r="C794" s="63"/>
    </row>
    <row r="795">
      <c r="B795" s="63"/>
      <c r="C795" s="63"/>
    </row>
    <row r="796">
      <c r="B796" s="63"/>
      <c r="C796" s="63"/>
    </row>
    <row r="797">
      <c r="B797" s="63"/>
      <c r="C797" s="63"/>
    </row>
    <row r="798">
      <c r="B798" s="63"/>
      <c r="C798" s="63"/>
    </row>
    <row r="799">
      <c r="B799" s="63"/>
      <c r="C799" s="63"/>
    </row>
    <row r="800">
      <c r="B800" s="63"/>
      <c r="C800" s="63"/>
    </row>
    <row r="801">
      <c r="B801" s="63"/>
      <c r="C801" s="63"/>
    </row>
    <row r="802">
      <c r="B802" s="63"/>
      <c r="C802" s="63"/>
    </row>
    <row r="803">
      <c r="B803" s="63"/>
      <c r="C803" s="63"/>
    </row>
    <row r="804">
      <c r="B804" s="63"/>
      <c r="C804" s="63"/>
    </row>
    <row r="805">
      <c r="B805" s="63"/>
      <c r="C805" s="63"/>
    </row>
    <row r="806">
      <c r="B806" s="63"/>
      <c r="C806" s="63"/>
    </row>
    <row r="807">
      <c r="B807" s="63"/>
      <c r="C807" s="63"/>
    </row>
    <row r="808">
      <c r="B808" s="63"/>
      <c r="C808" s="63"/>
    </row>
    <row r="809">
      <c r="B809" s="63"/>
      <c r="C809" s="63"/>
    </row>
    <row r="810">
      <c r="B810" s="63"/>
      <c r="C810" s="63"/>
    </row>
    <row r="811">
      <c r="B811" s="63"/>
      <c r="C811" s="63"/>
    </row>
    <row r="812">
      <c r="B812" s="63"/>
      <c r="C812" s="63"/>
    </row>
    <row r="813">
      <c r="B813" s="63"/>
      <c r="C813" s="63"/>
    </row>
    <row r="814">
      <c r="B814" s="63"/>
      <c r="C814" s="63"/>
    </row>
    <row r="815">
      <c r="B815" s="63"/>
      <c r="C815" s="63"/>
    </row>
    <row r="816">
      <c r="B816" s="63"/>
      <c r="C816" s="63"/>
    </row>
    <row r="817">
      <c r="B817" s="63"/>
      <c r="C817" s="63"/>
    </row>
    <row r="818">
      <c r="B818" s="63"/>
      <c r="C818" s="63"/>
    </row>
    <row r="819">
      <c r="B819" s="63"/>
      <c r="C819" s="63"/>
    </row>
    <row r="820">
      <c r="B820" s="63"/>
      <c r="C820" s="63"/>
    </row>
    <row r="821">
      <c r="B821" s="63"/>
      <c r="C821" s="63"/>
    </row>
    <row r="822">
      <c r="B822" s="63"/>
      <c r="C822" s="63"/>
    </row>
    <row r="823">
      <c r="B823" s="63"/>
      <c r="C823" s="63"/>
    </row>
    <row r="824">
      <c r="B824" s="63"/>
      <c r="C824" s="63"/>
    </row>
    <row r="825">
      <c r="B825" s="63"/>
      <c r="C825" s="63"/>
    </row>
    <row r="826">
      <c r="B826" s="63"/>
      <c r="C826" s="63"/>
    </row>
    <row r="827">
      <c r="B827" s="63"/>
      <c r="C827" s="63"/>
    </row>
    <row r="828">
      <c r="B828" s="63"/>
      <c r="C828" s="63"/>
    </row>
    <row r="829">
      <c r="B829" s="63"/>
      <c r="C829" s="63"/>
    </row>
    <row r="830">
      <c r="B830" s="63"/>
      <c r="C830" s="63"/>
    </row>
    <row r="831">
      <c r="B831" s="63"/>
      <c r="C831" s="63"/>
    </row>
    <row r="832">
      <c r="B832" s="63"/>
      <c r="C832" s="63"/>
    </row>
    <row r="833">
      <c r="B833" s="63"/>
      <c r="C833" s="63"/>
    </row>
    <row r="834">
      <c r="B834" s="63"/>
      <c r="C834" s="63"/>
    </row>
    <row r="835">
      <c r="B835" s="63"/>
      <c r="C835" s="63"/>
    </row>
    <row r="836">
      <c r="B836" s="63"/>
      <c r="C836" s="63"/>
    </row>
    <row r="837">
      <c r="B837" s="63"/>
      <c r="C837" s="63"/>
    </row>
    <row r="838">
      <c r="B838" s="63"/>
      <c r="C838" s="63"/>
    </row>
    <row r="839">
      <c r="B839" s="63"/>
      <c r="C839" s="63"/>
    </row>
    <row r="840">
      <c r="B840" s="63"/>
      <c r="C840" s="63"/>
    </row>
    <row r="841">
      <c r="B841" s="63"/>
      <c r="C841" s="63"/>
    </row>
    <row r="842">
      <c r="B842" s="63"/>
      <c r="C842" s="63"/>
    </row>
    <row r="843">
      <c r="B843" s="63"/>
      <c r="C843" s="63"/>
    </row>
    <row r="844">
      <c r="B844" s="63"/>
      <c r="C844" s="63"/>
    </row>
    <row r="845">
      <c r="B845" s="63"/>
      <c r="C845" s="63"/>
    </row>
    <row r="846">
      <c r="B846" s="63"/>
      <c r="C846" s="63"/>
    </row>
    <row r="847">
      <c r="B847" s="63"/>
      <c r="C847" s="63"/>
    </row>
    <row r="848">
      <c r="B848" s="63"/>
      <c r="C848" s="63"/>
    </row>
    <row r="849">
      <c r="B849" s="63"/>
      <c r="C849" s="63"/>
    </row>
    <row r="850">
      <c r="B850" s="63"/>
      <c r="C850" s="63"/>
    </row>
    <row r="851">
      <c r="B851" s="63"/>
      <c r="C851" s="63"/>
    </row>
    <row r="852">
      <c r="B852" s="63"/>
      <c r="C852" s="63"/>
    </row>
    <row r="853">
      <c r="B853" s="63"/>
      <c r="C853" s="63"/>
    </row>
    <row r="854">
      <c r="B854" s="63"/>
      <c r="C854" s="63"/>
    </row>
    <row r="855">
      <c r="B855" s="63"/>
      <c r="C855" s="63"/>
    </row>
    <row r="856">
      <c r="B856" s="63"/>
      <c r="C856" s="63"/>
    </row>
    <row r="857">
      <c r="B857" s="63"/>
      <c r="C857" s="63"/>
    </row>
    <row r="858">
      <c r="B858" s="63"/>
      <c r="C858" s="63"/>
    </row>
    <row r="859">
      <c r="B859" s="63"/>
      <c r="C859" s="63"/>
    </row>
    <row r="860">
      <c r="B860" s="63"/>
      <c r="C860" s="63"/>
    </row>
    <row r="861">
      <c r="B861" s="63"/>
      <c r="C861" s="63"/>
    </row>
    <row r="862">
      <c r="B862" s="63"/>
      <c r="C862" s="63"/>
    </row>
    <row r="863">
      <c r="B863" s="63"/>
      <c r="C863" s="63"/>
    </row>
    <row r="864">
      <c r="B864" s="63"/>
      <c r="C864" s="63"/>
    </row>
    <row r="865">
      <c r="B865" s="63"/>
      <c r="C865" s="63"/>
    </row>
    <row r="866">
      <c r="B866" s="63"/>
      <c r="C866" s="63"/>
    </row>
    <row r="867">
      <c r="B867" s="63"/>
      <c r="C867" s="63"/>
    </row>
    <row r="868">
      <c r="B868" s="63"/>
      <c r="C868" s="63"/>
    </row>
    <row r="869">
      <c r="B869" s="63"/>
      <c r="C869" s="63"/>
    </row>
    <row r="870">
      <c r="B870" s="63"/>
      <c r="C870" s="63"/>
    </row>
    <row r="871">
      <c r="B871" s="63"/>
      <c r="C871" s="63"/>
    </row>
    <row r="872">
      <c r="B872" s="63"/>
      <c r="C872" s="63"/>
    </row>
    <row r="873">
      <c r="B873" s="63"/>
      <c r="C873" s="63"/>
    </row>
    <row r="874">
      <c r="B874" s="63"/>
      <c r="C874" s="63"/>
    </row>
    <row r="875">
      <c r="B875" s="63"/>
      <c r="C875" s="63"/>
    </row>
    <row r="876">
      <c r="B876" s="63"/>
      <c r="C876" s="63"/>
    </row>
    <row r="877">
      <c r="B877" s="63"/>
      <c r="C877" s="63"/>
    </row>
    <row r="878">
      <c r="B878" s="63"/>
      <c r="C878" s="63"/>
    </row>
    <row r="879">
      <c r="B879" s="63"/>
      <c r="C879" s="63"/>
    </row>
    <row r="880">
      <c r="B880" s="63"/>
      <c r="C880" s="63"/>
    </row>
    <row r="881">
      <c r="B881" s="63"/>
      <c r="C881" s="63"/>
    </row>
    <row r="882">
      <c r="B882" s="63"/>
      <c r="C882" s="63"/>
    </row>
    <row r="883">
      <c r="B883" s="63"/>
      <c r="C883" s="63"/>
    </row>
    <row r="884">
      <c r="B884" s="63"/>
      <c r="C884" s="63"/>
    </row>
    <row r="885">
      <c r="B885" s="63"/>
      <c r="C885" s="63"/>
    </row>
    <row r="886">
      <c r="B886" s="63"/>
      <c r="C886" s="63"/>
    </row>
    <row r="887">
      <c r="B887" s="63"/>
      <c r="C887" s="63"/>
    </row>
    <row r="888">
      <c r="B888" s="63"/>
      <c r="C888" s="63"/>
    </row>
    <row r="889">
      <c r="B889" s="63"/>
      <c r="C889" s="63"/>
    </row>
    <row r="890">
      <c r="B890" s="63"/>
      <c r="C890" s="63"/>
    </row>
    <row r="891">
      <c r="B891" s="63"/>
      <c r="C891" s="63"/>
    </row>
    <row r="892">
      <c r="B892" s="63"/>
      <c r="C892" s="63"/>
    </row>
    <row r="893">
      <c r="B893" s="63"/>
      <c r="C893" s="63"/>
    </row>
    <row r="894">
      <c r="B894" s="63"/>
      <c r="C894" s="63"/>
    </row>
    <row r="895">
      <c r="B895" s="63"/>
      <c r="C895" s="63"/>
    </row>
    <row r="896">
      <c r="B896" s="63"/>
      <c r="C896" s="63"/>
    </row>
    <row r="897">
      <c r="B897" s="63"/>
      <c r="C897" s="63"/>
    </row>
    <row r="898">
      <c r="B898" s="63"/>
      <c r="C898" s="63"/>
    </row>
    <row r="899">
      <c r="B899" s="63"/>
      <c r="C899" s="63"/>
    </row>
    <row r="900">
      <c r="B900" s="63"/>
      <c r="C900" s="63"/>
    </row>
    <row r="901">
      <c r="B901" s="63"/>
      <c r="C901" s="63"/>
    </row>
    <row r="902">
      <c r="B902" s="63"/>
      <c r="C902" s="63"/>
    </row>
    <row r="903">
      <c r="B903" s="63"/>
      <c r="C903" s="63"/>
    </row>
    <row r="904">
      <c r="B904" s="63"/>
      <c r="C904" s="63"/>
    </row>
    <row r="905">
      <c r="B905" s="63"/>
      <c r="C905" s="63"/>
    </row>
    <row r="906">
      <c r="B906" s="63"/>
      <c r="C906" s="63"/>
    </row>
    <row r="907">
      <c r="B907" s="63"/>
      <c r="C907" s="63"/>
    </row>
    <row r="908">
      <c r="B908" s="63"/>
      <c r="C908" s="63"/>
    </row>
    <row r="909">
      <c r="B909" s="63"/>
      <c r="C909" s="63"/>
    </row>
    <row r="910">
      <c r="B910" s="63"/>
      <c r="C910" s="63"/>
    </row>
    <row r="911">
      <c r="B911" s="63"/>
      <c r="C911" s="63"/>
    </row>
    <row r="912">
      <c r="B912" s="63"/>
      <c r="C912" s="63"/>
    </row>
    <row r="913">
      <c r="B913" s="63"/>
      <c r="C913" s="63"/>
    </row>
    <row r="914">
      <c r="B914" s="63"/>
      <c r="C914" s="63"/>
    </row>
    <row r="915">
      <c r="B915" s="63"/>
      <c r="C915" s="63"/>
    </row>
    <row r="916">
      <c r="B916" s="63"/>
      <c r="C916" s="63"/>
    </row>
    <row r="917">
      <c r="B917" s="63"/>
      <c r="C917" s="63"/>
    </row>
    <row r="918">
      <c r="B918" s="63"/>
      <c r="C918" s="63"/>
    </row>
    <row r="919">
      <c r="B919" s="63"/>
      <c r="C919" s="63"/>
    </row>
    <row r="920">
      <c r="B920" s="63"/>
      <c r="C920" s="63"/>
    </row>
    <row r="921">
      <c r="B921" s="63"/>
      <c r="C921" s="63"/>
    </row>
    <row r="922">
      <c r="B922" s="63"/>
      <c r="C922" s="63"/>
    </row>
    <row r="923">
      <c r="B923" s="63"/>
      <c r="C923" s="63"/>
    </row>
    <row r="924">
      <c r="B924" s="63"/>
      <c r="C924" s="63"/>
    </row>
    <row r="925">
      <c r="B925" s="63"/>
      <c r="C925" s="63"/>
    </row>
    <row r="926">
      <c r="B926" s="63"/>
      <c r="C926" s="63"/>
    </row>
    <row r="927">
      <c r="B927" s="63"/>
      <c r="C927" s="63"/>
    </row>
    <row r="928">
      <c r="B928" s="63"/>
      <c r="C928" s="63"/>
    </row>
    <row r="929">
      <c r="B929" s="63"/>
      <c r="C929" s="63"/>
    </row>
    <row r="930">
      <c r="B930" s="63"/>
      <c r="C930" s="63"/>
    </row>
    <row r="931">
      <c r="B931" s="63"/>
      <c r="C931" s="63"/>
    </row>
    <row r="932">
      <c r="B932" s="63"/>
      <c r="C932" s="63"/>
    </row>
    <row r="933">
      <c r="B933" s="63"/>
      <c r="C933" s="63"/>
    </row>
    <row r="934">
      <c r="B934" s="63"/>
      <c r="C934" s="63"/>
    </row>
    <row r="935">
      <c r="B935" s="63"/>
      <c r="C935" s="63"/>
    </row>
    <row r="936">
      <c r="B936" s="63"/>
      <c r="C936" s="63"/>
    </row>
    <row r="937">
      <c r="B937" s="63"/>
      <c r="C937" s="63"/>
    </row>
    <row r="938">
      <c r="B938" s="63"/>
      <c r="C938" s="63"/>
    </row>
    <row r="939">
      <c r="B939" s="63"/>
      <c r="C939" s="63"/>
    </row>
    <row r="940">
      <c r="B940" s="63"/>
      <c r="C940" s="63"/>
    </row>
    <row r="941">
      <c r="B941" s="63"/>
      <c r="C941" s="63"/>
    </row>
    <row r="942">
      <c r="B942" s="63"/>
      <c r="C942" s="63"/>
    </row>
    <row r="943">
      <c r="B943" s="63"/>
      <c r="C943" s="63"/>
    </row>
    <row r="944">
      <c r="B944" s="63"/>
      <c r="C944" s="63"/>
    </row>
    <row r="945">
      <c r="B945" s="63"/>
      <c r="C945" s="63"/>
    </row>
    <row r="946">
      <c r="B946" s="63"/>
      <c r="C946" s="63"/>
    </row>
    <row r="947">
      <c r="B947" s="63"/>
      <c r="C947" s="63"/>
    </row>
    <row r="948">
      <c r="B948" s="63"/>
      <c r="C948" s="63"/>
    </row>
    <row r="949">
      <c r="B949" s="63"/>
      <c r="C949" s="63"/>
    </row>
    <row r="950">
      <c r="B950" s="63"/>
      <c r="C950" s="63"/>
    </row>
    <row r="951">
      <c r="B951" s="63"/>
      <c r="C951" s="63"/>
    </row>
    <row r="952">
      <c r="B952" s="63"/>
      <c r="C952" s="63"/>
    </row>
    <row r="953">
      <c r="B953" s="63"/>
      <c r="C953" s="63"/>
    </row>
    <row r="954">
      <c r="B954" s="63"/>
      <c r="C954" s="63"/>
    </row>
    <row r="955">
      <c r="B955" s="63"/>
      <c r="C955" s="63"/>
    </row>
    <row r="956">
      <c r="B956" s="63"/>
      <c r="C956" s="63"/>
    </row>
    <row r="957">
      <c r="B957" s="63"/>
      <c r="C957" s="63"/>
    </row>
    <row r="958">
      <c r="B958" s="63"/>
      <c r="C958" s="63"/>
    </row>
    <row r="959">
      <c r="B959" s="63"/>
      <c r="C959" s="63"/>
    </row>
    <row r="960">
      <c r="B960" s="63"/>
      <c r="C960" s="63"/>
    </row>
    <row r="961">
      <c r="B961" s="63"/>
      <c r="C961" s="63"/>
    </row>
    <row r="962">
      <c r="B962" s="63"/>
      <c r="C962" s="63"/>
    </row>
    <row r="963">
      <c r="B963" s="63"/>
      <c r="C963" s="63"/>
    </row>
    <row r="964">
      <c r="B964" s="63"/>
      <c r="C964" s="63"/>
    </row>
    <row r="965">
      <c r="B965" s="63"/>
      <c r="C965" s="63"/>
    </row>
    <row r="966">
      <c r="B966" s="63"/>
      <c r="C966" s="63"/>
    </row>
    <row r="967">
      <c r="B967" s="63"/>
      <c r="C967" s="63"/>
    </row>
    <row r="968">
      <c r="B968" s="63"/>
      <c r="C968" s="63"/>
    </row>
    <row r="969">
      <c r="B969" s="63"/>
      <c r="C969" s="63"/>
    </row>
    <row r="970">
      <c r="B970" s="63"/>
      <c r="C970" s="63"/>
    </row>
    <row r="971">
      <c r="B971" s="63"/>
      <c r="C971" s="63"/>
    </row>
    <row r="972">
      <c r="B972" s="63"/>
      <c r="C972" s="63"/>
    </row>
    <row r="973">
      <c r="B973" s="63"/>
      <c r="C973" s="63"/>
    </row>
    <row r="974">
      <c r="B974" s="63"/>
      <c r="C974" s="63"/>
    </row>
    <row r="975">
      <c r="B975" s="63"/>
      <c r="C975" s="63"/>
    </row>
    <row r="976">
      <c r="B976" s="63"/>
      <c r="C976" s="63"/>
    </row>
    <row r="977">
      <c r="B977" s="63"/>
      <c r="C977" s="63"/>
    </row>
    <row r="978">
      <c r="B978" s="63"/>
      <c r="C978" s="63"/>
    </row>
    <row r="979">
      <c r="B979" s="63"/>
      <c r="C979" s="63"/>
    </row>
    <row r="980">
      <c r="B980" s="63"/>
      <c r="C980" s="63"/>
    </row>
    <row r="981">
      <c r="B981" s="63"/>
      <c r="C981" s="63"/>
    </row>
    <row r="982">
      <c r="B982" s="63"/>
      <c r="C982" s="63"/>
    </row>
    <row r="983">
      <c r="B983" s="63"/>
      <c r="C983" s="63"/>
    </row>
    <row r="984">
      <c r="B984" s="63"/>
      <c r="C984" s="63"/>
    </row>
    <row r="985">
      <c r="B985" s="63"/>
      <c r="C985" s="63"/>
    </row>
    <row r="986">
      <c r="B986" s="63"/>
      <c r="C986" s="63"/>
    </row>
    <row r="987">
      <c r="B987" s="63"/>
      <c r="C987" s="63"/>
    </row>
    <row r="988">
      <c r="B988" s="63"/>
      <c r="C988" s="63"/>
    </row>
    <row r="989">
      <c r="B989" s="63"/>
      <c r="C989" s="63"/>
    </row>
    <row r="990">
      <c r="B990" s="63"/>
      <c r="C990" s="63"/>
    </row>
    <row r="991">
      <c r="B991" s="63"/>
      <c r="C991" s="63"/>
    </row>
    <row r="992">
      <c r="B992" s="63"/>
      <c r="C992" s="63"/>
    </row>
    <row r="993">
      <c r="B993" s="63"/>
      <c r="C993" s="63"/>
    </row>
    <row r="994">
      <c r="B994" s="63"/>
      <c r="C994" s="63"/>
    </row>
    <row r="995">
      <c r="B995" s="63"/>
      <c r="C995" s="63"/>
    </row>
    <row r="996">
      <c r="B996" s="63"/>
      <c r="C996" s="63"/>
    </row>
    <row r="997">
      <c r="B997" s="63"/>
      <c r="C997" s="63"/>
    </row>
    <row r="998">
      <c r="B998" s="63"/>
      <c r="C998" s="63"/>
    </row>
    <row r="999">
      <c r="B999" s="63"/>
      <c r="C999" s="63"/>
    </row>
    <row r="1000">
      <c r="B1000" s="63"/>
      <c r="C1000" s="63"/>
    </row>
  </sheetData>
  <hyperlinks>
    <hyperlink r:id="rId1" ref="B2"/>
    <hyperlink r:id="rId2" ref="C2"/>
    <hyperlink r:id="rId3" ref="B3"/>
    <hyperlink r:id="rId4" ref="C3"/>
  </hyperlinks>
  <drawing r:id="rId5"/>
</worksheet>
</file>