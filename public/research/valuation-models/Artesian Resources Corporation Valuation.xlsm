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0 Control" sheetId="1" r:id="rId4"/>
    <sheet state="visible" name="01 Cover" sheetId="2" r:id="rId5"/>
    <sheet state="visible" name="02 Historical Financials" sheetId="3" r:id="rId6"/>
    <sheet state="visible" name="03 Rate Base &amp; ROE" sheetId="4" r:id="rId7"/>
    <sheet state="visible" name="04 Regulatory Framework" sheetId="5" r:id="rId8"/>
    <sheet state="visible" name="05 Capital Structure" sheetId="6" r:id="rId9"/>
    <sheet state="visible" name="06 Capex Funding" sheetId="7" r:id="rId10"/>
    <sheet state="visible" name="07 Dividend Model" sheetId="8" r:id="rId11"/>
    <sheet state="visible" name="08 P_B ROE Valuation" sheetId="9" r:id="rId12"/>
    <sheet state="visible" name="09 P_E Peer Check" sheetId="10" r:id="rId13"/>
    <sheet state="visible" name="10 Rate Base Valuation" sheetId="11" r:id="rId14"/>
    <sheet state="visible" name="11 EPV Floor" sheetId="12" r:id="rId15"/>
    <sheet state="visible" name="12 Sensitivity" sheetId="13" r:id="rId16"/>
    <sheet state="visible" name="13 Red Flags" sheetId="14" r:id="rId17"/>
    <sheet state="visible" name="14 Final Conclusion" sheetId="15" r:id="rId18"/>
    <sheet state="visible" name="15 Sources &amp; Notes" sheetId="16" r:id="rId19"/>
  </sheets>
  <definedNames/>
  <calcPr/>
  <extLst>
    <ext uri="GoogleSheetsCustomDataVersion2">
      <go:sheetsCustomData xmlns:go="http://customooxmlschemas.google.com/" r:id="rId20" roundtripDataChecksum="WmNWlWGFT7PYHfFu8VJ7j+gEGmQ32AExCz28JsbLhiw="/>
    </ext>
  </extLst>
</workbook>
</file>

<file path=xl/sharedStrings.xml><?xml version="1.0" encoding="utf-8"?>
<sst xmlns="http://schemas.openxmlformats.org/spreadsheetml/2006/main" count="945" uniqueCount="518">
  <si>
    <t>Regulated Utility Valuation Template</t>
  </si>
  <si>
    <t>Control panel for utility-specific inputs, global assumptions, and valuation outputs. Blue text = hardcoded input; green = linked from other sheets; black = formulas.</t>
  </si>
  <si>
    <t>Company &amp; Market Inputs</t>
  </si>
  <si>
    <t>Company Name</t>
  </si>
  <si>
    <t>Artesian Resources Corporation</t>
  </si>
  <si>
    <t>Input</t>
  </si>
  <si>
    <t>Used on cover and summary</t>
  </si>
  <si>
    <t>Ticker</t>
  </si>
  <si>
    <t>ARTN.A</t>
  </si>
  <si>
    <t>Utility Type</t>
  </si>
  <si>
    <t>Water / Wastewater</t>
  </si>
  <si>
    <t>Water, electric, gas, multi-utility</t>
  </si>
  <si>
    <t>Currency</t>
  </si>
  <si>
    <t>USD</t>
  </si>
  <si>
    <t>Set to reporting currency</t>
  </si>
  <si>
    <t>Units</t>
  </si>
  <si>
    <t>$mm</t>
  </si>
  <si>
    <t>Use same unit throughout workbook</t>
  </si>
  <si>
    <t>Latest Fiscal Year</t>
  </si>
  <si>
    <t>Last completed fiscal year or LTM period</t>
  </si>
  <si>
    <t>Current Share Price</t>
  </si>
  <si>
    <t>Current market price per share</t>
  </si>
  <si>
    <t>Diluted Shares Outstanding</t>
  </si>
  <si>
    <t>Latest diluted share count</t>
  </si>
  <si>
    <t>Cash &amp; Equivalents</t>
  </si>
  <si>
    <t>Latest cash and cash equivalents</t>
  </si>
  <si>
    <t>Debt &amp; Finance Leases</t>
  </si>
  <si>
    <t>Short-term debt + current maturities + long-term debt + finance leases</t>
  </si>
  <si>
    <t>Preferred / Minority Interest</t>
  </si>
  <si>
    <t>Preferred stock and noncontrolling interests, if any</t>
  </si>
  <si>
    <t>Book Equity</t>
  </si>
  <si>
    <t>Total shareholders' equity from latest balance sheet</t>
  </si>
  <si>
    <t>Net Debt</t>
  </si>
  <si>
    <t>Formula</t>
  </si>
  <si>
    <t>Debt + preferred / minority interest - cash</t>
  </si>
  <si>
    <t>Core Utility Valuation Assumptions</t>
  </si>
  <si>
    <t>Statutory / Normalized Tax Rate</t>
  </si>
  <si>
    <t>Used for NOPAT and earnings normalization</t>
  </si>
  <si>
    <t>Format %</t>
  </si>
  <si>
    <t>Cost of Equity</t>
  </si>
  <si>
    <t>Required return for DDM / equity methods</t>
  </si>
  <si>
    <t>Pre-Tax Cost of Debt</t>
  </si>
  <si>
    <t>Debt cost sanity check</t>
  </si>
  <si>
    <t>WACC / Cost of Capital</t>
  </si>
  <si>
    <t>Used for EPV / enterprise methods</t>
  </si>
  <si>
    <t>Margin of Safety</t>
  </si>
  <si>
    <t>Applied to final conservative value per share</t>
  </si>
  <si>
    <t>Long-Term Dividend Growth</t>
  </si>
  <si>
    <t>Stable dividend growth rate for DDM</t>
  </si>
  <si>
    <t>Allowed ROE</t>
  </si>
  <si>
    <t>Allowed regulatory return on equity</t>
  </si>
  <si>
    <t>Regulatory Equity Ratio</t>
  </si>
  <si>
    <t>Equity portion of rate base / capital structure</t>
  </si>
  <si>
    <t>Terminal P/E Multiple</t>
  </si>
  <si>
    <t>Base P/E for regulated utility peer check</t>
  </si>
  <si>
    <t>Format x</t>
  </si>
  <si>
    <t>Selected P/B Multiple</t>
  </si>
  <si>
    <t>Uses justified P/B from ROE framework; removes market-price circularity</t>
  </si>
  <si>
    <t>Rate Base Growth</t>
  </si>
  <si>
    <t>Long-term rate base growth assumption</t>
  </si>
  <si>
    <t>Selected Valuation Outputs</t>
  </si>
  <si>
    <t>Market Capitalization</t>
  </si>
  <si>
    <t>Share price × diluted shares</t>
  </si>
  <si>
    <t>Enterprise Value</t>
  </si>
  <si>
    <t>Market cap + net debt</t>
  </si>
  <si>
    <t>DDM Value / Share</t>
  </si>
  <si>
    <t>Linked</t>
  </si>
  <si>
    <t>From Dividend Discount Model</t>
  </si>
  <si>
    <t>P/B-ROE Value / Share</t>
  </si>
  <si>
    <t>From P/B and ROE framework</t>
  </si>
  <si>
    <t>P/E Peer Value / Share</t>
  </si>
  <si>
    <t>From peer multiples check</t>
  </si>
  <si>
    <t>Rate Base Value / Share</t>
  </si>
  <si>
    <t>From rate base valuation</t>
  </si>
  <si>
    <t>EPV Floor / Share</t>
  </si>
  <si>
    <t>Conservative no-growth floor</t>
  </si>
  <si>
    <t>Selected Value / Share</t>
  </si>
  <si>
    <t>Weighted blend of utility methods; not automatic minimum</t>
  </si>
  <si>
    <t>Strike Price / Share</t>
  </si>
  <si>
    <t>Selected value less margin of safety</t>
  </si>
  <si>
    <t>Upside / Downside to Selected Value</t>
  </si>
  <si>
    <t>Selected value / current price - 1</t>
  </si>
  <si>
    <t>Analyst Valuation Weights</t>
  </si>
  <si>
    <t>DDM Weight</t>
  </si>
  <si>
    <t>Dividend value receives meaningful weight for regulated utility income profile</t>
  </si>
  <si>
    <t>P/B-ROE Weight</t>
  </si>
  <si>
    <t>Useful book/ROE check; now tied to justified P/B, not market P/B</t>
  </si>
  <si>
    <t>P/E Peer Weight</t>
  </si>
  <si>
    <t>Peer P/E sanity check only; low weight because relative multiple is generous</t>
  </si>
  <si>
    <t>Rate Base Weight</t>
  </si>
  <si>
    <t>Primary utility method, but still subject to final rate-base support</t>
  </si>
  <si>
    <t>Total Weight</t>
  </si>
  <si>
    <t>Must equal 100%</t>
  </si>
  <si>
    <t>Weighted Value / Share</t>
  </si>
  <si>
    <t>Cross-check to selected value above</t>
  </si>
  <si>
    <t>Cover / Company Overview</t>
  </si>
  <si>
    <t>One-page overview for regulated utility valuation: stability, regulation, rate base economics, dividends, and valuation outputs.</t>
  </si>
  <si>
    <t>Company Snapshot</t>
  </si>
  <si>
    <t>Company</t>
  </si>
  <si>
    <t>Control</t>
  </si>
  <si>
    <t>Business Description</t>
  </si>
  <si>
    <t>Artesian is a regulated water/wastewater utility serving the Delmarva Peninsula. Demand is essential and stable, but growth requires heavy utility-plant investment and rate recovery.</t>
  </si>
  <si>
    <t>Analyst input</t>
  </si>
  <si>
    <t>Regulatory Jurisdictions</t>
  </si>
  <si>
    <t>Primary jurisdictions include Delaware, Maryland, and Pennsylvania. Model currently uses invested capital as a rate-base proxy; verify approved rate base, allowed ROE, and rate-case mechanics from commission filings.</t>
  </si>
  <si>
    <t>Fiscal Year / Period</t>
  </si>
  <si>
    <t>Currency / Units</t>
  </si>
  <si>
    <t>Market Cap</t>
  </si>
  <si>
    <t>Valuation Summary</t>
  </si>
  <si>
    <t>From DDM</t>
  </si>
  <si>
    <t>From P/B-ROE</t>
  </si>
  <si>
    <t>From peer check</t>
  </si>
  <si>
    <t>From rate base model</t>
  </si>
  <si>
    <t>From EPV floor</t>
  </si>
  <si>
    <t>Conservative selected value</t>
  </si>
  <si>
    <t>Selected value less MOS</t>
  </si>
  <si>
    <t>Upside / Downside</t>
  </si>
  <si>
    <t>Selected value / price - 1</t>
  </si>
  <si>
    <t>Preliminary Rating</t>
  </si>
  <si>
    <t>Initial Thesis / Decision</t>
  </si>
  <si>
    <t>Business Quality</t>
  </si>
  <si>
    <t>Stable essential-service water/wastewater utility with durable demand and low disruption risk.</t>
  </si>
  <si>
    <t>Main Valuation Issue</t>
  </si>
  <si>
    <t>Determine whether the market price is justified by rate-base growth, allowed ROE, dividend durability, and peer utility premiums.</t>
  </si>
  <si>
    <t>Decision</t>
  </si>
  <si>
    <t>Utility-specific valuation produces a more useful view than pure EPV, but exact regulatory rate-base inputs still need verification.</t>
  </si>
  <si>
    <t>Historical Financials</t>
  </si>
  <si>
    <t>Enter 5+ years of financial, operating, and balance sheet data. Keep all figures in selected units except per-share metrics and percentages.</t>
  </si>
  <si>
    <t>Historical Utility Operating Data</t>
  </si>
  <si>
    <t>Line Item</t>
  </si>
  <si>
    <t>Source / Notes</t>
  </si>
  <si>
    <t>Quality Check</t>
  </si>
  <si>
    <t>Include?</t>
  </si>
  <si>
    <t>Revenue</t>
  </si>
  <si>
    <t>10-K / prior ARTNA valuation model</t>
  </si>
  <si>
    <t>OK</t>
  </si>
  <si>
    <t>Yes</t>
  </si>
  <si>
    <t>Revenue Growth</t>
  </si>
  <si>
    <t>Customers / Connections</t>
  </si>
  <si>
    <t>Not in prior EPV model; fill from annual report / customer count disclosures</t>
  </si>
  <si>
    <t>Needs source</t>
  </si>
  <si>
    <t>Customer Growth</t>
  </si>
  <si>
    <t>Formula; blank until customer data is added</t>
  </si>
  <si>
    <t>Rate Base</t>
  </si>
  <si>
    <t>Proxy: invested capital = debt + book equity - cash; replace with regulatory rate base</t>
  </si>
  <si>
    <t>Needs support</t>
  </si>
  <si>
    <t>Placeholder assumption; verify allowed ROE from DEPSC/MDPSC/PAPUC filings</t>
  </si>
  <si>
    <t>Actual ROE</t>
  </si>
  <si>
    <t>Formula: net income / average book equity</t>
  </si>
  <si>
    <t>Operating Income / EBIT</t>
  </si>
  <si>
    <t>10-K / 10-Q / company filings</t>
  </si>
  <si>
    <t>EBIT Margin</t>
  </si>
  <si>
    <t>Net Income</t>
  </si>
  <si>
    <t>EPS</t>
  </si>
  <si>
    <t>Calculated from net income / diluted shares in prior model</t>
  </si>
  <si>
    <t>Dividends / Share</t>
  </si>
  <si>
    <t>Estimated from dividends paid / shares and company dividend history</t>
  </si>
  <si>
    <t>Dividend Payout Ratio</t>
  </si>
  <si>
    <t>Balance sheet shareholders' equity</t>
  </si>
  <si>
    <t>Balance sheet debt + leases</t>
  </si>
  <si>
    <t>Balance sheet cash</t>
  </si>
  <si>
    <t>Capital Expenditures</t>
  </si>
  <si>
    <t>Cash flow statement / capex</t>
  </si>
  <si>
    <t>D&amp;A</t>
  </si>
  <si>
    <t>Cash flow statement / depreciation</t>
  </si>
  <si>
    <t>Operating Cash Flow</t>
  </si>
  <si>
    <t>2023-2025 actual 10-K CFO; 2020-2022 approximated from prior model</t>
  </si>
  <si>
    <t>Mixed</t>
  </si>
  <si>
    <t>Dividends Paid</t>
  </si>
  <si>
    <t>2023-2025 actual 10-K dividends paid; 2020-2022 estimated</t>
  </si>
  <si>
    <t>Free Cash Flow After Dividends</t>
  </si>
  <si>
    <t>Debt / Capitalization</t>
  </si>
  <si>
    <t>Interest Expense</t>
  </si>
  <si>
    <t>2023-2025 actual interest charges; 2020-2022 estimated</t>
  </si>
  <si>
    <t>Interest Coverage</t>
  </si>
  <si>
    <t>Rate Base &amp; ROE Analysis</t>
  </si>
  <si>
    <t>Analyzes regulated rate base, allowed earnings, actual earnings, and whether growth creates value above the cost of equity.</t>
  </si>
  <si>
    <t>Rate Base Economics</t>
  </si>
  <si>
    <t>FY-5</t>
  </si>
  <si>
    <t>FY-4</t>
  </si>
  <si>
    <t>FY-3</t>
  </si>
  <si>
    <t>FY-2</t>
  </si>
  <si>
    <t>FY-1</t>
  </si>
  <si>
    <t>LTM / FY0</t>
  </si>
  <si>
    <t>Uses invested capital proxy; replace with regulatory rate base</t>
  </si>
  <si>
    <t>Control assumption / actual if available</t>
  </si>
  <si>
    <t>Equity Layer of Rate Base</t>
  </si>
  <si>
    <t>Rate base × equity ratio</t>
  </si>
  <si>
    <t>Control / rate case history</t>
  </si>
  <si>
    <t>Allowed Equity Earnings</t>
  </si>
  <si>
    <t>Equity layer × allowed ROE</t>
  </si>
  <si>
    <t>Actual Net Income</t>
  </si>
  <si>
    <t>From historicals</t>
  </si>
  <si>
    <t>Actual ROE on Book Equity</t>
  </si>
  <si>
    <t>Allowed vs Actual Earnings Gap</t>
  </si>
  <si>
    <t>Actual income - allowed equity earnings</t>
  </si>
  <si>
    <t>ROE Spread vs Cost of Equity</t>
  </si>
  <si>
    <t>Actual ROE - cost of equity</t>
  </si>
  <si>
    <t>Value Creation Test</t>
  </si>
  <si>
    <t>Positive if actual ROE exceeds cost of equity</t>
  </si>
  <si>
    <t>Regulatory Framework</t>
  </si>
  <si>
    <t>Scores the qualitative quality of the regulatory compact, jurisdiction, rate-case history, and allowed returns.</t>
  </si>
  <si>
    <t>Regulatory Quality Scorecard</t>
  </si>
  <si>
    <t>Factor</t>
  </si>
  <si>
    <t>Weight</t>
  </si>
  <si>
    <t>Score (1-5)</t>
  </si>
  <si>
    <t>Weighted Score</t>
  </si>
  <si>
    <t>Evidence / Notes</t>
  </si>
  <si>
    <t>Source / Filing</t>
  </si>
  <si>
    <t>Risk Level</t>
  </si>
  <si>
    <t>Jurisdiction Constructiveness</t>
  </si>
  <si>
    <t>Delaware Docket No. 25-0346 is pending; Artesian filed for a 12.41% water revenue increase on Apr. 4, 2025.</t>
  </si>
  <si>
    <t>DEPSC water regulation page / Docket 25-0346</t>
  </si>
  <si>
    <t>Medium</t>
  </si>
  <si>
    <t>Allowed ROE Adequacy</t>
  </si>
  <si>
    <t>9.5% ROE is supported by the prior Delaware settlement; monitor the 2025 case for the final allowed ROE.</t>
  </si>
  <si>
    <t>2025 10-Q / prior DEPSC settlement disclosure</t>
  </si>
  <si>
    <t>Rate Base Recovery</t>
  </si>
  <si>
    <t>Approved rate base is still not directly entered; model uses a proxy until commission order / rate case schedules are sourced.</t>
  </si>
  <si>
    <t>DEPSC Docket 25-0346 / rate case schedules</t>
  </si>
  <si>
    <t>Capital Tracker / DSIC Mechanisms</t>
  </si>
  <si>
    <t>Temporary rates and DSIC mechanisms support recovery, but temporary rates remain subject to final DEPSC decision/refund risk.</t>
  </si>
  <si>
    <t>Q1 2026 10-Q / Q1 earnings release</t>
  </si>
  <si>
    <t>Customer Growth / Territory Quality</t>
  </si>
  <si>
    <t>Q1 2026 growth was helped by temporary rates and additional customers; add customer count history if thesis depends on growth.</t>
  </si>
  <si>
    <t>Q1 2026 earnings release</t>
  </si>
  <si>
    <t>Political / Affordability Risk</t>
  </si>
  <si>
    <t>Affordability and regulatory lag remain normal risks; pending rate case increases near-term uncertainty.</t>
  </si>
  <si>
    <t>DEPSC / company filings</t>
  </si>
  <si>
    <t>Management Capital Allocation</t>
  </si>
  <si>
    <t>Capital allocation remains capex-heavy; per-share value creation depends on approved returns and financing mix.</t>
  </si>
  <si>
    <t>10-Q / model output</t>
  </si>
  <si>
    <t>Dividend / Financing Discipline</t>
  </si>
  <si>
    <t>Dividend record is strong, but funding gap remains due to heavy utility plant investment.</t>
  </si>
  <si>
    <t>Dividend history / cash flow statement</t>
  </si>
  <si>
    <t>Total / Weighted Average</t>
  </si>
  <si>
    <t>Formula-driven summary score.</t>
  </si>
  <si>
    <t>Model output</t>
  </si>
  <si>
    <t>N/A</t>
  </si>
  <si>
    <t>Capital Structure &amp; Credit</t>
  </si>
  <si>
    <t>Evaluates leverage, debt capitalization, net debt to rate base, interest coverage, and financing risk.</t>
  </si>
  <si>
    <t>Capital Structure Analysis</t>
  </si>
  <si>
    <t>From historicals / latest balance sheet</t>
  </si>
  <si>
    <t>Debt - cash</t>
  </si>
  <si>
    <t>Shareholders' equity</t>
  </si>
  <si>
    <t>Total Capitalization</t>
  </si>
  <si>
    <t>Debt + book equity</t>
  </si>
  <si>
    <t>Debt / total capitalization</t>
  </si>
  <si>
    <t>Net Debt / Rate Base</t>
  </si>
  <si>
    <t>Net debt / rate base</t>
  </si>
  <si>
    <t>EBIT</t>
  </si>
  <si>
    <t>EBIT / interest expense</t>
  </si>
  <si>
    <t>Credit Risk Read</t>
  </si>
  <si>
    <t>Formula output</t>
  </si>
  <si>
    <t>Capex Funding &amp; Rate Base Growth</t>
  </si>
  <si>
    <t>Separates total capex from maintenance burden and estimates whether capex can be internally funded or requires external capital.</t>
  </si>
  <si>
    <t>Capex and Funding Bridge</t>
  </si>
  <si>
    <t>Capex / Revenue</t>
  </si>
  <si>
    <t>Capex intensity</t>
  </si>
  <si>
    <t>Capex / D&amp;A</t>
  </si>
  <si>
    <t>Growth vs replacement signal</t>
  </si>
  <si>
    <t>Internal Funding After Dividends</t>
  </si>
  <si>
    <t>CFO - dividends</t>
  </si>
  <si>
    <t>External Funding Need</t>
  </si>
  <si>
    <t>Capex - internal funding after dividends</t>
  </si>
  <si>
    <t>Estimated Maintenance Capex % of D&amp;A</t>
  </si>
  <si>
    <t>Formula links prior EPV model's selected maintenance capex / revenue to utility model D&amp;A, so EPV floor reconciles to the completed ARTNA valuation.</t>
  </si>
  <si>
    <t>OK / Conservative</t>
  </si>
  <si>
    <t>Estimated Maintenance Capex</t>
  </si>
  <si>
    <t>D&amp;A × maintenance %</t>
  </si>
  <si>
    <t>Growth / Rate Base Capex</t>
  </si>
  <si>
    <t>Total capex - maintenance capex</t>
  </si>
  <si>
    <t>Growth Capex / Rate Base</t>
  </si>
  <si>
    <t>Growth capex / beginning rate base</t>
  </si>
  <si>
    <t>Dividend Discount Model</t>
  </si>
  <si>
    <t>Values regulated utility equity using dividend durability, payout ratio, cost of equity, and long-term dividend growth.</t>
  </si>
  <si>
    <t>Dividend Inputs and Output</t>
  </si>
  <si>
    <t>Latest DPS</t>
  </si>
  <si>
    <t>Latest dividends per share from historicals</t>
  </si>
  <si>
    <t>5-Year DPS CAGR</t>
  </si>
  <si>
    <t>Historical dividend growth</t>
  </si>
  <si>
    <t>Latest EPS</t>
  </si>
  <si>
    <t>Latest EPS from historicals</t>
  </si>
  <si>
    <t>Latest Payout Ratio</t>
  </si>
  <si>
    <t>DPS / EPS</t>
  </si>
  <si>
    <t>From Control</t>
  </si>
  <si>
    <t>Next-Year DPS</t>
  </si>
  <si>
    <t>Latest DPS × (1+g)</t>
  </si>
  <si>
    <t>Next-year DPS / (cost of equity - g)</t>
  </si>
  <si>
    <t>DDM Implied P/E</t>
  </si>
  <si>
    <t>DDM value / latest EPS</t>
  </si>
  <si>
    <t>Dividend Safety Read</t>
  </si>
  <si>
    <t>Payout and growth reasonableness</t>
  </si>
  <si>
    <t>P/B and ROE Valuation</t>
  </si>
  <si>
    <t>Values utility equity using book equity, ROE, cost of equity, and justified price-to-book logic.</t>
  </si>
  <si>
    <t>P/B-ROE Framework</t>
  </si>
  <si>
    <t>Latest shareholders' equity</t>
  </si>
  <si>
    <t>Diluted Shares</t>
  </si>
  <si>
    <t>Book Value / Share</t>
  </si>
  <si>
    <t>Book equity / shares</t>
  </si>
  <si>
    <t>Latest actual ROE</t>
  </si>
  <si>
    <t>Control assumption</t>
  </si>
  <si>
    <t>Long-Term Growth</t>
  </si>
  <si>
    <t>Control dividend / earnings growth</t>
  </si>
  <si>
    <t>Justified P/B</t>
  </si>
  <si>
    <t>(ROE - g) / (ke - g)</t>
  </si>
  <si>
    <t>Selected P/B</t>
  </si>
  <si>
    <t>Analyst selected multiple / override</t>
  </si>
  <si>
    <t>Book value per share × selected P/B</t>
  </si>
  <si>
    <t>Implied Market P/B</t>
  </si>
  <si>
    <t>Current price / BVPS</t>
  </si>
  <si>
    <t>Read</t>
  </si>
  <si>
    <t>Premium / discount read</t>
  </si>
  <si>
    <t>P/E Peer Check</t>
  </si>
  <si>
    <t>Uses peer regulated utility multiples to sanity-check market valuation and normalized earnings value.</t>
  </si>
  <si>
    <t>Comparable Utility Multiples</t>
  </si>
  <si>
    <t>Peer</t>
  </si>
  <si>
    <t>Market Cap ($mm)</t>
  </si>
  <si>
    <t>P/E</t>
  </si>
  <si>
    <t>P/B</t>
  </si>
  <si>
    <t>Dividend Yield</t>
  </si>
  <si>
    <t>Notes</t>
  </si>
  <si>
    <t>York Water Company</t>
  </si>
  <si>
    <t>YORW</t>
  </si>
  <si>
    <t>Water</t>
  </si>
  <si>
    <t>Direct peer; P/B and yield added as sanity checks</t>
  </si>
  <si>
    <t>Middlesex Water Company</t>
  </si>
  <si>
    <t>MSEX</t>
  </si>
  <si>
    <t>Regulated water/wastewater peer; P/B and yield added</t>
  </si>
  <si>
    <t>H2O America</t>
  </si>
  <si>
    <t>HTO</t>
  </si>
  <si>
    <t>Larger regulated water utility; scale differs; P/B/yield added</t>
  </si>
  <si>
    <t>California Water Service Group</t>
  </si>
  <si>
    <t>CWT</t>
  </si>
  <si>
    <t>Large regulated water utility benchmark; P/B/yield added</t>
  </si>
  <si>
    <t>American States Water Company</t>
  </si>
  <si>
    <t>AWR</t>
  </si>
  <si>
    <t>Water / Services</t>
  </si>
  <si>
    <t>High-quality water utility plus services benchmark; P/B/yield added</t>
  </si>
  <si>
    <t>Median</t>
  </si>
  <si>
    <t>Median of populated peer fields</t>
  </si>
  <si>
    <t>Peer-Derived Value</t>
  </si>
  <si>
    <t>Peer Median P/E</t>
  </si>
  <si>
    <t>Median of comparable peers</t>
  </si>
  <si>
    <t>Control Terminal P/E</t>
  </si>
  <si>
    <t>Selected P/E</t>
  </si>
  <si>
    <t>Lower of control and peer median by default</t>
  </si>
  <si>
    <t>Selected P/E kept as peer/control minimum; final model now gives P/E only 10% weight due to generosity</t>
  </si>
  <si>
    <t>Latest EPS × selected P/E</t>
  </si>
  <si>
    <t>Market P/E</t>
  </si>
  <si>
    <t>Current price / EPS</t>
  </si>
  <si>
    <t>Relative valuation read</t>
  </si>
  <si>
    <t>Rate Base Valuation</t>
  </si>
  <si>
    <t>Projects rate base growth and allowed equity earnings to estimate utility value from regulatory economics.</t>
  </si>
  <si>
    <t>Rate Base Forecast</t>
  </si>
  <si>
    <t>FY0</t>
  </si>
  <si>
    <t>FY1</t>
  </si>
  <si>
    <t>FY2</t>
  </si>
  <si>
    <t>FY3</t>
  </si>
  <si>
    <t>FY4</t>
  </si>
  <si>
    <t>FY5</t>
  </si>
  <si>
    <t>Terminal</t>
  </si>
  <si>
    <t>Proxy: latest invested-capital / rate-base estimate; replace with approved rate base from DEPSC Docket 25-0346 when final order/schedules are sourced</t>
  </si>
  <si>
    <t>Proxy - needs final order</t>
  </si>
  <si>
    <t>Control assumption; should be reconciled to expected rate base growth and approved capex recovery</t>
  </si>
  <si>
    <t>Control assumption; verify against authorized capital structure when final order is available</t>
  </si>
  <si>
    <t>Uses prior supported 9.5% ROE until pending 2025 Delaware case is finalized</t>
  </si>
  <si>
    <t>OK / monitor</t>
  </si>
  <si>
    <t>Payout Ratio</t>
  </si>
  <si>
    <t>Analyst input based on utility dividend policy</t>
  </si>
  <si>
    <t>Implied Dividends</t>
  </si>
  <si>
    <t>Allowed earnings × payout</t>
  </si>
  <si>
    <t>PV of Dividends</t>
  </si>
  <si>
    <t>Discounted at cost of equity</t>
  </si>
  <si>
    <t>Rate Base Equity Value Output</t>
  </si>
  <si>
    <t>PV of FY1-FY5 Dividends</t>
  </si>
  <si>
    <t>Sum of PV dividends during explicit forecast</t>
  </si>
  <si>
    <t>Terminal Dividend</t>
  </si>
  <si>
    <t>FY6 / terminal dividend proxy</t>
  </si>
  <si>
    <t>Terminal Value</t>
  </si>
  <si>
    <t>Terminal dividend / (cost of equity - growth)</t>
  </si>
  <si>
    <t>PV of Terminal Value</t>
  </si>
  <si>
    <t>Terminal value discounted to present</t>
  </si>
  <si>
    <t>Rate Base Equity Value</t>
  </si>
  <si>
    <t>PV dividends + PV terminal value</t>
  </si>
  <si>
    <t>This value remains useful, but treat as proxy-backed until true approved rate base is entered.</t>
  </si>
  <si>
    <t>Whether rate base economics support market price</t>
  </si>
  <si>
    <t>Conservative EPV Floor</t>
  </si>
  <si>
    <t>Uses no-growth normalized owner earnings as a downside / rejection screen for utilities, not the primary utility valuation method.</t>
  </si>
  <si>
    <t>EPV Floor Calculation</t>
  </si>
  <si>
    <t>Normalized EBIT</t>
  </si>
  <si>
    <t>Average historical EBIT; reconciles more closely to prior EPV model normalization</t>
  </si>
  <si>
    <t>Tax Rate</t>
  </si>
  <si>
    <t>NOPAT</t>
  </si>
  <si>
    <t>EBIT × (1 - tax rate)</t>
  </si>
  <si>
    <t>Average estimated maintenance capex using prior EPV model's selected maintenance capex / revenue</t>
  </si>
  <si>
    <t>Average D&amp;A to match normalized no-growth EPV framing</t>
  </si>
  <si>
    <t>Maintenance Capex Adjustment</t>
  </si>
  <si>
    <t>Maintenance capex - D&amp;A</t>
  </si>
  <si>
    <t>Owner Earnings / Adjusted NOPAT</t>
  </si>
  <si>
    <t>NOPAT - maintenance capex adjustment</t>
  </si>
  <si>
    <t>Enterprise EPV</t>
  </si>
  <si>
    <t>Owner earnings / WACC</t>
  </si>
  <si>
    <t>Control output</t>
  </si>
  <si>
    <t>Equity EPV</t>
  </si>
  <si>
    <t>Enterprise EPV - net debt</t>
  </si>
  <si>
    <t>Equity EPV / diluted shares; can be negative</t>
  </si>
  <si>
    <t>EPV Floor Read</t>
  </si>
  <si>
    <t>Positive floor or no positive EPV support</t>
  </si>
  <si>
    <t>Sensitivity Analysis</t>
  </si>
  <si>
    <t>Tests utility valuation sensitivity to cost of equity, long-term dividend growth, allowed ROE, and selected P/B.</t>
  </si>
  <si>
    <t>DDM Sensitivity: Cost of Equity vs Long-Term Dividend Growth</t>
  </si>
  <si>
    <t>P/B Value Sensitivity: Actual ROE vs Cost of Equity</t>
  </si>
  <si>
    <t>P/B Value / Share</t>
  </si>
  <si>
    <t>Red Flags &amp; Quality Checks</t>
  </si>
  <si>
    <t>Automatic and analyst-driven checks for leverage, payout, regulation, capex funding, valuation premium, and formula reasonableness.</t>
  </si>
  <si>
    <t>Red Flag Checklist</t>
  </si>
  <si>
    <t>Check</t>
  </si>
  <si>
    <t>Metric</t>
  </si>
  <si>
    <t>Threshold / Test</t>
  </si>
  <si>
    <t>Status</t>
  </si>
  <si>
    <t>Severity</t>
  </si>
  <si>
    <t>Source</t>
  </si>
  <si>
    <t>Payout Ratio Too High</t>
  </si>
  <si>
    <t>&gt; 85%</t>
  </si>
  <si>
    <t>High payout may limit dividend growth or require external capital.</t>
  </si>
  <si>
    <t>Debt / Capitalization High</t>
  </si>
  <si>
    <t>&gt; 65%</t>
  </si>
  <si>
    <t>High leverage increases financing risk.</t>
  </si>
  <si>
    <t>Interest Coverage Weak</t>
  </si>
  <si>
    <t>&lt; 2.0x</t>
  </si>
  <si>
    <t>Weak coverage reduces flexibility.</t>
  </si>
  <si>
    <t>&gt; 0</t>
  </si>
  <si>
    <t>ARTNA requires meaningful external financing because capex materially exceeds internal funding after dividends.</t>
  </si>
  <si>
    <t>Actual ROE Below Cost of Equity</t>
  </si>
  <si>
    <t>&lt; 0% spread</t>
  </si>
  <si>
    <t>Actual ROE is below the model's 10% required return, so growth may not create value unless regulatory returns improve.</t>
  </si>
  <si>
    <t>Market P/B Above Selected</t>
  </si>
  <si>
    <t>&gt; selected P/B</t>
  </si>
  <si>
    <t>Market premium may require better assumptions.</t>
  </si>
  <si>
    <t>EPV Floor Negative</t>
  </si>
  <si>
    <t>&lt;= $0</t>
  </si>
  <si>
    <t>EPV floor can still be low/negative because no-growth owner earnings are weak after maintenance reinvestment and net debt.</t>
  </si>
  <si>
    <t>Regulatory Score Low</t>
  </si>
  <si>
    <t>&lt; 3.5 / 5</t>
  </si>
  <si>
    <t>Weak regulatory environment can impair returns.</t>
  </si>
  <si>
    <t>Total Flags</t>
  </si>
  <si>
    <t>Count of automatic flags</t>
  </si>
  <si>
    <t>Summary of automatic checks.</t>
  </si>
  <si>
    <t>Final Conclusion</t>
  </si>
  <si>
    <t>Combines business quality, regulatory risk, utility valuation methods, red flags, and margin of safety into an investment decision.</t>
  </si>
  <si>
    <t>Decision Summary</t>
  </si>
  <si>
    <t>Current Price</t>
  </si>
  <si>
    <t>Automatic Rating</t>
  </si>
  <si>
    <t>Total Red Flags</t>
  </si>
  <si>
    <t>Analyst Sign-Off Notes</t>
  </si>
  <si>
    <t>Stable essential-service water/wastewater utility with durable demand. Current model now explicitly flags rate-base data as proxy-backed pending final regulatory support.</t>
  </si>
  <si>
    <t>Valuation View</t>
  </si>
  <si>
    <t>Selected value now uses a weighted utility valuation blend instead of mechanically taking the lowest method. P/B is tied to justified ROE math, not current market P/B; P/E is retained only as a low-weight peer sanity check.</t>
  </si>
  <si>
    <t>Main Risks</t>
  </si>
  <si>
    <t>Key risks: pending rate case outcome, regulatory lag, proxy rate-base uncertainty, external funding needs, dilution, and capex that must earn adequate approved returns per share.</t>
  </si>
  <si>
    <t>Required Follow-Up</t>
  </si>
  <si>
    <t>Replace invested-capital proxy with approved rate base from DEPSC Docket 25-0346; verify allowed ROE/equity ratio from final order; refresh peer multiples periodically.</t>
  </si>
  <si>
    <t>Final Decision</t>
  </si>
  <si>
    <t>Sources &amp; Notes</t>
  </si>
  <si>
    <t>Track source documents, filing references, rate case orders, peer data sources, and analyst notes used in the valuation.</t>
  </si>
  <si>
    <t>Source Tracker</t>
  </si>
  <si>
    <t>Source Type</t>
  </si>
  <si>
    <t>Document / Source</t>
  </si>
  <si>
    <t>URL / Filing Reference</t>
  </si>
  <si>
    <t>Date</t>
  </si>
  <si>
    <t>Used For</t>
  </si>
  <si>
    <t>Reliability</t>
  </si>
  <si>
    <t>Complete?</t>
  </si>
  <si>
    <t>Company Filing</t>
  </si>
  <si>
    <t>ARTNA prior completed EPV valuation model</t>
  </si>
  <si>
    <t>Uploaded: Artesian Resources Corporation Valuation (1)(1).xlsm</t>
  </si>
  <si>
    <t>2026-06-03</t>
  </si>
  <si>
    <t>Historical revenue, EBIT, capex, D&amp;A, net income, debt, cash, peer P/E data</t>
  </si>
  <si>
    <t>High</t>
  </si>
  <si>
    <t>Primary source for this transfer; 2025 book equity corrected during transfer</t>
  </si>
  <si>
    <t>2025 Form 10-K</t>
  </si>
  <si>
    <t>https://www.sec.gov/Archives/edgar/data/863110/000086311026000025/form10k.htm</t>
  </si>
  <si>
    <t>2026-03-16</t>
  </si>
  <si>
    <t>2025 shareholders' equity, CFO, capex, dividends paid, interest charges</t>
  </si>
  <si>
    <t>Used to correct 2025 book equity and verify selected cash flow items</t>
  </si>
  <si>
    <t>Artesian Investor Relations Annual Report page</t>
  </si>
  <si>
    <t>https://www.artesianwater.com/investor-relations/annual-report/</t>
  </si>
  <si>
    <t>2026-04-14</t>
  </si>
  <si>
    <t>Annual report location and business context</t>
  </si>
  <si>
    <t>Direct company source for 2025 annual report access</t>
  </si>
  <si>
    <t>Company Release</t>
  </si>
  <si>
    <t>2025 year-end earnings release</t>
  </si>
  <si>
    <t>https://www.artesianwater.com/2026/03/12/artesian-reports-2025-year-end-earnings-and-fourth-quarter-results/</t>
  </si>
  <si>
    <t>2026-03-12</t>
  </si>
  <si>
    <t>2025 revenue, EPS, infrastructure investment context</t>
  </si>
  <si>
    <t>Used as a cross-check, not a replacement for 10-K</t>
  </si>
  <si>
    <t>Q1 2026 10-Q / quarterly filing summary</t>
  </si>
  <si>
    <t>https://www.stocktitan.net/sec-filings/ARTNA/10-q-artesian-resources-corp-quarterly-earnings-report-95c37832f70d.html</t>
  </si>
  <si>
    <t>2026-05-05</t>
  </si>
  <si>
    <t>Q1 2026 cash/debt context, EPS, capex, temporary rate case discussion</t>
  </si>
  <si>
    <t>User indicated model uses Q1 2026 10-Q for cash/debt; 2025 10-K values were not changed</t>
  </si>
  <si>
    <t>Regulatory Filing</t>
  </si>
  <si>
    <t>DEPSC Docket No. 25-0346 – Artesian Water Rate Case</t>
  </si>
  <si>
    <t>https://depsc.delaware.gov/water-regulation/</t>
  </si>
  <si>
    <t>2025-04-04</t>
  </si>
  <si>
    <t>Pending Delaware water rate case and revenue increase request</t>
  </si>
  <si>
    <t>Used to flag pending case and need for final approved rate base/allowed return</t>
  </si>
  <si>
    <t>Partial</t>
  </si>
  <si>
    <t>Artesian Q1 2026 results release</t>
  </si>
  <si>
    <t>https://www.artesianwater.com/2026/05/05/artesian-reports-first-quarter-2026-results/</t>
  </si>
  <si>
    <t>Temporary rate increases, customer growth, Q1 revenue/EPS context</t>
  </si>
  <si>
    <t>Cross-check for Q1 operating performance and rate-case context</t>
  </si>
  <si>
    <t>Peer Data</t>
  </si>
  <si>
    <t>MarketChameleon / public market peer summary searches</t>
  </si>
  <si>
    <t>https://marketchameleon.com/</t>
  </si>
  <si>
    <t>Peer P/B and dividend yield sanity checks</t>
  </si>
  <si>
    <t>Added peer P/B and dividend yield; refresh before final memo/publication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</si>
</sst>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0">
    <numFmt numFmtId="164" formatCode="$#,##0.00;[Red]($#,##0.00);-"/>
    <numFmt numFmtId="165" formatCode="#,##0.0;[Red](#,##0.0);-"/>
    <numFmt numFmtId="166" formatCode="0.0%;[Red](0.0%);-"/>
    <numFmt numFmtId="167" formatCode="0.0x;[Red](0.0x);-"/>
    <numFmt numFmtId="168" formatCode="$#,##0.0;[Red]($#,##0.0);-"/>
    <numFmt numFmtId="169" formatCode="0.0%"/>
    <numFmt numFmtId="170" formatCode="$0.00"/>
    <numFmt numFmtId="171" formatCode="#,##0;[Red](#,##0);-"/>
    <numFmt numFmtId="172" formatCode="0.0;[Red](0.0);-"/>
    <numFmt numFmtId="173" formatCode="0.0x"/>
  </numFmts>
  <fonts count="13">
    <font>
      <sz val="11.0"/>
      <color rgb="FF000000"/>
      <name val="Carlito"/>
      <scheme val="minor"/>
    </font>
    <font>
      <b/>
      <sz val="16.0"/>
      <color rgb="FFFFFFFF"/>
      <name val="Carlito"/>
    </font>
    <font>
      <sz val="10.0"/>
      <color theme="1"/>
      <name val="Carlito"/>
    </font>
    <font>
      <sz val="11.0"/>
      <color rgb="FF000000"/>
      <name val="Carlito"/>
    </font>
    <font>
      <i/>
      <sz val="10.0"/>
      <color rgb="FF000000"/>
      <name val="Carlito"/>
    </font>
    <font>
      <b/>
      <sz val="10.0"/>
      <color rgb="FF000000"/>
      <name val="Carlito"/>
    </font>
    <font>
      <sz val="10.0"/>
      <color rgb="FF000000"/>
      <name val="Carlito"/>
    </font>
    <font>
      <sz val="10.0"/>
      <color rgb="FF0000FF"/>
      <name val="Carlito"/>
    </font>
    <font>
      <b/>
      <sz val="10.0"/>
      <color rgb="FFFFFFFF"/>
      <name val="Carlito"/>
    </font>
    <font>
      <sz val="10.0"/>
      <color rgb="FF008000"/>
      <name val="Carlito"/>
    </font>
    <font>
      <sz val="11.0"/>
      <color theme="1"/>
      <name val="Carlito"/>
    </font>
    <font>
      <sz val="11.0"/>
      <color rgb="FF0000FF"/>
      <name val="Carlito"/>
    </font>
    <font>
      <sz val="11.0"/>
      <color rgb="FF008000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0B1F33"/>
        <bgColor rgb="FF0B1F33"/>
      </patternFill>
    </fill>
    <fill>
      <patternFill patternType="solid">
        <fgColor rgb="FFE5E7EB"/>
        <bgColor rgb="FFE5E7EB"/>
      </patternFill>
    </fill>
    <fill>
      <patternFill patternType="solid">
        <fgColor rgb="FFFFF2CC"/>
        <bgColor rgb="FFFFF2CC"/>
      </patternFill>
    </fill>
  </fills>
  <borders count="1">
    <border/>
  </borders>
  <cellStyleXfs count="1">
    <xf borderId="0" fillId="0" fontId="0" numFmtId="0" applyAlignment="1" applyFont="1"/>
  </cellStyleXfs>
  <cellXfs count="6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0" fontId="2" numFmtId="0" xfId="0" applyFont="1"/>
    <xf borderId="0" fillId="0" fontId="3" numFmtId="0" xfId="0" applyFont="1"/>
    <xf borderId="0" fillId="3" fontId="4" numFmtId="0" xfId="0" applyAlignment="1" applyFill="1" applyFont="1">
      <alignment horizontal="left" vertical="center"/>
    </xf>
    <xf borderId="0" fillId="3" fontId="5" numFmtId="0" xfId="0" applyAlignment="1" applyFont="1">
      <alignment horizontal="center" shrinkToFit="0" vertical="center" wrapText="1"/>
    </xf>
    <xf borderId="0" fillId="0" fontId="6" numFmtId="0" xfId="0" applyAlignment="1" applyFont="1">
      <alignment horizontal="left" shrinkToFit="0" wrapText="1"/>
    </xf>
    <xf borderId="0" fillId="4" fontId="7" numFmtId="0" xfId="0" applyAlignment="1" applyFill="1" applyFont="1">
      <alignment horizontal="right" shrinkToFit="0" wrapText="1"/>
    </xf>
    <xf borderId="0" fillId="0" fontId="2" numFmtId="0" xfId="0" applyAlignment="1" applyFont="1">
      <alignment shrinkToFit="0" wrapText="1"/>
    </xf>
    <xf borderId="0" fillId="4" fontId="7" numFmtId="164" xfId="0" applyAlignment="1" applyFont="1" applyNumberFormat="1">
      <alignment horizontal="right" shrinkToFit="0" wrapText="1"/>
    </xf>
    <xf borderId="0" fillId="4" fontId="7" numFmtId="4" xfId="0" applyAlignment="1" applyFont="1" applyNumberFormat="1">
      <alignment horizontal="right" shrinkToFit="0" wrapText="1"/>
    </xf>
    <xf borderId="0" fillId="4" fontId="7" numFmtId="165" xfId="0" applyAlignment="1" applyFont="1" applyNumberFormat="1">
      <alignment horizontal="right" shrinkToFit="0" wrapText="1"/>
    </xf>
    <xf borderId="0" fillId="0" fontId="6" numFmtId="165" xfId="0" applyAlignment="1" applyFont="1" applyNumberFormat="1">
      <alignment horizontal="right" shrinkToFit="0" wrapText="1"/>
    </xf>
    <xf borderId="0" fillId="2" fontId="8" numFmtId="0" xfId="0" applyAlignment="1" applyFont="1">
      <alignment horizontal="left" shrinkToFit="0" vertical="center" wrapText="1"/>
    </xf>
    <xf borderId="0" fillId="4" fontId="7" numFmtId="166" xfId="0" applyAlignment="1" applyFont="1" applyNumberFormat="1">
      <alignment horizontal="right" shrinkToFit="0" wrapText="1"/>
    </xf>
    <xf borderId="0" fillId="4" fontId="7" numFmtId="167" xfId="0" applyAlignment="1" applyFont="1" applyNumberFormat="1">
      <alignment horizontal="right" shrinkToFit="0" wrapText="1"/>
    </xf>
    <xf borderId="0" fillId="0" fontId="6" numFmtId="168" xfId="0" applyAlignment="1" applyFont="1" applyNumberFormat="1">
      <alignment horizontal="right" shrinkToFit="0" wrapText="1"/>
    </xf>
    <xf borderId="0" fillId="0" fontId="9" numFmtId="168" xfId="0" applyAlignment="1" applyFont="1" applyNumberFormat="1">
      <alignment horizontal="right" shrinkToFit="0" wrapText="1"/>
    </xf>
    <xf borderId="0" fillId="0" fontId="6" numFmtId="164" xfId="0" applyAlignment="1" applyFont="1" applyNumberFormat="1">
      <alignment horizontal="right" shrinkToFit="0" wrapText="1"/>
    </xf>
    <xf borderId="0" fillId="0" fontId="6" numFmtId="166" xfId="0" applyAlignment="1" applyFont="1" applyNumberFormat="1">
      <alignment horizontal="right" shrinkToFit="0" wrapText="1"/>
    </xf>
    <xf borderId="0" fillId="2" fontId="8" numFmtId="0" xfId="0" applyAlignment="1" applyFont="1">
      <alignment horizontal="left"/>
    </xf>
    <xf borderId="0" fillId="2" fontId="8" numFmtId="0" xfId="0" applyAlignment="1" applyFont="1">
      <alignment horizontal="left" shrinkToFit="0" wrapText="1"/>
    </xf>
    <xf borderId="0" fillId="0" fontId="10" numFmtId="0" xfId="0" applyAlignment="1" applyFont="1">
      <alignment shrinkToFit="0" wrapText="1"/>
    </xf>
    <xf borderId="0" fillId="0" fontId="11" numFmtId="169" xfId="0" applyAlignment="1" applyFont="1" applyNumberFormat="1">
      <alignment shrinkToFit="0" wrapText="1"/>
    </xf>
    <xf borderId="0" fillId="0" fontId="12" numFmtId="170" xfId="0" applyAlignment="1" applyFont="1" applyNumberFormat="1">
      <alignment shrinkToFit="0" wrapText="1"/>
    </xf>
    <xf borderId="0" fillId="0" fontId="3" numFmtId="169" xfId="0" applyAlignment="1" applyFont="1" applyNumberFormat="1">
      <alignment shrinkToFit="0" wrapText="1"/>
    </xf>
    <xf borderId="0" fillId="0" fontId="3" numFmtId="170" xfId="0" applyAlignment="1" applyFont="1" applyNumberFormat="1">
      <alignment shrinkToFit="0" wrapText="1"/>
    </xf>
    <xf borderId="0" fillId="2" fontId="8" numFmtId="0" xfId="0" applyAlignment="1" applyFont="1">
      <alignment horizontal="left" vertical="center"/>
    </xf>
    <xf borderId="0" fillId="0" fontId="9" numFmtId="0" xfId="0" applyAlignment="1" applyFont="1">
      <alignment horizontal="right" shrinkToFit="0" wrapText="1"/>
    </xf>
    <xf borderId="0" fillId="0" fontId="9" numFmtId="164" xfId="0" applyAlignment="1" applyFont="1" applyNumberFormat="1">
      <alignment horizontal="right" shrinkToFit="0" wrapText="1"/>
    </xf>
    <xf borderId="0" fillId="0" fontId="9" numFmtId="166" xfId="0" applyAlignment="1" applyFont="1" applyNumberFormat="1">
      <alignment horizontal="right" shrinkToFit="0" wrapText="1"/>
    </xf>
    <xf borderId="0" fillId="0" fontId="5" numFmtId="0" xfId="0" applyAlignment="1" applyFont="1">
      <alignment horizontal="right" shrinkToFit="0" wrapText="1"/>
    </xf>
    <xf borderId="0" fillId="4" fontId="7" numFmtId="165" xfId="0" applyAlignment="1" applyFont="1" applyNumberFormat="1">
      <alignment horizontal="right"/>
    </xf>
    <xf borderId="0" fillId="4" fontId="6" numFmtId="166" xfId="0" applyAlignment="1" applyFont="1" applyNumberFormat="1">
      <alignment horizontal="right"/>
    </xf>
    <xf borderId="0" fillId="4" fontId="7" numFmtId="171" xfId="0" applyAlignment="1" applyFont="1" applyNumberFormat="1">
      <alignment horizontal="right"/>
    </xf>
    <xf borderId="0" fillId="4" fontId="7" numFmtId="166" xfId="0" applyAlignment="1" applyFont="1" applyNumberFormat="1">
      <alignment horizontal="right"/>
    </xf>
    <xf borderId="0" fillId="4" fontId="7" numFmtId="164" xfId="0" applyAlignment="1" applyFont="1" applyNumberFormat="1">
      <alignment horizontal="right"/>
    </xf>
    <xf borderId="0" fillId="4" fontId="6" numFmtId="164" xfId="0" applyAlignment="1" applyFont="1" applyNumberFormat="1">
      <alignment horizontal="right"/>
    </xf>
    <xf borderId="0" fillId="4" fontId="6" numFmtId="165" xfId="0" applyAlignment="1" applyFont="1" applyNumberFormat="1">
      <alignment horizontal="right"/>
    </xf>
    <xf borderId="0" fillId="4" fontId="6" numFmtId="167" xfId="0" applyAlignment="1" applyFont="1" applyNumberFormat="1">
      <alignment horizontal="right"/>
    </xf>
    <xf borderId="0" fillId="0" fontId="9" numFmtId="165" xfId="0" applyAlignment="1" applyFont="1" applyNumberFormat="1">
      <alignment horizontal="right"/>
    </xf>
    <xf borderId="0" fillId="0" fontId="9" numFmtId="166" xfId="0" applyAlignment="1" applyFont="1" applyNumberFormat="1">
      <alignment horizontal="right"/>
    </xf>
    <xf borderId="0" fillId="0" fontId="6" numFmtId="0" xfId="0" applyAlignment="1" applyFont="1">
      <alignment horizontal="center"/>
    </xf>
    <xf borderId="0" fillId="4" fontId="7" numFmtId="172" xfId="0" applyAlignment="1" applyFont="1" applyNumberFormat="1">
      <alignment horizontal="right" shrinkToFit="0" wrapText="1"/>
    </xf>
    <xf borderId="0" fillId="0" fontId="6" numFmtId="172" xfId="0" applyAlignment="1" applyFont="1" applyNumberFormat="1">
      <alignment horizontal="right" shrinkToFit="0" wrapText="1"/>
    </xf>
    <xf borderId="0" fillId="0" fontId="2" numFmtId="166" xfId="0" applyAlignment="1" applyFont="1" applyNumberFormat="1">
      <alignment shrinkToFit="0" wrapText="1"/>
    </xf>
    <xf borderId="0" fillId="0" fontId="9" numFmtId="167" xfId="0" applyAlignment="1" applyFont="1" applyNumberFormat="1">
      <alignment horizontal="right"/>
    </xf>
    <xf borderId="0" fillId="0" fontId="9" numFmtId="0" xfId="0" applyAlignment="1" applyFont="1">
      <alignment horizontal="right"/>
    </xf>
    <xf borderId="0" fillId="0" fontId="6" numFmtId="165" xfId="0" applyAlignment="1" applyFont="1" applyNumberFormat="1">
      <alignment horizontal="right"/>
    </xf>
    <xf borderId="0" fillId="0" fontId="6" numFmtId="166" xfId="0" applyAlignment="1" applyFont="1" applyNumberFormat="1">
      <alignment horizontal="right"/>
    </xf>
    <xf borderId="0" fillId="0" fontId="9" numFmtId="164" xfId="0" applyAlignment="1" applyFont="1" applyNumberFormat="1">
      <alignment horizontal="right"/>
    </xf>
    <xf borderId="0" fillId="0" fontId="6" numFmtId="164" xfId="0" applyAlignment="1" applyFont="1" applyNumberFormat="1">
      <alignment horizontal="right"/>
    </xf>
    <xf borderId="0" fillId="0" fontId="6" numFmtId="167" xfId="0" applyAlignment="1" applyFont="1" applyNumberFormat="1">
      <alignment horizontal="right"/>
    </xf>
    <xf borderId="0" fillId="0" fontId="6" numFmtId="0" xfId="0" applyAlignment="1" applyFont="1">
      <alignment horizontal="right"/>
    </xf>
    <xf borderId="0" fillId="4" fontId="7" numFmtId="0" xfId="0" applyAlignment="1" applyFont="1">
      <alignment horizontal="right"/>
    </xf>
    <xf borderId="0" fillId="4" fontId="7" numFmtId="167" xfId="0" applyAlignment="1" applyFont="1" applyNumberFormat="1">
      <alignment horizontal="right"/>
    </xf>
    <xf borderId="0" fillId="4" fontId="7" numFmtId="173" xfId="0" applyAlignment="1" applyFont="1" applyNumberFormat="1">
      <alignment horizontal="right"/>
    </xf>
    <xf borderId="0" fillId="4" fontId="7" numFmtId="169" xfId="0" applyAlignment="1" applyFont="1" applyNumberFormat="1">
      <alignment horizontal="right"/>
    </xf>
    <xf borderId="0" fillId="0" fontId="2" numFmtId="165" xfId="0" applyFont="1" applyNumberFormat="1"/>
    <xf borderId="0" fillId="0" fontId="6" numFmtId="173" xfId="0" applyAlignment="1" applyFont="1" applyNumberFormat="1">
      <alignment horizontal="right"/>
    </xf>
    <xf borderId="0" fillId="0" fontId="6" numFmtId="169" xfId="0" applyAlignment="1" applyFont="1" applyNumberFormat="1">
      <alignment horizontal="right"/>
    </xf>
    <xf borderId="0" fillId="3" fontId="5" numFmtId="166" xfId="0" applyAlignment="1" applyFont="1" applyNumberFormat="1">
      <alignment horizontal="center" shrinkToFit="0" vertical="center" wrapText="1"/>
    </xf>
    <xf borderId="0" fillId="0" fontId="6" numFmtId="0" xfId="0" applyAlignment="1" applyFont="1">
      <alignment horizontal="right" shrinkToFit="0" wrapText="1"/>
    </xf>
    <xf borderId="0" fillId="0" fontId="6" numFmtId="167" xfId="0" applyAlignment="1" applyFont="1" applyNumberFormat="1">
      <alignment horizontal="right" shrinkToFit="0" wrapText="1"/>
    </xf>
    <xf borderId="0" fillId="0" fontId="9" numFmtId="172" xfId="0" applyAlignment="1" applyFont="1" applyNumberFormat="1">
      <alignment horizontal="right"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customschemas.google.com/relationships/workbookmetadata" Target="metadata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19" Type="http://schemas.openxmlformats.org/officeDocument/2006/relationships/worksheet" Target="worksheets/sheet16.xml"/><Relationship Id="rId6" Type="http://schemas.openxmlformats.org/officeDocument/2006/relationships/worksheet" Target="worksheets/sheet3.xml"/><Relationship Id="rId18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1.13"/>
    <col customWidth="1" min="2" max="2" width="22.88"/>
    <col customWidth="1" min="3" max="3" width="8.63"/>
    <col customWidth="1" min="4" max="4" width="61.88"/>
    <col customWidth="1" min="5" max="5" width="6.88"/>
    <col customWidth="1" min="6" max="6" width="12.63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0</v>
      </c>
      <c r="F1" s="2"/>
      <c r="G1" s="2"/>
      <c r="H1" s="2"/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1</v>
      </c>
      <c r="F2" s="2"/>
      <c r="G2" s="2"/>
      <c r="H2" s="2"/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5" t="s">
        <v>2</v>
      </c>
      <c r="F4" s="2"/>
      <c r="G4" s="2"/>
      <c r="H4" s="2"/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6" t="s">
        <v>3</v>
      </c>
      <c r="B5" s="7" t="s">
        <v>4</v>
      </c>
      <c r="C5" s="8" t="s">
        <v>5</v>
      </c>
      <c r="D5" s="8" t="s">
        <v>6</v>
      </c>
      <c r="E5" s="8"/>
      <c r="F5" s="2"/>
      <c r="G5" s="2"/>
      <c r="H5" s="2"/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6" t="s">
        <v>7</v>
      </c>
      <c r="B6" s="7" t="s">
        <v>8</v>
      </c>
      <c r="C6" s="8" t="s">
        <v>5</v>
      </c>
      <c r="D6" s="8" t="s">
        <v>6</v>
      </c>
      <c r="E6" s="8"/>
      <c r="F6" s="2"/>
      <c r="G6" s="2"/>
      <c r="H6" s="2"/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6" t="s">
        <v>9</v>
      </c>
      <c r="B7" s="7" t="s">
        <v>10</v>
      </c>
      <c r="C7" s="8" t="s">
        <v>5</v>
      </c>
      <c r="D7" s="8" t="s">
        <v>11</v>
      </c>
      <c r="E7" s="8"/>
      <c r="F7" s="2"/>
      <c r="G7" s="2"/>
      <c r="H7" s="2"/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6" t="s">
        <v>12</v>
      </c>
      <c r="B8" s="7" t="s">
        <v>13</v>
      </c>
      <c r="C8" s="8" t="s">
        <v>5</v>
      </c>
      <c r="D8" s="8" t="s">
        <v>14</v>
      </c>
      <c r="E8" s="8"/>
      <c r="F8" s="2"/>
      <c r="G8" s="2"/>
      <c r="H8" s="2"/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6" t="s">
        <v>15</v>
      </c>
      <c r="B9" s="7" t="s">
        <v>16</v>
      </c>
      <c r="C9" s="8" t="s">
        <v>5</v>
      </c>
      <c r="D9" s="8" t="s">
        <v>17</v>
      </c>
      <c r="E9" s="8"/>
      <c r="F9" s="2"/>
      <c r="G9" s="2"/>
      <c r="H9" s="2"/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6" t="s">
        <v>18</v>
      </c>
      <c r="B10" s="7">
        <v>2025.0</v>
      </c>
      <c r="C10" s="8" t="s">
        <v>5</v>
      </c>
      <c r="D10" s="8" t="s">
        <v>19</v>
      </c>
      <c r="E10" s="8"/>
      <c r="F10" s="2"/>
      <c r="G10" s="2"/>
      <c r="H10" s="2"/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6" t="s">
        <v>20</v>
      </c>
      <c r="B11" s="9">
        <v>32.06</v>
      </c>
      <c r="C11" s="8" t="s">
        <v>5</v>
      </c>
      <c r="D11" s="8" t="s">
        <v>21</v>
      </c>
      <c r="E11" s="8"/>
      <c r="F11" s="2"/>
      <c r="G11" s="2"/>
      <c r="H11" s="2"/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6" t="s">
        <v>22</v>
      </c>
      <c r="B12" s="10">
        <v>10.312</v>
      </c>
      <c r="C12" s="8" t="s">
        <v>5</v>
      </c>
      <c r="D12" s="8" t="s">
        <v>23</v>
      </c>
      <c r="E12" s="8"/>
      <c r="F12" s="2"/>
      <c r="G12" s="2"/>
      <c r="H12" s="2"/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6" t="s">
        <v>24</v>
      </c>
      <c r="B13" s="11">
        <v>4.3</v>
      </c>
      <c r="C13" s="8" t="s">
        <v>5</v>
      </c>
      <c r="D13" s="8" t="s">
        <v>25</v>
      </c>
      <c r="E13" s="8"/>
      <c r="F13" s="2"/>
      <c r="G13" s="2"/>
      <c r="H13" s="2"/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6" t="s">
        <v>26</v>
      </c>
      <c r="B14" s="11">
        <v>186.0</v>
      </c>
      <c r="C14" s="8" t="s">
        <v>5</v>
      </c>
      <c r="D14" s="8" t="s">
        <v>27</v>
      </c>
      <c r="E14" s="8"/>
      <c r="F14" s="2"/>
      <c r="G14" s="2"/>
      <c r="H14" s="2"/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6" t="s">
        <v>28</v>
      </c>
      <c r="B15" s="11">
        <v>0.0</v>
      </c>
      <c r="C15" s="8" t="s">
        <v>5</v>
      </c>
      <c r="D15" s="8" t="s">
        <v>29</v>
      </c>
      <c r="E15" s="8"/>
      <c r="F15" s="2"/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6" t="s">
        <v>30</v>
      </c>
      <c r="B16" s="11">
        <v>249.922</v>
      </c>
      <c r="C16" s="8" t="s">
        <v>5</v>
      </c>
      <c r="D16" s="8" t="s">
        <v>31</v>
      </c>
      <c r="E16" s="8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6" t="s">
        <v>32</v>
      </c>
      <c r="B17" s="12">
        <f>B14+B15-B13</f>
        <v>181.7</v>
      </c>
      <c r="C17" s="8" t="s">
        <v>33</v>
      </c>
      <c r="D17" s="8" t="s">
        <v>34</v>
      </c>
      <c r="E17" s="8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6"/>
      <c r="B18" s="8"/>
      <c r="C18" s="8"/>
      <c r="D18" s="8"/>
      <c r="E18" s="8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9.5" customHeight="1">
      <c r="A19" s="13" t="s">
        <v>35</v>
      </c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6" t="s">
        <v>36</v>
      </c>
      <c r="B20" s="14">
        <v>0.25</v>
      </c>
      <c r="C20" s="8" t="s">
        <v>5</v>
      </c>
      <c r="D20" s="8" t="s">
        <v>37</v>
      </c>
      <c r="E20" s="8" t="s">
        <v>38</v>
      </c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6" t="s">
        <v>39</v>
      </c>
      <c r="B21" s="14">
        <v>0.1</v>
      </c>
      <c r="C21" s="8" t="s">
        <v>5</v>
      </c>
      <c r="D21" s="8" t="s">
        <v>40</v>
      </c>
      <c r="E21" s="8" t="s">
        <v>38</v>
      </c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6" t="s">
        <v>41</v>
      </c>
      <c r="B22" s="14">
        <v>0.06</v>
      </c>
      <c r="C22" s="8" t="s">
        <v>5</v>
      </c>
      <c r="D22" s="8" t="s">
        <v>42</v>
      </c>
      <c r="E22" s="8" t="s">
        <v>38</v>
      </c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6" t="s">
        <v>43</v>
      </c>
      <c r="B23" s="14">
        <v>0.09</v>
      </c>
      <c r="C23" s="8" t="s">
        <v>5</v>
      </c>
      <c r="D23" s="8" t="s">
        <v>44</v>
      </c>
      <c r="E23" s="8" t="s">
        <v>38</v>
      </c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6" t="s">
        <v>45</v>
      </c>
      <c r="B24" s="14">
        <v>0.15</v>
      </c>
      <c r="C24" s="8" t="s">
        <v>5</v>
      </c>
      <c r="D24" s="8" t="s">
        <v>46</v>
      </c>
      <c r="E24" s="8" t="s">
        <v>38</v>
      </c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6" t="s">
        <v>47</v>
      </c>
      <c r="B25" s="14">
        <v>0.04</v>
      </c>
      <c r="C25" s="8" t="s">
        <v>5</v>
      </c>
      <c r="D25" s="8" t="s">
        <v>48</v>
      </c>
      <c r="E25" s="8" t="s">
        <v>38</v>
      </c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6" t="s">
        <v>49</v>
      </c>
      <c r="B26" s="14">
        <v>0.095</v>
      </c>
      <c r="C26" s="8" t="s">
        <v>5</v>
      </c>
      <c r="D26" s="8" t="s">
        <v>50</v>
      </c>
      <c r="E26" s="8" t="s">
        <v>38</v>
      </c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6" t="s">
        <v>51</v>
      </c>
      <c r="B27" s="14">
        <v>0.5733181624235528</v>
      </c>
      <c r="C27" s="8" t="s">
        <v>5</v>
      </c>
      <c r="D27" s="8" t="s">
        <v>52</v>
      </c>
      <c r="E27" s="8" t="s">
        <v>38</v>
      </c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6" t="s">
        <v>53</v>
      </c>
      <c r="B28" s="15">
        <v>22.88014974</v>
      </c>
      <c r="C28" s="8" t="s">
        <v>5</v>
      </c>
      <c r="D28" s="8" t="s">
        <v>54</v>
      </c>
      <c r="E28" s="8" t="s">
        <v>55</v>
      </c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6" t="s">
        <v>56</v>
      </c>
      <c r="B29" s="15">
        <f>'08 P_B ROE Valuation'!B12</f>
        <v>0.8886721692</v>
      </c>
      <c r="C29" s="8" t="s">
        <v>33</v>
      </c>
      <c r="D29" s="8" t="s">
        <v>57</v>
      </c>
      <c r="E29" s="8" t="s">
        <v>55</v>
      </c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6" t="s">
        <v>58</v>
      </c>
      <c r="B30" s="14">
        <v>0.04871414250464179</v>
      </c>
      <c r="C30" s="8" t="s">
        <v>5</v>
      </c>
      <c r="D30" s="8" t="s">
        <v>59</v>
      </c>
      <c r="E30" s="8" t="s">
        <v>38</v>
      </c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6"/>
      <c r="B31" s="8"/>
      <c r="C31" s="8"/>
      <c r="D31" s="8"/>
      <c r="E31" s="8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9.5" customHeight="1">
      <c r="A32" s="13" t="s">
        <v>60</v>
      </c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6" t="s">
        <v>61</v>
      </c>
      <c r="B33" s="16">
        <f>B11*B12</f>
        <v>330.60272</v>
      </c>
      <c r="C33" s="8" t="s">
        <v>33</v>
      </c>
      <c r="D33" s="8" t="s">
        <v>62</v>
      </c>
      <c r="E33" s="8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6" t="s">
        <v>63</v>
      </c>
      <c r="B34" s="16">
        <f>B33+B17</f>
        <v>512.30272</v>
      </c>
      <c r="C34" s="8" t="s">
        <v>33</v>
      </c>
      <c r="D34" s="8" t="s">
        <v>64</v>
      </c>
      <c r="E34" s="8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6" t="s">
        <v>65</v>
      </c>
      <c r="B35" s="17">
        <f>'07 Dividend Model'!B12</f>
        <v>21.30863719</v>
      </c>
      <c r="C35" s="8" t="s">
        <v>66</v>
      </c>
      <c r="D35" s="8" t="s">
        <v>67</v>
      </c>
      <c r="E35" s="8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6" t="s">
        <v>68</v>
      </c>
      <c r="B36" s="17">
        <f>'08 P_B ROE Valuation'!B14</f>
        <v>21.53789041</v>
      </c>
      <c r="C36" s="8" t="s">
        <v>66</v>
      </c>
      <c r="D36" s="8" t="s">
        <v>69</v>
      </c>
      <c r="E36" s="8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6" t="s">
        <v>70</v>
      </c>
      <c r="B37" s="17">
        <f>'09 P_E Peer Check'!B19</f>
        <v>50.63719718</v>
      </c>
      <c r="C37" s="8" t="s">
        <v>66</v>
      </c>
      <c r="D37" s="8" t="s">
        <v>71</v>
      </c>
      <c r="E37" s="8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6" t="s">
        <v>72</v>
      </c>
      <c r="B38" s="17">
        <f>'10 Rate Base Valuation'!B24</f>
        <v>15.96058341</v>
      </c>
      <c r="C38" s="8" t="s">
        <v>66</v>
      </c>
      <c r="D38" s="8" t="s">
        <v>73</v>
      </c>
      <c r="E38" s="8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6" t="s">
        <v>74</v>
      </c>
      <c r="B39" s="17">
        <f>'11 EPV Floor'!B16</f>
        <v>-8.01724621</v>
      </c>
      <c r="C39" s="8" t="s">
        <v>66</v>
      </c>
      <c r="D39" s="8" t="s">
        <v>75</v>
      </c>
      <c r="E39" s="8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6" t="s">
        <v>76</v>
      </c>
      <c r="B40" s="18">
        <f>SUMPRODUCT(B45:B48,C45:C48)/B49</f>
        <v>21.60185428</v>
      </c>
      <c r="C40" s="8" t="s">
        <v>33</v>
      </c>
      <c r="D40" s="8" t="s">
        <v>77</v>
      </c>
      <c r="E40" s="8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6" t="s">
        <v>78</v>
      </c>
      <c r="B41" s="18">
        <f>B40*(1-B24)</f>
        <v>18.36157614</v>
      </c>
      <c r="C41" s="8" t="s">
        <v>33</v>
      </c>
      <c r="D41" s="8" t="s">
        <v>79</v>
      </c>
      <c r="E41" s="8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6" t="s">
        <v>80</v>
      </c>
      <c r="B42" s="19">
        <f>B40/B11-1</f>
        <v>-0.3262054185</v>
      </c>
      <c r="C42" s="8" t="s">
        <v>33</v>
      </c>
      <c r="D42" s="8" t="s">
        <v>81</v>
      </c>
      <c r="E42" s="8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0" t="s">
        <v>82</v>
      </c>
      <c r="B44" s="20"/>
      <c r="C44" s="20"/>
      <c r="D44" s="21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2" t="s">
        <v>83</v>
      </c>
      <c r="B45" s="23">
        <v>0.25</v>
      </c>
      <c r="C45" s="24">
        <f t="shared" ref="C45:C48" si="1">B35</f>
        <v>21.30863719</v>
      </c>
      <c r="D45" s="22" t="s">
        <v>84</v>
      </c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2" t="s">
        <v>85</v>
      </c>
      <c r="B46" s="23">
        <v>0.15</v>
      </c>
      <c r="C46" s="24">
        <f t="shared" si="1"/>
        <v>21.53789041</v>
      </c>
      <c r="D46" s="22" t="s">
        <v>86</v>
      </c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2" t="s">
        <v>87</v>
      </c>
      <c r="B47" s="23">
        <v>0.1</v>
      </c>
      <c r="C47" s="24">
        <f t="shared" si="1"/>
        <v>50.63719718</v>
      </c>
      <c r="D47" s="22" t="s">
        <v>88</v>
      </c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2" t="s">
        <v>89</v>
      </c>
      <c r="B48" s="23">
        <v>0.5</v>
      </c>
      <c r="C48" s="24">
        <f t="shared" si="1"/>
        <v>15.96058341</v>
      </c>
      <c r="D48" s="22" t="s">
        <v>90</v>
      </c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2" t="s">
        <v>91</v>
      </c>
      <c r="B49" s="25">
        <f>SUM(B45:B48)</f>
        <v>1</v>
      </c>
      <c r="C49" s="24"/>
      <c r="D49" s="22" t="s">
        <v>92</v>
      </c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2" t="s">
        <v>93</v>
      </c>
      <c r="B50" s="26">
        <f>SUMPRODUCT(B45:B48,C45:C48)/B49</f>
        <v>21.60185428</v>
      </c>
      <c r="C50" s="24">
        <f>B40</f>
        <v>21.60185428</v>
      </c>
      <c r="D50" s="22" t="s">
        <v>94</v>
      </c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E1"/>
    <mergeCell ref="A2:E2"/>
    <mergeCell ref="A4:E4"/>
    <mergeCell ref="A19:E19"/>
    <mergeCell ref="A32:E3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2" width="36.25"/>
    <col customWidth="1" min="3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95</v>
      </c>
      <c r="E1" s="2"/>
      <c r="F1" s="2"/>
      <c r="G1" s="2"/>
      <c r="H1" s="2"/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96</v>
      </c>
      <c r="E2" s="2"/>
      <c r="F2" s="2"/>
      <c r="G2" s="2"/>
      <c r="H2" s="2"/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97</v>
      </c>
      <c r="E4" s="2"/>
      <c r="F4" s="2"/>
      <c r="G4" s="2"/>
      <c r="H4" s="2"/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8" t="s">
        <v>98</v>
      </c>
      <c r="B5" s="28" t="str">
        <f>'00 Control'!B5</f>
        <v>Artesian Resources Corporation</v>
      </c>
      <c r="C5" s="8" t="s">
        <v>99</v>
      </c>
      <c r="D5" s="8"/>
      <c r="E5" s="2"/>
      <c r="F5" s="2"/>
      <c r="G5" s="2"/>
      <c r="H5" s="2"/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8" t="s">
        <v>7</v>
      </c>
      <c r="B6" s="28" t="str">
        <f>'00 Control'!B6</f>
        <v>ARTN.A</v>
      </c>
      <c r="C6" s="8" t="s">
        <v>99</v>
      </c>
      <c r="D6" s="8"/>
      <c r="E6" s="2"/>
      <c r="F6" s="2"/>
      <c r="G6" s="2"/>
      <c r="H6" s="2"/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8" t="s">
        <v>9</v>
      </c>
      <c r="B7" s="28" t="str">
        <f>'00 Control'!B7</f>
        <v>Water / Wastewater</v>
      </c>
      <c r="C7" s="8" t="s">
        <v>99</v>
      </c>
      <c r="D7" s="8"/>
      <c r="E7" s="2"/>
      <c r="F7" s="2"/>
      <c r="G7" s="2"/>
      <c r="H7" s="2"/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8" t="s">
        <v>100</v>
      </c>
      <c r="B8" s="7" t="s">
        <v>101</v>
      </c>
      <c r="C8" s="8" t="s">
        <v>102</v>
      </c>
      <c r="D8" s="8"/>
      <c r="E8" s="2"/>
      <c r="F8" s="2"/>
      <c r="G8" s="2"/>
      <c r="H8" s="2"/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8" t="s">
        <v>103</v>
      </c>
      <c r="B9" s="7" t="s">
        <v>104</v>
      </c>
      <c r="C9" s="8" t="s">
        <v>102</v>
      </c>
      <c r="D9" s="8"/>
      <c r="E9" s="2"/>
      <c r="F9" s="2"/>
      <c r="G9" s="2"/>
      <c r="H9" s="2"/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8" t="s">
        <v>105</v>
      </c>
      <c r="B10" s="28">
        <f>'00 Control'!B10</f>
        <v>2025</v>
      </c>
      <c r="C10" s="8" t="s">
        <v>99</v>
      </c>
      <c r="D10" s="8"/>
      <c r="E10" s="2"/>
      <c r="F10" s="2"/>
      <c r="G10" s="2"/>
      <c r="H10" s="2"/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8" t="s">
        <v>106</v>
      </c>
      <c r="B11" s="28" t="str">
        <f>'00 Control'!B8&amp;" / "&amp;'00 Control'!B9</f>
        <v>USD / $mm</v>
      </c>
      <c r="C11" s="8" t="s">
        <v>99</v>
      </c>
      <c r="D11" s="8"/>
      <c r="E11" s="2"/>
      <c r="F11" s="2"/>
      <c r="G11" s="2"/>
      <c r="H11" s="2"/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8" t="s">
        <v>20</v>
      </c>
      <c r="B12" s="29">
        <f>'00 Control'!B11</f>
        <v>32.06</v>
      </c>
      <c r="C12" s="8" t="s">
        <v>99</v>
      </c>
      <c r="D12" s="8"/>
      <c r="E12" s="2"/>
      <c r="F12" s="2"/>
      <c r="G12" s="2"/>
      <c r="H12" s="2"/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8" t="s">
        <v>107</v>
      </c>
      <c r="B13" s="29">
        <f>'00 Control'!B33</f>
        <v>330.60272</v>
      </c>
      <c r="C13" s="8" t="s">
        <v>99</v>
      </c>
      <c r="D13" s="8"/>
      <c r="E13" s="2"/>
      <c r="F13" s="2"/>
      <c r="G13" s="2"/>
      <c r="H13" s="2"/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8" t="s">
        <v>63</v>
      </c>
      <c r="B14" s="29">
        <f>'00 Control'!B34</f>
        <v>512.30272</v>
      </c>
      <c r="C14" s="8" t="s">
        <v>99</v>
      </c>
      <c r="D14" s="8"/>
      <c r="E14" s="2"/>
      <c r="F14" s="2"/>
      <c r="G14" s="2"/>
      <c r="H14" s="2"/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8"/>
      <c r="B15" s="29"/>
      <c r="C15" s="8"/>
      <c r="D15" s="8"/>
      <c r="E15" s="2"/>
      <c r="F15" s="2"/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9.5" customHeight="1">
      <c r="A16" s="13" t="s">
        <v>108</v>
      </c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8" t="s">
        <v>65</v>
      </c>
      <c r="B17" s="29">
        <f>'00 Control'!B35</f>
        <v>21.30863719</v>
      </c>
      <c r="C17" s="8" t="s">
        <v>109</v>
      </c>
      <c r="D17" s="8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8" t="s">
        <v>68</v>
      </c>
      <c r="B18" s="29">
        <f>'00 Control'!B36</f>
        <v>21.53789041</v>
      </c>
      <c r="C18" s="8" t="s">
        <v>110</v>
      </c>
      <c r="D18" s="8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8" t="s">
        <v>70</v>
      </c>
      <c r="B19" s="29">
        <f>'00 Control'!B37</f>
        <v>50.63719718</v>
      </c>
      <c r="C19" s="8" t="s">
        <v>111</v>
      </c>
      <c r="D19" s="8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8" t="s">
        <v>72</v>
      </c>
      <c r="B20" s="29">
        <f>'00 Control'!B38</f>
        <v>15.96058341</v>
      </c>
      <c r="C20" s="8" t="s">
        <v>112</v>
      </c>
      <c r="D20" s="8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8" t="s">
        <v>74</v>
      </c>
      <c r="B21" s="29">
        <f>'00 Control'!B39</f>
        <v>-8.01724621</v>
      </c>
      <c r="C21" s="8" t="s">
        <v>113</v>
      </c>
      <c r="D21" s="8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8" t="s">
        <v>76</v>
      </c>
      <c r="B22" s="29">
        <f>'00 Control'!B40</f>
        <v>21.60185428</v>
      </c>
      <c r="C22" s="8" t="s">
        <v>114</v>
      </c>
      <c r="D22" s="8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8" t="s">
        <v>78</v>
      </c>
      <c r="B23" s="29">
        <f>'00 Control'!B41</f>
        <v>18.36157614</v>
      </c>
      <c r="C23" s="8" t="s">
        <v>115</v>
      </c>
      <c r="D23" s="8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8" t="s">
        <v>116</v>
      </c>
      <c r="B24" s="30">
        <f>'00 Control'!B42</f>
        <v>-0.3262054185</v>
      </c>
      <c r="C24" s="8" t="s">
        <v>117</v>
      </c>
      <c r="D24" s="8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8" t="s">
        <v>118</v>
      </c>
      <c r="B25" s="31" t="str">
        <f>IF(B24&gt;0.25,"Potential Buy",IF(B24&gt;0,"Watchlist","Reject / Too Expensive"))</f>
        <v>Reject / Too Expensive</v>
      </c>
      <c r="C25" s="8" t="s">
        <v>33</v>
      </c>
      <c r="D25" s="8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8"/>
      <c r="B26" s="8"/>
      <c r="C26" s="8"/>
      <c r="D26" s="8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9.5" customHeight="1">
      <c r="A27" s="13" t="s">
        <v>119</v>
      </c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45.75" customHeight="1">
      <c r="A28" s="8" t="s">
        <v>120</v>
      </c>
      <c r="B28" s="8" t="s">
        <v>121</v>
      </c>
      <c r="C28" s="8" t="s">
        <v>102</v>
      </c>
      <c r="D28" s="8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45.75" customHeight="1">
      <c r="A29" s="8" t="s">
        <v>122</v>
      </c>
      <c r="B29" s="8" t="s">
        <v>123</v>
      </c>
      <c r="C29" s="8" t="s">
        <v>102</v>
      </c>
      <c r="D29" s="8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45.75" customHeight="1">
      <c r="A30" s="8" t="s">
        <v>124</v>
      </c>
      <c r="B30" s="8" t="s">
        <v>125</v>
      </c>
      <c r="C30" s="8" t="s">
        <v>102</v>
      </c>
      <c r="D30" s="8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D2"/>
    <mergeCell ref="A4:D4"/>
    <mergeCell ref="A16:D16"/>
    <mergeCell ref="A27:D27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126</v>
      </c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127</v>
      </c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128</v>
      </c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129</v>
      </c>
      <c r="B5" s="5">
        <v>2020.0</v>
      </c>
      <c r="C5" s="5">
        <v>2021.0</v>
      </c>
      <c r="D5" s="5">
        <v>2022.0</v>
      </c>
      <c r="E5" s="5">
        <v>2023.0</v>
      </c>
      <c r="F5" s="5">
        <v>2024.0</v>
      </c>
      <c r="G5" s="5">
        <v>2025.0</v>
      </c>
      <c r="H5" s="5" t="s">
        <v>130</v>
      </c>
      <c r="I5" s="5" t="s">
        <v>131</v>
      </c>
      <c r="J5" s="5" t="s">
        <v>132</v>
      </c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" t="s">
        <v>133</v>
      </c>
      <c r="B6" s="32">
        <v>88.14</v>
      </c>
      <c r="C6" s="32">
        <v>90.86</v>
      </c>
      <c r="D6" s="32">
        <v>98.9</v>
      </c>
      <c r="E6" s="32">
        <v>98.9</v>
      </c>
      <c r="F6" s="32">
        <v>108.0</v>
      </c>
      <c r="G6" s="32">
        <v>112.94</v>
      </c>
      <c r="H6" s="8" t="s">
        <v>134</v>
      </c>
      <c r="I6" s="8" t="s">
        <v>135</v>
      </c>
      <c r="J6" s="8" t="s">
        <v>136</v>
      </c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 t="s">
        <v>137</v>
      </c>
      <c r="B7" s="33"/>
      <c r="C7" s="33">
        <f t="shared" ref="C7:G7" si="1">IFERROR(C6/B6-1,"")</f>
        <v>0.03085999546</v>
      </c>
      <c r="D7" s="33">
        <f t="shared" si="1"/>
        <v>0.0884877834</v>
      </c>
      <c r="E7" s="33">
        <f t="shared" si="1"/>
        <v>0</v>
      </c>
      <c r="F7" s="33">
        <f t="shared" si="1"/>
        <v>0.09201213347</v>
      </c>
      <c r="G7" s="33">
        <f t="shared" si="1"/>
        <v>0.04574074074</v>
      </c>
      <c r="H7" s="8" t="s">
        <v>33</v>
      </c>
      <c r="I7" s="8" t="s">
        <v>135</v>
      </c>
      <c r="J7" s="8" t="s">
        <v>136</v>
      </c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2" t="s">
        <v>138</v>
      </c>
      <c r="B8" s="34"/>
      <c r="C8" s="34"/>
      <c r="D8" s="34"/>
      <c r="E8" s="34"/>
      <c r="F8" s="34"/>
      <c r="G8" s="34"/>
      <c r="H8" s="8" t="s">
        <v>139</v>
      </c>
      <c r="I8" s="8" t="s">
        <v>140</v>
      </c>
      <c r="J8" s="8" t="s">
        <v>136</v>
      </c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" t="s">
        <v>141</v>
      </c>
      <c r="B9" s="33"/>
      <c r="C9" s="33" t="str">
        <f t="shared" ref="C9:G9" si="2">IFERROR(C8/B8-1,"")</f>
        <v/>
      </c>
      <c r="D9" s="33" t="str">
        <f t="shared" si="2"/>
        <v/>
      </c>
      <c r="E9" s="33" t="str">
        <f t="shared" si="2"/>
        <v/>
      </c>
      <c r="F9" s="33" t="str">
        <f t="shared" si="2"/>
        <v/>
      </c>
      <c r="G9" s="33" t="str">
        <f t="shared" si="2"/>
        <v/>
      </c>
      <c r="H9" s="8" t="s">
        <v>142</v>
      </c>
      <c r="I9" s="8" t="s">
        <v>140</v>
      </c>
      <c r="J9" s="8" t="s">
        <v>136</v>
      </c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2" t="s">
        <v>143</v>
      </c>
      <c r="B10" s="32">
        <v>340.3009999999999</v>
      </c>
      <c r="C10" s="32">
        <v>349.471</v>
      </c>
      <c r="D10" s="32">
        <v>384.4179999999999</v>
      </c>
      <c r="E10" s="32">
        <v>408.434</v>
      </c>
      <c r="F10" s="32">
        <v>416.718</v>
      </c>
      <c r="G10" s="32">
        <v>431.667</v>
      </c>
      <c r="H10" s="8" t="s">
        <v>144</v>
      </c>
      <c r="I10" s="8" t="s">
        <v>145</v>
      </c>
      <c r="J10" s="8" t="s">
        <v>136</v>
      </c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58</v>
      </c>
      <c r="B11" s="33"/>
      <c r="C11" s="33">
        <f t="shared" ref="C11:G11" si="3">IFERROR(C10/B10-1,"")</f>
        <v>0.02694673245</v>
      </c>
      <c r="D11" s="33">
        <f t="shared" si="3"/>
        <v>0.09999971385</v>
      </c>
      <c r="E11" s="33">
        <f t="shared" si="3"/>
        <v>0.06247366148</v>
      </c>
      <c r="F11" s="33">
        <f t="shared" si="3"/>
        <v>0.02028234672</v>
      </c>
      <c r="G11" s="33">
        <f t="shared" si="3"/>
        <v>0.03587318042</v>
      </c>
      <c r="H11" s="8" t="s">
        <v>33</v>
      </c>
      <c r="I11" s="8" t="s">
        <v>135</v>
      </c>
      <c r="J11" s="8" t="s">
        <v>136</v>
      </c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 t="s">
        <v>49</v>
      </c>
      <c r="B12" s="35">
        <v>0.095</v>
      </c>
      <c r="C12" s="35">
        <v>0.095</v>
      </c>
      <c r="D12" s="35">
        <v>0.095</v>
      </c>
      <c r="E12" s="35">
        <v>0.095</v>
      </c>
      <c r="F12" s="35">
        <v>0.095</v>
      </c>
      <c r="G12" s="35">
        <v>0.095</v>
      </c>
      <c r="H12" s="8" t="s">
        <v>146</v>
      </c>
      <c r="I12" s="8" t="s">
        <v>140</v>
      </c>
      <c r="J12" s="8" t="s">
        <v>136</v>
      </c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 t="s">
        <v>147</v>
      </c>
      <c r="B13" s="35">
        <f>IFERROR(B16/B20,"")</f>
        <v>0.0992586734</v>
      </c>
      <c r="C13" s="35">
        <f t="shared" ref="C13:G13" si="4">IFERROR(C16/AVERAGE(B20,C20),"")</f>
        <v>0.09686388284</v>
      </c>
      <c r="D13" s="35">
        <f t="shared" si="4"/>
        <v>0.09836558352</v>
      </c>
      <c r="E13" s="35">
        <f t="shared" si="4"/>
        <v>0.07983687441</v>
      </c>
      <c r="F13" s="35">
        <f t="shared" si="4"/>
        <v>0.086859489</v>
      </c>
      <c r="G13" s="35">
        <f t="shared" si="4"/>
        <v>0.09332033015</v>
      </c>
      <c r="H13" s="8" t="s">
        <v>148</v>
      </c>
      <c r="I13" s="8" t="s">
        <v>135</v>
      </c>
      <c r="J13" s="8" t="s">
        <v>136</v>
      </c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" t="s">
        <v>149</v>
      </c>
      <c r="B14" s="32">
        <v>22.295</v>
      </c>
      <c r="C14" s="32">
        <v>22.294</v>
      </c>
      <c r="D14" s="32">
        <v>23.906</v>
      </c>
      <c r="E14" s="32">
        <v>22.446</v>
      </c>
      <c r="F14" s="32">
        <v>26.151</v>
      </c>
      <c r="G14" s="32">
        <v>27.782</v>
      </c>
      <c r="H14" s="8" t="s">
        <v>150</v>
      </c>
      <c r="I14" s="8" t="s">
        <v>135</v>
      </c>
      <c r="J14" s="8" t="s">
        <v>136</v>
      </c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 t="s">
        <v>151</v>
      </c>
      <c r="B15" s="33">
        <f t="shared" ref="B15:G15" si="5">IFERROR(B14/B6,"")</f>
        <v>0.2529498525</v>
      </c>
      <c r="C15" s="33">
        <f t="shared" si="5"/>
        <v>0.2453664979</v>
      </c>
      <c r="D15" s="33">
        <f t="shared" si="5"/>
        <v>0.241718908</v>
      </c>
      <c r="E15" s="33">
        <f t="shared" si="5"/>
        <v>0.2269565217</v>
      </c>
      <c r="F15" s="33">
        <f t="shared" si="5"/>
        <v>0.2421388889</v>
      </c>
      <c r="G15" s="33">
        <f t="shared" si="5"/>
        <v>0.2459890207</v>
      </c>
      <c r="H15" s="8" t="s">
        <v>33</v>
      </c>
      <c r="I15" s="8" t="s">
        <v>135</v>
      </c>
      <c r="J15" s="8" t="s">
        <v>136</v>
      </c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 t="s">
        <v>152</v>
      </c>
      <c r="B16" s="32">
        <v>16.817</v>
      </c>
      <c r="C16" s="32">
        <v>16.827</v>
      </c>
      <c r="D16" s="32">
        <v>17.998</v>
      </c>
      <c r="E16" s="32">
        <v>16.699</v>
      </c>
      <c r="F16" s="32">
        <v>20.394</v>
      </c>
      <c r="G16" s="32">
        <v>22.822</v>
      </c>
      <c r="H16" s="8" t="s">
        <v>150</v>
      </c>
      <c r="I16" s="8" t="s">
        <v>135</v>
      </c>
      <c r="J16" s="8" t="s">
        <v>136</v>
      </c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 t="s">
        <v>153</v>
      </c>
      <c r="B17" s="32">
        <v>1.797264080367639</v>
      </c>
      <c r="C17" s="32">
        <v>1.787444231994902</v>
      </c>
      <c r="D17" s="32">
        <v>1.893928233189519</v>
      </c>
      <c r="E17" s="32">
        <v>1.62362664073894</v>
      </c>
      <c r="F17" s="32">
        <v>1.98</v>
      </c>
      <c r="G17" s="32">
        <v>2.213149728471683</v>
      </c>
      <c r="H17" s="8" t="s">
        <v>154</v>
      </c>
      <c r="I17" s="8" t="s">
        <v>135</v>
      </c>
      <c r="J17" s="8" t="s">
        <v>136</v>
      </c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 t="s">
        <v>155</v>
      </c>
      <c r="B18" s="36">
        <v>0.972533931815753</v>
      </c>
      <c r="C18" s="36">
        <v>1.012322073507542</v>
      </c>
      <c r="D18" s="36">
        <v>1.049142376091761</v>
      </c>
      <c r="E18" s="36">
        <v>1.093048128342246</v>
      </c>
      <c r="F18" s="36">
        <v>1.181359223300971</v>
      </c>
      <c r="G18" s="36">
        <v>1.229344453064391</v>
      </c>
      <c r="H18" s="8" t="s">
        <v>156</v>
      </c>
      <c r="I18" s="8" t="s">
        <v>145</v>
      </c>
      <c r="J18" s="8" t="s">
        <v>136</v>
      </c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 t="s">
        <v>157</v>
      </c>
      <c r="B19" s="37">
        <f t="shared" ref="B19:G19" si="6">IFERROR(B18/B17,"")</f>
        <v>0.5411191057</v>
      </c>
      <c r="C19" s="37">
        <f t="shared" si="6"/>
        <v>0.5663516967</v>
      </c>
      <c r="D19" s="37">
        <f t="shared" si="6"/>
        <v>0.5539504389</v>
      </c>
      <c r="E19" s="37">
        <f t="shared" si="6"/>
        <v>0.6732139649</v>
      </c>
      <c r="F19" s="37">
        <f t="shared" si="6"/>
        <v>0.5966460724</v>
      </c>
      <c r="G19" s="37">
        <f t="shared" si="6"/>
        <v>0.5554727894</v>
      </c>
      <c r="H19" s="8" t="s">
        <v>33</v>
      </c>
      <c r="I19" s="8" t="s">
        <v>135</v>
      </c>
      <c r="J19" s="8" t="s">
        <v>136</v>
      </c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 t="s">
        <v>30</v>
      </c>
      <c r="B20" s="32">
        <v>169.426</v>
      </c>
      <c r="C20" s="32">
        <v>178.01</v>
      </c>
      <c r="D20" s="32">
        <v>187.931</v>
      </c>
      <c r="E20" s="32">
        <v>230.397</v>
      </c>
      <c r="F20" s="32">
        <v>239.189</v>
      </c>
      <c r="G20" s="32">
        <v>249.922</v>
      </c>
      <c r="H20" s="8" t="s">
        <v>158</v>
      </c>
      <c r="I20" s="8" t="s">
        <v>135</v>
      </c>
      <c r="J20" s="8" t="s">
        <v>136</v>
      </c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 t="s">
        <v>26</v>
      </c>
      <c r="B21" s="32">
        <v>170.903</v>
      </c>
      <c r="C21" s="32">
        <v>171.553</v>
      </c>
      <c r="D21" s="32">
        <v>197.796</v>
      </c>
      <c r="E21" s="32">
        <v>180.542</v>
      </c>
      <c r="F21" s="32">
        <v>178.676</v>
      </c>
      <c r="G21" s="32">
        <v>186.0</v>
      </c>
      <c r="H21" s="8" t="s">
        <v>159</v>
      </c>
      <c r="I21" s="8" t="s">
        <v>135</v>
      </c>
      <c r="J21" s="8" t="s">
        <v>136</v>
      </c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 t="s">
        <v>24</v>
      </c>
      <c r="B22" s="32">
        <v>0.028</v>
      </c>
      <c r="C22" s="32">
        <v>0.092</v>
      </c>
      <c r="D22" s="32">
        <v>1.309</v>
      </c>
      <c r="E22" s="32">
        <v>2.505</v>
      </c>
      <c r="F22" s="32">
        <v>1.147</v>
      </c>
      <c r="G22" s="32">
        <v>4.255</v>
      </c>
      <c r="H22" s="8" t="s">
        <v>160</v>
      </c>
      <c r="I22" s="8" t="s">
        <v>135</v>
      </c>
      <c r="J22" s="8" t="s">
        <v>136</v>
      </c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 t="s">
        <v>161</v>
      </c>
      <c r="B23" s="32">
        <v>34.227</v>
      </c>
      <c r="C23" s="32">
        <v>40.814</v>
      </c>
      <c r="D23" s="32">
        <v>48.483</v>
      </c>
      <c r="E23" s="32">
        <v>62.177</v>
      </c>
      <c r="F23" s="32">
        <v>45.942</v>
      </c>
      <c r="G23" s="32">
        <v>58.845</v>
      </c>
      <c r="H23" s="8" t="s">
        <v>162</v>
      </c>
      <c r="I23" s="8" t="s">
        <v>135</v>
      </c>
      <c r="J23" s="8" t="s">
        <v>136</v>
      </c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 t="s">
        <v>163</v>
      </c>
      <c r="B24" s="32">
        <v>11.143</v>
      </c>
      <c r="C24" s="32">
        <v>11.885</v>
      </c>
      <c r="D24" s="32">
        <v>12.62</v>
      </c>
      <c r="E24" s="32">
        <v>13.335</v>
      </c>
      <c r="F24" s="32">
        <v>13.629</v>
      </c>
      <c r="G24" s="32">
        <v>13.806</v>
      </c>
      <c r="H24" s="8" t="s">
        <v>164</v>
      </c>
      <c r="I24" s="8" t="s">
        <v>135</v>
      </c>
      <c r="J24" s="8" t="s">
        <v>136</v>
      </c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 t="s">
        <v>165</v>
      </c>
      <c r="B25" s="32">
        <v>27.86425</v>
      </c>
      <c r="C25" s="32">
        <v>31.3825</v>
      </c>
      <c r="D25" s="32">
        <v>25.6065</v>
      </c>
      <c r="E25" s="32">
        <v>31.851</v>
      </c>
      <c r="F25" s="32">
        <v>36.823</v>
      </c>
      <c r="G25" s="32">
        <v>40.346</v>
      </c>
      <c r="H25" s="8" t="s">
        <v>166</v>
      </c>
      <c r="I25" s="8" t="s">
        <v>167</v>
      </c>
      <c r="J25" s="8" t="s">
        <v>136</v>
      </c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 t="s">
        <v>168</v>
      </c>
      <c r="B26" s="32">
        <v>9.1</v>
      </c>
      <c r="C26" s="32">
        <v>9.53</v>
      </c>
      <c r="D26" s="32">
        <v>9.97</v>
      </c>
      <c r="E26" s="32">
        <v>11.242</v>
      </c>
      <c r="F26" s="32">
        <v>12.168</v>
      </c>
      <c r="G26" s="32">
        <v>12.677</v>
      </c>
      <c r="H26" s="8" t="s">
        <v>169</v>
      </c>
      <c r="I26" s="8" t="s">
        <v>167</v>
      </c>
      <c r="J26" s="8" t="s">
        <v>136</v>
      </c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 t="s">
        <v>170</v>
      </c>
      <c r="B27" s="38">
        <f t="shared" ref="B27:G27" si="7">IFERROR(B25-B23-B26,"")</f>
        <v>-15.46275</v>
      </c>
      <c r="C27" s="38">
        <f t="shared" si="7"/>
        <v>-18.9615</v>
      </c>
      <c r="D27" s="38">
        <f t="shared" si="7"/>
        <v>-32.8465</v>
      </c>
      <c r="E27" s="38">
        <f t="shared" si="7"/>
        <v>-41.568</v>
      </c>
      <c r="F27" s="38">
        <f t="shared" si="7"/>
        <v>-21.287</v>
      </c>
      <c r="G27" s="38">
        <f t="shared" si="7"/>
        <v>-31.176</v>
      </c>
      <c r="H27" s="8" t="s">
        <v>33</v>
      </c>
      <c r="I27" s="8" t="s">
        <v>135</v>
      </c>
      <c r="J27" s="8" t="s">
        <v>136</v>
      </c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 t="s">
        <v>171</v>
      </c>
      <c r="B28" s="33">
        <f t="shared" ref="B28:G28" si="8">IFERROR(B21/(B21+B20),"")</f>
        <v>0.5021699591</v>
      </c>
      <c r="C28" s="33">
        <f t="shared" si="8"/>
        <v>0.4907641827</v>
      </c>
      <c r="D28" s="33">
        <f t="shared" si="8"/>
        <v>0.5127875414</v>
      </c>
      <c r="E28" s="33">
        <f t="shared" si="8"/>
        <v>0.4393401454</v>
      </c>
      <c r="F28" s="33">
        <f t="shared" si="8"/>
        <v>0.4275926436</v>
      </c>
      <c r="G28" s="33">
        <f t="shared" si="8"/>
        <v>0.4266818376</v>
      </c>
      <c r="H28" s="8" t="s">
        <v>33</v>
      </c>
      <c r="I28" s="8" t="s">
        <v>135</v>
      </c>
      <c r="J28" s="8" t="s">
        <v>136</v>
      </c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 t="s">
        <v>172</v>
      </c>
      <c r="B29" s="32">
        <v>8.1</v>
      </c>
      <c r="C29" s="32">
        <v>8.3</v>
      </c>
      <c r="D29" s="32">
        <v>8.6</v>
      </c>
      <c r="E29" s="32">
        <v>9.156</v>
      </c>
      <c r="F29" s="32">
        <v>8.779</v>
      </c>
      <c r="G29" s="32">
        <v>8.686</v>
      </c>
      <c r="H29" s="8" t="s">
        <v>173</v>
      </c>
      <c r="I29" s="8" t="s">
        <v>167</v>
      </c>
      <c r="J29" s="8" t="s">
        <v>136</v>
      </c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 t="s">
        <v>174</v>
      </c>
      <c r="B30" s="39">
        <f t="shared" ref="B30:G30" si="9">IFERROR(B14/B29,"")</f>
        <v>2.752469136</v>
      </c>
      <c r="C30" s="39">
        <f t="shared" si="9"/>
        <v>2.686024096</v>
      </c>
      <c r="D30" s="39">
        <f t="shared" si="9"/>
        <v>2.779767442</v>
      </c>
      <c r="E30" s="39">
        <f t="shared" si="9"/>
        <v>2.451507208</v>
      </c>
      <c r="F30" s="39">
        <f t="shared" si="9"/>
        <v>2.978813077</v>
      </c>
      <c r="G30" s="39">
        <f t="shared" si="9"/>
        <v>3.198480313</v>
      </c>
      <c r="H30" s="8" t="s">
        <v>33</v>
      </c>
      <c r="I30" s="8" t="s">
        <v>135</v>
      </c>
      <c r="J30" s="8" t="s">
        <v>136</v>
      </c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4:J4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175</v>
      </c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176</v>
      </c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177</v>
      </c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129</v>
      </c>
      <c r="B5" s="5" t="s">
        <v>178</v>
      </c>
      <c r="C5" s="5" t="s">
        <v>179</v>
      </c>
      <c r="D5" s="5" t="s">
        <v>180</v>
      </c>
      <c r="E5" s="5" t="s">
        <v>181</v>
      </c>
      <c r="F5" s="5" t="s">
        <v>182</v>
      </c>
      <c r="G5" s="5" t="s">
        <v>183</v>
      </c>
      <c r="H5" s="5" t="s">
        <v>130</v>
      </c>
      <c r="I5" s="5" t="s">
        <v>131</v>
      </c>
      <c r="J5" s="5" t="s">
        <v>132</v>
      </c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" t="s">
        <v>143</v>
      </c>
      <c r="B6" s="40">
        <f>'02 Historical Financials'!B10</f>
        <v>340.301</v>
      </c>
      <c r="C6" s="40">
        <f>'02 Historical Financials'!C10</f>
        <v>349.471</v>
      </c>
      <c r="D6" s="40">
        <f>'02 Historical Financials'!D10</f>
        <v>384.418</v>
      </c>
      <c r="E6" s="40">
        <f>'02 Historical Financials'!E10</f>
        <v>408.434</v>
      </c>
      <c r="F6" s="40">
        <f>'02 Historical Financials'!F10</f>
        <v>416.718</v>
      </c>
      <c r="G6" s="40">
        <f>'02 Historical Financials'!G10</f>
        <v>431.667</v>
      </c>
      <c r="H6" s="2" t="s">
        <v>184</v>
      </c>
      <c r="I6" s="2" t="s">
        <v>145</v>
      </c>
      <c r="J6" s="2" t="s">
        <v>136</v>
      </c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 t="s">
        <v>58</v>
      </c>
      <c r="B7" s="41" t="str">
        <f>'02 Historical Financials'!B11</f>
        <v/>
      </c>
      <c r="C7" s="41">
        <f>'02 Historical Financials'!C11</f>
        <v>0.02694673245</v>
      </c>
      <c r="D7" s="41">
        <f>'02 Historical Financials'!D11</f>
        <v>0.09999971385</v>
      </c>
      <c r="E7" s="41">
        <f>'02 Historical Financials'!E11</f>
        <v>0.06247366148</v>
      </c>
      <c r="F7" s="41">
        <f>'02 Historical Financials'!F11</f>
        <v>0.02028234672</v>
      </c>
      <c r="G7" s="41">
        <f>'02 Historical Financials'!G11</f>
        <v>0.03587318042</v>
      </c>
      <c r="H7" s="2" t="s">
        <v>33</v>
      </c>
      <c r="I7" s="2" t="s">
        <v>135</v>
      </c>
      <c r="J7" s="2" t="s">
        <v>136</v>
      </c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2" t="s">
        <v>51</v>
      </c>
      <c r="B8" s="41">
        <f>'00 Control'!$B$27</f>
        <v>0.5733181624</v>
      </c>
      <c r="C8" s="41">
        <f>'00 Control'!$B$27</f>
        <v>0.5733181624</v>
      </c>
      <c r="D8" s="41">
        <f>'00 Control'!$B$27</f>
        <v>0.5733181624</v>
      </c>
      <c r="E8" s="41">
        <f>'00 Control'!$B$27</f>
        <v>0.5733181624</v>
      </c>
      <c r="F8" s="41">
        <f>'00 Control'!$B$27</f>
        <v>0.5733181624</v>
      </c>
      <c r="G8" s="41">
        <f>'00 Control'!$B$27</f>
        <v>0.5733181624</v>
      </c>
      <c r="H8" s="2" t="s">
        <v>185</v>
      </c>
      <c r="I8" s="2" t="s">
        <v>135</v>
      </c>
      <c r="J8" s="2" t="s">
        <v>136</v>
      </c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" t="s">
        <v>186</v>
      </c>
      <c r="B9" s="40">
        <f t="shared" ref="B9:G9" si="1">B6*B8</f>
        <v>195.100744</v>
      </c>
      <c r="C9" s="40">
        <f t="shared" si="1"/>
        <v>200.3580715</v>
      </c>
      <c r="D9" s="40">
        <f t="shared" si="1"/>
        <v>220.3938214</v>
      </c>
      <c r="E9" s="40">
        <f t="shared" si="1"/>
        <v>234.1626304</v>
      </c>
      <c r="F9" s="40">
        <f t="shared" si="1"/>
        <v>238.911998</v>
      </c>
      <c r="G9" s="40">
        <f t="shared" si="1"/>
        <v>247.4825312</v>
      </c>
      <c r="H9" s="2" t="s">
        <v>187</v>
      </c>
      <c r="I9" s="2" t="s">
        <v>135</v>
      </c>
      <c r="J9" s="2" t="s">
        <v>136</v>
      </c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2" t="s">
        <v>49</v>
      </c>
      <c r="B10" s="40">
        <f>'02 Historical Financials'!B12</f>
        <v>0.095</v>
      </c>
      <c r="C10" s="40">
        <f>'02 Historical Financials'!C12</f>
        <v>0.095</v>
      </c>
      <c r="D10" s="40">
        <f>'02 Historical Financials'!D12</f>
        <v>0.095</v>
      </c>
      <c r="E10" s="40">
        <f>'02 Historical Financials'!E12</f>
        <v>0.095</v>
      </c>
      <c r="F10" s="40">
        <f>'02 Historical Financials'!F12</f>
        <v>0.095</v>
      </c>
      <c r="G10" s="40">
        <f>'02 Historical Financials'!G12</f>
        <v>0.095</v>
      </c>
      <c r="H10" s="2" t="s">
        <v>188</v>
      </c>
      <c r="I10" s="2" t="s">
        <v>135</v>
      </c>
      <c r="J10" s="2" t="s">
        <v>136</v>
      </c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189</v>
      </c>
      <c r="B11" s="40">
        <f t="shared" ref="B11:G11" si="2">B9*B10</f>
        <v>18.53457068</v>
      </c>
      <c r="C11" s="40">
        <f t="shared" si="2"/>
        <v>19.0340168</v>
      </c>
      <c r="D11" s="40">
        <f t="shared" si="2"/>
        <v>20.93741303</v>
      </c>
      <c r="E11" s="40">
        <f t="shared" si="2"/>
        <v>22.24544988</v>
      </c>
      <c r="F11" s="40">
        <f t="shared" si="2"/>
        <v>22.69663981</v>
      </c>
      <c r="G11" s="40">
        <f t="shared" si="2"/>
        <v>23.51084047</v>
      </c>
      <c r="H11" s="2" t="s">
        <v>190</v>
      </c>
      <c r="I11" s="2" t="s">
        <v>135</v>
      </c>
      <c r="J11" s="2" t="s">
        <v>136</v>
      </c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 t="s">
        <v>191</v>
      </c>
      <c r="B12" s="40">
        <f>'02 Historical Financials'!B16</f>
        <v>16.817</v>
      </c>
      <c r="C12" s="40">
        <f>'02 Historical Financials'!C16</f>
        <v>16.827</v>
      </c>
      <c r="D12" s="40">
        <f>'02 Historical Financials'!D16</f>
        <v>17.998</v>
      </c>
      <c r="E12" s="40">
        <f>'02 Historical Financials'!E16</f>
        <v>16.699</v>
      </c>
      <c r="F12" s="40">
        <f>'02 Historical Financials'!F16</f>
        <v>20.394</v>
      </c>
      <c r="G12" s="40">
        <f>'02 Historical Financials'!G16</f>
        <v>22.822</v>
      </c>
      <c r="H12" s="2" t="s">
        <v>192</v>
      </c>
      <c r="I12" s="2" t="s">
        <v>135</v>
      </c>
      <c r="J12" s="2" t="s">
        <v>136</v>
      </c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 t="s">
        <v>193</v>
      </c>
      <c r="B13" s="41">
        <f>'02 Historical Financials'!B13</f>
        <v>0.0992586734</v>
      </c>
      <c r="C13" s="41">
        <f>'02 Historical Financials'!C13</f>
        <v>0.09686388284</v>
      </c>
      <c r="D13" s="41">
        <f>'02 Historical Financials'!D13</f>
        <v>0.09836558352</v>
      </c>
      <c r="E13" s="41">
        <f>'02 Historical Financials'!E13</f>
        <v>0.07983687441</v>
      </c>
      <c r="F13" s="41">
        <f>'02 Historical Financials'!F13</f>
        <v>0.086859489</v>
      </c>
      <c r="G13" s="41">
        <f>'02 Historical Financials'!G13</f>
        <v>0.09332033015</v>
      </c>
      <c r="H13" s="2" t="s">
        <v>148</v>
      </c>
      <c r="I13" s="2" t="s">
        <v>135</v>
      </c>
      <c r="J13" s="2" t="s">
        <v>136</v>
      </c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" t="s">
        <v>194</v>
      </c>
      <c r="B14" s="41">
        <f t="shared" ref="B14:G14" si="3">B12-B11</f>
        <v>-1.717570679</v>
      </c>
      <c r="C14" s="41">
        <f t="shared" si="3"/>
        <v>-2.207016796</v>
      </c>
      <c r="D14" s="41">
        <f t="shared" si="3"/>
        <v>-2.939413029</v>
      </c>
      <c r="E14" s="41">
        <f t="shared" si="3"/>
        <v>-5.546449883</v>
      </c>
      <c r="F14" s="41">
        <f t="shared" si="3"/>
        <v>-2.302639811</v>
      </c>
      <c r="G14" s="41">
        <f t="shared" si="3"/>
        <v>-0.6888404658</v>
      </c>
      <c r="H14" s="2" t="s">
        <v>195</v>
      </c>
      <c r="I14" s="2" t="s">
        <v>135</v>
      </c>
      <c r="J14" s="2" t="s">
        <v>136</v>
      </c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 t="s">
        <v>196</v>
      </c>
      <c r="B15" s="41">
        <f>B13-'00 Control'!$B$21</f>
        <v>-0.0007413265969</v>
      </c>
      <c r="C15" s="41">
        <f>C13-'00 Control'!$B$21</f>
        <v>-0.003136117155</v>
      </c>
      <c r="D15" s="41">
        <f>D13-'00 Control'!$B$21</f>
        <v>-0.001634416477</v>
      </c>
      <c r="E15" s="41">
        <f>E13-'00 Control'!$B$21</f>
        <v>-0.02016312559</v>
      </c>
      <c r="F15" s="41">
        <f>F13-'00 Control'!$B$21</f>
        <v>-0.013140511</v>
      </c>
      <c r="G15" s="41">
        <f>G13-'00 Control'!$B$21</f>
        <v>-0.00667966985</v>
      </c>
      <c r="H15" s="2" t="s">
        <v>197</v>
      </c>
      <c r="I15" s="2" t="s">
        <v>135</v>
      </c>
      <c r="J15" s="2" t="s">
        <v>136</v>
      </c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 t="s">
        <v>198</v>
      </c>
      <c r="B16" s="42" t="str">
        <f t="shared" ref="B16:G16" si="4">IF(B15&gt;0,"Creates Value","Destroys / Neutral")</f>
        <v>Destroys / Neutral</v>
      </c>
      <c r="C16" s="42" t="str">
        <f t="shared" si="4"/>
        <v>Destroys / Neutral</v>
      </c>
      <c r="D16" s="42" t="str">
        <f t="shared" si="4"/>
        <v>Destroys / Neutral</v>
      </c>
      <c r="E16" s="42" t="str">
        <f t="shared" si="4"/>
        <v>Destroys / Neutral</v>
      </c>
      <c r="F16" s="42" t="str">
        <f t="shared" si="4"/>
        <v>Destroys / Neutral</v>
      </c>
      <c r="G16" s="42" t="str">
        <f t="shared" si="4"/>
        <v>Destroys / Neutral</v>
      </c>
      <c r="H16" s="2" t="s">
        <v>199</v>
      </c>
      <c r="I16" s="2" t="s">
        <v>135</v>
      </c>
      <c r="J16" s="2" t="s">
        <v>136</v>
      </c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4:J4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7.63"/>
    <col customWidth="1" min="2" max="2" width="5.25"/>
    <col customWidth="1" min="3" max="3" width="8.0"/>
    <col customWidth="1" min="4" max="4" width="11.63"/>
    <col customWidth="1" min="5" max="5" width="95.25"/>
    <col customWidth="1" min="6" max="6" width="33.88"/>
    <col customWidth="1" min="7" max="7" width="7.13"/>
    <col customWidth="1" min="8" max="8" width="6.25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200</v>
      </c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201</v>
      </c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202</v>
      </c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203</v>
      </c>
      <c r="B5" s="5" t="s">
        <v>204</v>
      </c>
      <c r="C5" s="5" t="s">
        <v>205</v>
      </c>
      <c r="D5" s="5" t="s">
        <v>206</v>
      </c>
      <c r="E5" s="5" t="s">
        <v>207</v>
      </c>
      <c r="F5" s="5" t="s">
        <v>208</v>
      </c>
      <c r="G5" s="5" t="s">
        <v>209</v>
      </c>
      <c r="H5" s="5" t="s">
        <v>132</v>
      </c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8" t="s">
        <v>210</v>
      </c>
      <c r="B6" s="14">
        <v>0.2</v>
      </c>
      <c r="C6" s="43">
        <v>4.0</v>
      </c>
      <c r="D6" s="44">
        <f t="shared" ref="D6:D13" si="1">B6*C6</f>
        <v>0.8</v>
      </c>
      <c r="E6" s="8" t="s">
        <v>211</v>
      </c>
      <c r="F6" s="8" t="s">
        <v>212</v>
      </c>
      <c r="G6" s="8" t="s">
        <v>213</v>
      </c>
      <c r="H6" s="8" t="s">
        <v>136</v>
      </c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8" t="s">
        <v>214</v>
      </c>
      <c r="B7" s="14">
        <v>0.15</v>
      </c>
      <c r="C7" s="43">
        <v>3.0</v>
      </c>
      <c r="D7" s="44">
        <f t="shared" si="1"/>
        <v>0.45</v>
      </c>
      <c r="E7" s="8" t="s">
        <v>215</v>
      </c>
      <c r="F7" s="8" t="s">
        <v>216</v>
      </c>
      <c r="G7" s="8" t="s">
        <v>213</v>
      </c>
      <c r="H7" s="8" t="s">
        <v>136</v>
      </c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8" t="s">
        <v>217</v>
      </c>
      <c r="B8" s="14">
        <v>0.15</v>
      </c>
      <c r="C8" s="43">
        <v>3.0</v>
      </c>
      <c r="D8" s="44">
        <f t="shared" si="1"/>
        <v>0.45</v>
      </c>
      <c r="E8" s="8" t="s">
        <v>218</v>
      </c>
      <c r="F8" s="8" t="s">
        <v>219</v>
      </c>
      <c r="G8" s="8" t="s">
        <v>213</v>
      </c>
      <c r="H8" s="8" t="s">
        <v>136</v>
      </c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8" t="s">
        <v>220</v>
      </c>
      <c r="B9" s="14">
        <v>0.1</v>
      </c>
      <c r="C9" s="43">
        <v>4.0</v>
      </c>
      <c r="D9" s="44">
        <f t="shared" si="1"/>
        <v>0.4</v>
      </c>
      <c r="E9" s="8" t="s">
        <v>221</v>
      </c>
      <c r="F9" s="8" t="s">
        <v>222</v>
      </c>
      <c r="G9" s="8" t="s">
        <v>213</v>
      </c>
      <c r="H9" s="8" t="s">
        <v>136</v>
      </c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8" t="s">
        <v>223</v>
      </c>
      <c r="B10" s="14">
        <v>0.1</v>
      </c>
      <c r="C10" s="43">
        <v>3.0</v>
      </c>
      <c r="D10" s="44">
        <f t="shared" si="1"/>
        <v>0.3</v>
      </c>
      <c r="E10" s="8" t="s">
        <v>224</v>
      </c>
      <c r="F10" s="8" t="s">
        <v>225</v>
      </c>
      <c r="G10" s="8" t="s">
        <v>213</v>
      </c>
      <c r="H10" s="8" t="s">
        <v>136</v>
      </c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8" t="s">
        <v>226</v>
      </c>
      <c r="B11" s="14">
        <v>0.1</v>
      </c>
      <c r="C11" s="43">
        <v>3.0</v>
      </c>
      <c r="D11" s="44">
        <f t="shared" si="1"/>
        <v>0.3</v>
      </c>
      <c r="E11" s="8" t="s">
        <v>227</v>
      </c>
      <c r="F11" s="8" t="s">
        <v>228</v>
      </c>
      <c r="G11" s="8" t="s">
        <v>213</v>
      </c>
      <c r="H11" s="8" t="s">
        <v>136</v>
      </c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8" t="s">
        <v>229</v>
      </c>
      <c r="B12" s="14">
        <v>0.1</v>
      </c>
      <c r="C12" s="43">
        <v>3.0</v>
      </c>
      <c r="D12" s="44">
        <f t="shared" si="1"/>
        <v>0.3</v>
      </c>
      <c r="E12" s="8" t="s">
        <v>230</v>
      </c>
      <c r="F12" s="8" t="s">
        <v>231</v>
      </c>
      <c r="G12" s="8" t="s">
        <v>213</v>
      </c>
      <c r="H12" s="8" t="s">
        <v>136</v>
      </c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8" t="s">
        <v>232</v>
      </c>
      <c r="B13" s="14">
        <v>0.1</v>
      </c>
      <c r="C13" s="43">
        <v>4.0</v>
      </c>
      <c r="D13" s="44">
        <f t="shared" si="1"/>
        <v>0.4</v>
      </c>
      <c r="E13" s="8" t="s">
        <v>233</v>
      </c>
      <c r="F13" s="8" t="s">
        <v>234</v>
      </c>
      <c r="G13" s="8" t="s">
        <v>213</v>
      </c>
      <c r="H13" s="8" t="s">
        <v>136</v>
      </c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8" t="s">
        <v>235</v>
      </c>
      <c r="B14" s="45">
        <f>SUM(B6:B13)</f>
        <v>1</v>
      </c>
      <c r="C14" s="44">
        <f>IFERROR(D14/B14,"")</f>
        <v>3.4</v>
      </c>
      <c r="D14" s="44">
        <f>SUM(D6:D13)</f>
        <v>3.4</v>
      </c>
      <c r="E14" s="8" t="s">
        <v>236</v>
      </c>
      <c r="F14" s="8" t="s">
        <v>237</v>
      </c>
      <c r="G14" s="8" t="s">
        <v>238</v>
      </c>
      <c r="H14" s="8" t="s">
        <v>136</v>
      </c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H1"/>
    <mergeCell ref="A2:H2"/>
    <mergeCell ref="A4:H4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239</v>
      </c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240</v>
      </c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241</v>
      </c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129</v>
      </c>
      <c r="B5" s="5" t="s">
        <v>178</v>
      </c>
      <c r="C5" s="5" t="s">
        <v>179</v>
      </c>
      <c r="D5" s="5" t="s">
        <v>180</v>
      </c>
      <c r="E5" s="5" t="s">
        <v>181</v>
      </c>
      <c r="F5" s="5" t="s">
        <v>182</v>
      </c>
      <c r="G5" s="5" t="s">
        <v>183</v>
      </c>
      <c r="H5" s="5" t="s">
        <v>130</v>
      </c>
      <c r="I5" s="5" t="s">
        <v>131</v>
      </c>
      <c r="J5" s="5" t="s">
        <v>132</v>
      </c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" t="s">
        <v>26</v>
      </c>
      <c r="B6" s="40">
        <f>'02 Historical Financials'!B21</f>
        <v>170.903</v>
      </c>
      <c r="C6" s="40">
        <f>'02 Historical Financials'!C21</f>
        <v>171.553</v>
      </c>
      <c r="D6" s="40">
        <f>'02 Historical Financials'!D21</f>
        <v>197.796</v>
      </c>
      <c r="E6" s="40">
        <f>'02 Historical Financials'!E21</f>
        <v>180.542</v>
      </c>
      <c r="F6" s="40">
        <f>'02 Historical Financials'!F21</f>
        <v>178.676</v>
      </c>
      <c r="G6" s="40">
        <f>'02 Historical Financials'!G21</f>
        <v>186</v>
      </c>
      <c r="H6" s="2" t="s">
        <v>242</v>
      </c>
      <c r="I6" s="2" t="s">
        <v>135</v>
      </c>
      <c r="J6" s="2" t="s">
        <v>136</v>
      </c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 t="s">
        <v>24</v>
      </c>
      <c r="B7" s="40">
        <f>'02 Historical Financials'!B22</f>
        <v>0.028</v>
      </c>
      <c r="C7" s="40">
        <f>'02 Historical Financials'!C22</f>
        <v>0.092</v>
      </c>
      <c r="D7" s="40">
        <f>'02 Historical Financials'!D22</f>
        <v>1.309</v>
      </c>
      <c r="E7" s="40">
        <f>'02 Historical Financials'!E22</f>
        <v>2.505</v>
      </c>
      <c r="F7" s="40">
        <f>'02 Historical Financials'!F22</f>
        <v>1.147</v>
      </c>
      <c r="G7" s="40">
        <f>'02 Historical Financials'!G22</f>
        <v>4.255</v>
      </c>
      <c r="H7" s="2" t="s">
        <v>242</v>
      </c>
      <c r="I7" s="2" t="s">
        <v>135</v>
      </c>
      <c r="J7" s="2" t="s">
        <v>136</v>
      </c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2" t="s">
        <v>32</v>
      </c>
      <c r="B8" s="40">
        <f t="shared" ref="B8:G8" si="1">B6-B7</f>
        <v>170.875</v>
      </c>
      <c r="C8" s="40">
        <f t="shared" si="1"/>
        <v>171.461</v>
      </c>
      <c r="D8" s="40">
        <f t="shared" si="1"/>
        <v>196.487</v>
      </c>
      <c r="E8" s="40">
        <f t="shared" si="1"/>
        <v>178.037</v>
      </c>
      <c r="F8" s="40">
        <f t="shared" si="1"/>
        <v>177.529</v>
      </c>
      <c r="G8" s="40">
        <f t="shared" si="1"/>
        <v>181.745</v>
      </c>
      <c r="H8" s="2" t="s">
        <v>243</v>
      </c>
      <c r="I8" s="2" t="s">
        <v>135</v>
      </c>
      <c r="J8" s="2" t="s">
        <v>136</v>
      </c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" t="s">
        <v>30</v>
      </c>
      <c r="B9" s="40">
        <f>'02 Historical Financials'!B20</f>
        <v>169.426</v>
      </c>
      <c r="C9" s="40">
        <f>'02 Historical Financials'!C20</f>
        <v>178.01</v>
      </c>
      <c r="D9" s="40">
        <f>'02 Historical Financials'!D20</f>
        <v>187.931</v>
      </c>
      <c r="E9" s="40">
        <f>'02 Historical Financials'!E20</f>
        <v>230.397</v>
      </c>
      <c r="F9" s="40">
        <f>'02 Historical Financials'!F20</f>
        <v>239.189</v>
      </c>
      <c r="G9" s="40">
        <f>'02 Historical Financials'!G20</f>
        <v>249.922</v>
      </c>
      <c r="H9" s="2" t="s">
        <v>244</v>
      </c>
      <c r="I9" s="2" t="s">
        <v>135</v>
      </c>
      <c r="J9" s="2" t="s">
        <v>136</v>
      </c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2" t="s">
        <v>245</v>
      </c>
      <c r="B10" s="40">
        <f t="shared" ref="B10:G10" si="2">B6+B9</f>
        <v>340.329</v>
      </c>
      <c r="C10" s="40">
        <f t="shared" si="2"/>
        <v>349.563</v>
      </c>
      <c r="D10" s="40">
        <f t="shared" si="2"/>
        <v>385.727</v>
      </c>
      <c r="E10" s="40">
        <f t="shared" si="2"/>
        <v>410.939</v>
      </c>
      <c r="F10" s="40">
        <f t="shared" si="2"/>
        <v>417.865</v>
      </c>
      <c r="G10" s="40">
        <f t="shared" si="2"/>
        <v>435.922</v>
      </c>
      <c r="H10" s="2" t="s">
        <v>246</v>
      </c>
      <c r="I10" s="2" t="s">
        <v>135</v>
      </c>
      <c r="J10" s="2" t="s">
        <v>136</v>
      </c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171</v>
      </c>
      <c r="B11" s="41">
        <f t="shared" ref="B11:G11" si="3">B6/B10</f>
        <v>0.5021699591</v>
      </c>
      <c r="C11" s="41">
        <f t="shared" si="3"/>
        <v>0.4907641827</v>
      </c>
      <c r="D11" s="41">
        <f t="shared" si="3"/>
        <v>0.5127875414</v>
      </c>
      <c r="E11" s="41">
        <f t="shared" si="3"/>
        <v>0.4393401454</v>
      </c>
      <c r="F11" s="41">
        <f t="shared" si="3"/>
        <v>0.4275926436</v>
      </c>
      <c r="G11" s="41">
        <f t="shared" si="3"/>
        <v>0.4266818376</v>
      </c>
      <c r="H11" s="2" t="s">
        <v>247</v>
      </c>
      <c r="I11" s="2" t="s">
        <v>135</v>
      </c>
      <c r="J11" s="2" t="s">
        <v>136</v>
      </c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 t="s">
        <v>248</v>
      </c>
      <c r="B12" s="41">
        <f>B8/'02 Historical Financials'!B10</f>
        <v>0.5021289976</v>
      </c>
      <c r="C12" s="41">
        <f>C8/'02 Historical Financials'!C10</f>
        <v>0.4906301238</v>
      </c>
      <c r="D12" s="41">
        <f>D8/'02 Historical Financials'!D10</f>
        <v>0.5111285112</v>
      </c>
      <c r="E12" s="41">
        <f>E8/'02 Historical Financials'!E10</f>
        <v>0.4359015165</v>
      </c>
      <c r="F12" s="41">
        <f>F8/'02 Historical Financials'!F10</f>
        <v>0.4260171147</v>
      </c>
      <c r="G12" s="41">
        <f>G8/'02 Historical Financials'!G10</f>
        <v>0.4210305629</v>
      </c>
      <c r="H12" s="2" t="s">
        <v>249</v>
      </c>
      <c r="I12" s="2" t="s">
        <v>135</v>
      </c>
      <c r="J12" s="2" t="s">
        <v>136</v>
      </c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 t="s">
        <v>172</v>
      </c>
      <c r="B13" s="40">
        <f>'02 Historical Financials'!B29</f>
        <v>8.1</v>
      </c>
      <c r="C13" s="40">
        <f>'02 Historical Financials'!C29</f>
        <v>8.3</v>
      </c>
      <c r="D13" s="40">
        <f>'02 Historical Financials'!D29</f>
        <v>8.6</v>
      </c>
      <c r="E13" s="40">
        <f>'02 Historical Financials'!E29</f>
        <v>9.156</v>
      </c>
      <c r="F13" s="40">
        <f>'02 Historical Financials'!F29</f>
        <v>8.779</v>
      </c>
      <c r="G13" s="40">
        <f>'02 Historical Financials'!G29</f>
        <v>8.686</v>
      </c>
      <c r="H13" s="2" t="s">
        <v>192</v>
      </c>
      <c r="I13" s="2" t="s">
        <v>135</v>
      </c>
      <c r="J13" s="2" t="s">
        <v>136</v>
      </c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" t="s">
        <v>250</v>
      </c>
      <c r="B14" s="40">
        <f>'02 Historical Financials'!B14</f>
        <v>22.295</v>
      </c>
      <c r="C14" s="40">
        <f>'02 Historical Financials'!C14</f>
        <v>22.294</v>
      </c>
      <c r="D14" s="40">
        <f>'02 Historical Financials'!D14</f>
        <v>23.906</v>
      </c>
      <c r="E14" s="40">
        <f>'02 Historical Financials'!E14</f>
        <v>22.446</v>
      </c>
      <c r="F14" s="40">
        <f>'02 Historical Financials'!F14</f>
        <v>26.151</v>
      </c>
      <c r="G14" s="40">
        <f>'02 Historical Financials'!G14</f>
        <v>27.782</v>
      </c>
      <c r="H14" s="2" t="s">
        <v>192</v>
      </c>
      <c r="I14" s="2" t="s">
        <v>135</v>
      </c>
      <c r="J14" s="2" t="s">
        <v>136</v>
      </c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 t="s">
        <v>174</v>
      </c>
      <c r="B15" s="46">
        <f t="shared" ref="B15:G15" si="4">B14/B13</f>
        <v>2.752469136</v>
      </c>
      <c r="C15" s="46">
        <f t="shared" si="4"/>
        <v>2.686024096</v>
      </c>
      <c r="D15" s="46">
        <f t="shared" si="4"/>
        <v>2.779767442</v>
      </c>
      <c r="E15" s="46">
        <f t="shared" si="4"/>
        <v>2.451507208</v>
      </c>
      <c r="F15" s="46">
        <f t="shared" si="4"/>
        <v>2.978813077</v>
      </c>
      <c r="G15" s="46">
        <f t="shared" si="4"/>
        <v>3.198480313</v>
      </c>
      <c r="H15" s="2" t="s">
        <v>251</v>
      </c>
      <c r="I15" s="2" t="s">
        <v>135</v>
      </c>
      <c r="J15" s="2" t="s">
        <v>136</v>
      </c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 t="s">
        <v>252</v>
      </c>
      <c r="B16" s="47" t="str">
        <f t="shared" ref="B16:G16" si="5">IF(B15&lt;2,"High Risk",IF(B11&gt;0.65,"Levered","Acceptable"))</f>
        <v>Acceptable</v>
      </c>
      <c r="C16" s="47" t="str">
        <f t="shared" si="5"/>
        <v>Acceptable</v>
      </c>
      <c r="D16" s="47" t="str">
        <f t="shared" si="5"/>
        <v>Acceptable</v>
      </c>
      <c r="E16" s="47" t="str">
        <f t="shared" si="5"/>
        <v>Acceptable</v>
      </c>
      <c r="F16" s="47" t="str">
        <f t="shared" si="5"/>
        <v>Acceptable</v>
      </c>
      <c r="G16" s="47" t="str">
        <f t="shared" si="5"/>
        <v>Acceptable</v>
      </c>
      <c r="H16" s="2" t="s">
        <v>253</v>
      </c>
      <c r="I16" s="2" t="s">
        <v>135</v>
      </c>
      <c r="J16" s="2" t="s">
        <v>136</v>
      </c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4:J4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254</v>
      </c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255</v>
      </c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256</v>
      </c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129</v>
      </c>
      <c r="B5" s="5" t="s">
        <v>178</v>
      </c>
      <c r="C5" s="5" t="s">
        <v>179</v>
      </c>
      <c r="D5" s="5" t="s">
        <v>180</v>
      </c>
      <c r="E5" s="5" t="s">
        <v>181</v>
      </c>
      <c r="F5" s="5" t="s">
        <v>182</v>
      </c>
      <c r="G5" s="5" t="s">
        <v>183</v>
      </c>
      <c r="H5" s="5" t="s">
        <v>130</v>
      </c>
      <c r="I5" s="5" t="s">
        <v>131</v>
      </c>
      <c r="J5" s="5" t="s">
        <v>132</v>
      </c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" t="s">
        <v>133</v>
      </c>
      <c r="B6" s="40">
        <f>'02 Historical Financials'!B6</f>
        <v>88.14</v>
      </c>
      <c r="C6" s="40">
        <f>'02 Historical Financials'!C6</f>
        <v>90.86</v>
      </c>
      <c r="D6" s="40">
        <f>'02 Historical Financials'!D6</f>
        <v>98.9</v>
      </c>
      <c r="E6" s="40">
        <f>'02 Historical Financials'!E6</f>
        <v>98.9</v>
      </c>
      <c r="F6" s="40">
        <f>'02 Historical Financials'!F6</f>
        <v>108</v>
      </c>
      <c r="G6" s="40">
        <f>'02 Historical Financials'!G6</f>
        <v>112.94</v>
      </c>
      <c r="H6" s="2" t="s">
        <v>192</v>
      </c>
      <c r="I6" s="2" t="s">
        <v>135</v>
      </c>
      <c r="J6" s="2" t="s">
        <v>136</v>
      </c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 t="s">
        <v>161</v>
      </c>
      <c r="B7" s="40">
        <f>'02 Historical Financials'!B23</f>
        <v>34.227</v>
      </c>
      <c r="C7" s="40">
        <f>'02 Historical Financials'!C23</f>
        <v>40.814</v>
      </c>
      <c r="D7" s="40">
        <f>'02 Historical Financials'!D23</f>
        <v>48.483</v>
      </c>
      <c r="E7" s="40">
        <f>'02 Historical Financials'!E23</f>
        <v>62.177</v>
      </c>
      <c r="F7" s="40">
        <f>'02 Historical Financials'!F23</f>
        <v>45.942</v>
      </c>
      <c r="G7" s="40">
        <f>'02 Historical Financials'!G23</f>
        <v>58.845</v>
      </c>
      <c r="H7" s="2" t="s">
        <v>192</v>
      </c>
      <c r="I7" s="2" t="s">
        <v>135</v>
      </c>
      <c r="J7" s="2" t="s">
        <v>136</v>
      </c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2" t="s">
        <v>163</v>
      </c>
      <c r="B8" s="40">
        <f>'02 Historical Financials'!B24</f>
        <v>11.143</v>
      </c>
      <c r="C8" s="40">
        <f>'02 Historical Financials'!C24</f>
        <v>11.885</v>
      </c>
      <c r="D8" s="40">
        <f>'02 Historical Financials'!D24</f>
        <v>12.62</v>
      </c>
      <c r="E8" s="40">
        <f>'02 Historical Financials'!E24</f>
        <v>13.335</v>
      </c>
      <c r="F8" s="40">
        <f>'02 Historical Financials'!F24</f>
        <v>13.629</v>
      </c>
      <c r="G8" s="40">
        <f>'02 Historical Financials'!G24</f>
        <v>13.806</v>
      </c>
      <c r="H8" s="2" t="s">
        <v>192</v>
      </c>
      <c r="I8" s="2" t="s">
        <v>135</v>
      </c>
      <c r="J8" s="2" t="s">
        <v>136</v>
      </c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" t="s">
        <v>257</v>
      </c>
      <c r="B9" s="41">
        <f t="shared" ref="B9:G9" si="1">B7/B6</f>
        <v>0.3883253914</v>
      </c>
      <c r="C9" s="41">
        <f t="shared" si="1"/>
        <v>0.4491965661</v>
      </c>
      <c r="D9" s="41">
        <f t="shared" si="1"/>
        <v>0.4902224469</v>
      </c>
      <c r="E9" s="41">
        <f t="shared" si="1"/>
        <v>0.628685541</v>
      </c>
      <c r="F9" s="41">
        <f t="shared" si="1"/>
        <v>0.4253888889</v>
      </c>
      <c r="G9" s="41">
        <f t="shared" si="1"/>
        <v>0.5210288649</v>
      </c>
      <c r="H9" s="2" t="s">
        <v>258</v>
      </c>
      <c r="I9" s="2" t="s">
        <v>135</v>
      </c>
      <c r="J9" s="2" t="s">
        <v>136</v>
      </c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2" t="s">
        <v>259</v>
      </c>
      <c r="B10" s="41">
        <f t="shared" ref="B10:G10" si="2">B7/B8</f>
        <v>3.071614466</v>
      </c>
      <c r="C10" s="41">
        <f t="shared" si="2"/>
        <v>3.434076567</v>
      </c>
      <c r="D10" s="41">
        <f t="shared" si="2"/>
        <v>3.841759113</v>
      </c>
      <c r="E10" s="41">
        <f t="shared" si="2"/>
        <v>4.662692163</v>
      </c>
      <c r="F10" s="41">
        <f t="shared" si="2"/>
        <v>3.370900286</v>
      </c>
      <c r="G10" s="41">
        <f t="shared" si="2"/>
        <v>4.262277271</v>
      </c>
      <c r="H10" s="2" t="s">
        <v>260</v>
      </c>
      <c r="I10" s="2" t="s">
        <v>135</v>
      </c>
      <c r="J10" s="2" t="s">
        <v>136</v>
      </c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165</v>
      </c>
      <c r="B11" s="40">
        <f>'02 Historical Financials'!B25</f>
        <v>27.86425</v>
      </c>
      <c r="C11" s="40">
        <f>'02 Historical Financials'!C25</f>
        <v>31.3825</v>
      </c>
      <c r="D11" s="40">
        <f>'02 Historical Financials'!D25</f>
        <v>25.6065</v>
      </c>
      <c r="E11" s="40">
        <f>'02 Historical Financials'!E25</f>
        <v>31.851</v>
      </c>
      <c r="F11" s="40">
        <f>'02 Historical Financials'!F25</f>
        <v>36.823</v>
      </c>
      <c r="G11" s="40">
        <f>'02 Historical Financials'!G25</f>
        <v>40.346</v>
      </c>
      <c r="H11" s="2" t="s">
        <v>192</v>
      </c>
      <c r="I11" s="2" t="s">
        <v>135</v>
      </c>
      <c r="J11" s="2" t="s">
        <v>136</v>
      </c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 t="s">
        <v>168</v>
      </c>
      <c r="B12" s="40">
        <f>'02 Historical Financials'!B26</f>
        <v>9.1</v>
      </c>
      <c r="C12" s="40">
        <f>'02 Historical Financials'!C26</f>
        <v>9.53</v>
      </c>
      <c r="D12" s="40">
        <f>'02 Historical Financials'!D26</f>
        <v>9.97</v>
      </c>
      <c r="E12" s="40">
        <f>'02 Historical Financials'!E26</f>
        <v>11.242</v>
      </c>
      <c r="F12" s="40">
        <f>'02 Historical Financials'!F26</f>
        <v>12.168</v>
      </c>
      <c r="G12" s="40">
        <f>'02 Historical Financials'!G26</f>
        <v>12.677</v>
      </c>
      <c r="H12" s="2" t="s">
        <v>192</v>
      </c>
      <c r="I12" s="2" t="s">
        <v>135</v>
      </c>
      <c r="J12" s="2" t="s">
        <v>136</v>
      </c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 t="s">
        <v>261</v>
      </c>
      <c r="B13" s="40">
        <f t="shared" ref="B13:G13" si="3">B11-B12</f>
        <v>18.76425</v>
      </c>
      <c r="C13" s="40">
        <f t="shared" si="3"/>
        <v>21.8525</v>
      </c>
      <c r="D13" s="40">
        <f t="shared" si="3"/>
        <v>15.6365</v>
      </c>
      <c r="E13" s="40">
        <f t="shared" si="3"/>
        <v>20.609</v>
      </c>
      <c r="F13" s="40">
        <f t="shared" si="3"/>
        <v>24.655</v>
      </c>
      <c r="G13" s="40">
        <f t="shared" si="3"/>
        <v>27.669</v>
      </c>
      <c r="H13" s="2" t="s">
        <v>262</v>
      </c>
      <c r="I13" s="2" t="s">
        <v>135</v>
      </c>
      <c r="J13" s="2" t="s">
        <v>136</v>
      </c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" t="s">
        <v>263</v>
      </c>
      <c r="B14" s="40">
        <f t="shared" ref="B14:G14" si="4">MAX(0,B7-B13)</f>
        <v>15.46275</v>
      </c>
      <c r="C14" s="40">
        <f t="shared" si="4"/>
        <v>18.9615</v>
      </c>
      <c r="D14" s="40">
        <f t="shared" si="4"/>
        <v>32.8465</v>
      </c>
      <c r="E14" s="40">
        <f t="shared" si="4"/>
        <v>41.568</v>
      </c>
      <c r="F14" s="40">
        <f t="shared" si="4"/>
        <v>21.287</v>
      </c>
      <c r="G14" s="40">
        <f t="shared" si="4"/>
        <v>31.176</v>
      </c>
      <c r="H14" s="2" t="s">
        <v>264</v>
      </c>
      <c r="I14" s="2" t="s">
        <v>135</v>
      </c>
      <c r="J14" s="2" t="s">
        <v>136</v>
      </c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 t="s">
        <v>265</v>
      </c>
      <c r="B15" s="32">
        <f t="shared" ref="B15:G15" si="5">IFERROR(B6*0.2201615672/B8,1)</f>
        <v>1.74145567</v>
      </c>
      <c r="C15" s="32">
        <f t="shared" si="5"/>
        <v>1.683119899</v>
      </c>
      <c r="D15" s="32">
        <f t="shared" si="5"/>
        <v>1.725354913</v>
      </c>
      <c r="E15" s="32">
        <f t="shared" si="5"/>
        <v>1.632844319</v>
      </c>
      <c r="F15" s="32">
        <f t="shared" si="5"/>
        <v>1.744621708</v>
      </c>
      <c r="G15" s="32">
        <f t="shared" si="5"/>
        <v>1.801031972</v>
      </c>
      <c r="H15" s="2" t="s">
        <v>266</v>
      </c>
      <c r="I15" s="2" t="s">
        <v>267</v>
      </c>
      <c r="J15" s="2" t="s">
        <v>136</v>
      </c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 t="s">
        <v>268</v>
      </c>
      <c r="B16" s="48">
        <f t="shared" ref="B16:G16" si="6">B8*B15</f>
        <v>19.40504053</v>
      </c>
      <c r="C16" s="48">
        <f t="shared" si="6"/>
        <v>20.00388</v>
      </c>
      <c r="D16" s="48">
        <f t="shared" si="6"/>
        <v>21.773979</v>
      </c>
      <c r="E16" s="48">
        <f t="shared" si="6"/>
        <v>21.773979</v>
      </c>
      <c r="F16" s="48">
        <f t="shared" si="6"/>
        <v>23.77744926</v>
      </c>
      <c r="G16" s="48">
        <f t="shared" si="6"/>
        <v>24.8650474</v>
      </c>
      <c r="H16" s="2" t="s">
        <v>269</v>
      </c>
      <c r="I16" s="2" t="s">
        <v>135</v>
      </c>
      <c r="J16" s="2" t="s">
        <v>136</v>
      </c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 t="s">
        <v>270</v>
      </c>
      <c r="B17" s="48">
        <f t="shared" ref="B17:G17" si="7">MAX(0,B7-B16)</f>
        <v>14.82195947</v>
      </c>
      <c r="C17" s="48">
        <f t="shared" si="7"/>
        <v>20.81012</v>
      </c>
      <c r="D17" s="48">
        <f t="shared" si="7"/>
        <v>26.709021</v>
      </c>
      <c r="E17" s="48">
        <f t="shared" si="7"/>
        <v>40.403021</v>
      </c>
      <c r="F17" s="48">
        <f t="shared" si="7"/>
        <v>22.16455074</v>
      </c>
      <c r="G17" s="48">
        <f t="shared" si="7"/>
        <v>33.9799526</v>
      </c>
      <c r="H17" s="2" t="s">
        <v>271</v>
      </c>
      <c r="I17" s="2" t="s">
        <v>135</v>
      </c>
      <c r="J17" s="2" t="s">
        <v>136</v>
      </c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 t="s">
        <v>272</v>
      </c>
      <c r="B18" s="49">
        <f>B17/'02 Historical Financials'!B10</f>
        <v>0.04355543906</v>
      </c>
      <c r="C18" s="49">
        <f>C17/'02 Historical Financials'!C10</f>
        <v>0.0595474875</v>
      </c>
      <c r="D18" s="49">
        <f>D17/'02 Historical Financials'!D10</f>
        <v>0.06947911129</v>
      </c>
      <c r="E18" s="49">
        <f>E17/'02 Historical Financials'!E10</f>
        <v>0.09892178664</v>
      </c>
      <c r="F18" s="49">
        <f>F17/'02 Historical Financials'!F10</f>
        <v>0.05318836897</v>
      </c>
      <c r="G18" s="49">
        <f>G17/'02 Historical Financials'!G10</f>
        <v>0.07871797613</v>
      </c>
      <c r="H18" s="2" t="s">
        <v>273</v>
      </c>
      <c r="I18" s="2" t="s">
        <v>135</v>
      </c>
      <c r="J18" s="2" t="s">
        <v>136</v>
      </c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4:J4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274</v>
      </c>
      <c r="G1" s="2"/>
      <c r="H1" s="2"/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275</v>
      </c>
      <c r="G2" s="2"/>
      <c r="H2" s="2"/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276</v>
      </c>
      <c r="G4" s="2"/>
      <c r="H4" s="2"/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2" t="s">
        <v>277</v>
      </c>
      <c r="B5" s="50">
        <f>'02 Historical Financials'!G18</f>
        <v>1.229344453</v>
      </c>
      <c r="C5" s="2" t="s">
        <v>66</v>
      </c>
      <c r="D5" s="2" t="s">
        <v>278</v>
      </c>
      <c r="E5" s="2"/>
      <c r="F5" s="2"/>
      <c r="G5" s="2"/>
      <c r="H5" s="2"/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" t="s">
        <v>279</v>
      </c>
      <c r="B6" s="51">
        <f>('02 Historical Financials'!G18/'02 Historical Financials'!B18)^(1/5)-1</f>
        <v>0.04798185835</v>
      </c>
      <c r="C6" s="2" t="s">
        <v>33</v>
      </c>
      <c r="D6" s="2" t="s">
        <v>280</v>
      </c>
      <c r="E6" s="2"/>
      <c r="F6" s="2"/>
      <c r="G6" s="2"/>
      <c r="H6" s="2"/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 t="s">
        <v>281</v>
      </c>
      <c r="B7" s="50">
        <f>'02 Historical Financials'!G17</f>
        <v>2.213149728</v>
      </c>
      <c r="C7" s="2" t="s">
        <v>66</v>
      </c>
      <c r="D7" s="2" t="s">
        <v>282</v>
      </c>
      <c r="E7" s="2"/>
      <c r="F7" s="2"/>
      <c r="G7" s="2"/>
      <c r="H7" s="2"/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2" t="s">
        <v>283</v>
      </c>
      <c r="B8" s="49">
        <f>B5/B7</f>
        <v>0.5554727894</v>
      </c>
      <c r="C8" s="2" t="s">
        <v>33</v>
      </c>
      <c r="D8" s="2" t="s">
        <v>284</v>
      </c>
      <c r="E8" s="2"/>
      <c r="F8" s="2"/>
      <c r="G8" s="2"/>
      <c r="H8" s="2"/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" t="s">
        <v>39</v>
      </c>
      <c r="B9" s="41">
        <f>'00 Control'!B21</f>
        <v>0.1</v>
      </c>
      <c r="C9" s="2" t="s">
        <v>66</v>
      </c>
      <c r="D9" s="2" t="s">
        <v>285</v>
      </c>
      <c r="E9" s="2"/>
      <c r="F9" s="2"/>
      <c r="G9" s="2"/>
      <c r="H9" s="2"/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2" t="s">
        <v>47</v>
      </c>
      <c r="B10" s="41">
        <f>'00 Control'!B25</f>
        <v>0.04</v>
      </c>
      <c r="C10" s="2" t="s">
        <v>66</v>
      </c>
      <c r="D10" s="2" t="s">
        <v>285</v>
      </c>
      <c r="E10" s="2"/>
      <c r="F10" s="2"/>
      <c r="G10" s="2"/>
      <c r="H10" s="2"/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286</v>
      </c>
      <c r="B11" s="51">
        <f>B5*(1+B10)</f>
        <v>1.278518231</v>
      </c>
      <c r="C11" s="2" t="s">
        <v>33</v>
      </c>
      <c r="D11" s="2" t="s">
        <v>287</v>
      </c>
      <c r="E11" s="2"/>
      <c r="F11" s="2"/>
      <c r="G11" s="2"/>
      <c r="H11" s="2"/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 t="s">
        <v>65</v>
      </c>
      <c r="B12" s="51">
        <f>IF(B9&gt;B10,B11/(B9-B10),"N/A - g &gt;= ke")</f>
        <v>21.30863719</v>
      </c>
      <c r="C12" s="2" t="s">
        <v>33</v>
      </c>
      <c r="D12" s="2" t="s">
        <v>288</v>
      </c>
      <c r="E12" s="2"/>
      <c r="F12" s="2"/>
      <c r="G12" s="2"/>
      <c r="H12" s="2"/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 t="s">
        <v>289</v>
      </c>
      <c r="B13" s="52">
        <f>B12/B7</f>
        <v>9.628195017</v>
      </c>
      <c r="C13" s="2" t="s">
        <v>33</v>
      </c>
      <c r="D13" s="2" t="s">
        <v>290</v>
      </c>
      <c r="E13" s="2"/>
      <c r="F13" s="2"/>
      <c r="G13" s="2"/>
      <c r="H13" s="2"/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" t="s">
        <v>291</v>
      </c>
      <c r="B14" s="53" t="str">
        <f>IF(B8&gt;0.85,"High payout risk",IF(B10&gt;B6+0.02,"Growth aggressive","Reasonable"))</f>
        <v>Reasonable</v>
      </c>
      <c r="C14" s="2" t="s">
        <v>33</v>
      </c>
      <c r="D14" s="2" t="s">
        <v>292</v>
      </c>
      <c r="E14" s="2"/>
      <c r="F14" s="2"/>
      <c r="G14" s="2"/>
      <c r="H14" s="2"/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F1"/>
    <mergeCell ref="A2:F2"/>
    <mergeCell ref="A4:F4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293</v>
      </c>
      <c r="G1" s="2"/>
      <c r="H1" s="2"/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294</v>
      </c>
      <c r="G2" s="2"/>
      <c r="H2" s="2"/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295</v>
      </c>
      <c r="G4" s="2"/>
      <c r="H4" s="2"/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2" t="s">
        <v>30</v>
      </c>
      <c r="B5" s="40">
        <f>'00 Control'!B16</f>
        <v>249.922</v>
      </c>
      <c r="C5" s="2" t="s">
        <v>66</v>
      </c>
      <c r="D5" s="2" t="s">
        <v>296</v>
      </c>
      <c r="E5" s="2"/>
      <c r="F5" s="2"/>
      <c r="G5" s="2"/>
      <c r="H5" s="2"/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" t="s">
        <v>297</v>
      </c>
      <c r="B6" s="40">
        <f>'00 Control'!B12</f>
        <v>10.312</v>
      </c>
      <c r="C6" s="2" t="s">
        <v>66</v>
      </c>
      <c r="D6" s="2" t="s">
        <v>23</v>
      </c>
      <c r="E6" s="2"/>
      <c r="F6" s="2"/>
      <c r="G6" s="2"/>
      <c r="H6" s="2"/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 t="s">
        <v>298</v>
      </c>
      <c r="B7" s="51">
        <f>B5/B6</f>
        <v>24.23603569</v>
      </c>
      <c r="C7" s="2" t="s">
        <v>33</v>
      </c>
      <c r="D7" s="2" t="s">
        <v>299</v>
      </c>
      <c r="E7" s="2"/>
      <c r="F7" s="2"/>
      <c r="G7" s="2"/>
      <c r="H7" s="2"/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2" t="s">
        <v>147</v>
      </c>
      <c r="B8" s="41">
        <f>'02 Historical Financials'!G13</f>
        <v>0.09332033015</v>
      </c>
      <c r="C8" s="2" t="s">
        <v>66</v>
      </c>
      <c r="D8" s="2" t="s">
        <v>300</v>
      </c>
      <c r="E8" s="2"/>
      <c r="F8" s="2"/>
      <c r="G8" s="2"/>
      <c r="H8" s="2"/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" t="s">
        <v>49</v>
      </c>
      <c r="B9" s="41">
        <f>'00 Control'!B26</f>
        <v>0.095</v>
      </c>
      <c r="C9" s="2" t="s">
        <v>66</v>
      </c>
      <c r="D9" s="2" t="s">
        <v>301</v>
      </c>
      <c r="E9" s="2"/>
      <c r="F9" s="2"/>
      <c r="G9" s="2"/>
      <c r="H9" s="2"/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2" t="s">
        <v>39</v>
      </c>
      <c r="B10" s="41">
        <f>'00 Control'!B21</f>
        <v>0.1</v>
      </c>
      <c r="C10" s="2" t="s">
        <v>66</v>
      </c>
      <c r="D10" s="2" t="s">
        <v>301</v>
      </c>
      <c r="E10" s="2"/>
      <c r="F10" s="2"/>
      <c r="G10" s="2"/>
      <c r="H10" s="2"/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302</v>
      </c>
      <c r="B11" s="41">
        <f>'00 Control'!B25</f>
        <v>0.04</v>
      </c>
      <c r="C11" s="2" t="s">
        <v>66</v>
      </c>
      <c r="D11" s="2" t="s">
        <v>303</v>
      </c>
      <c r="E11" s="2"/>
      <c r="F11" s="2"/>
      <c r="G11" s="2"/>
      <c r="H11" s="2"/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 t="s">
        <v>304</v>
      </c>
      <c r="B12" s="52">
        <f>IF(B10&gt;B11,(B8-B11)/(B10-B11),"N/A - g &gt;= ke")</f>
        <v>0.8886721692</v>
      </c>
      <c r="C12" s="2" t="s">
        <v>33</v>
      </c>
      <c r="D12" s="2" t="s">
        <v>305</v>
      </c>
      <c r="E12" s="2"/>
      <c r="F12" s="2"/>
      <c r="G12" s="2"/>
      <c r="H12" s="2"/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 t="s">
        <v>306</v>
      </c>
      <c r="B13" s="46">
        <f>'00 Control'!B29</f>
        <v>0.8886721692</v>
      </c>
      <c r="C13" s="2" t="s">
        <v>66</v>
      </c>
      <c r="D13" s="2" t="s">
        <v>307</v>
      </c>
      <c r="E13" s="2"/>
      <c r="F13" s="2"/>
      <c r="G13" s="2"/>
      <c r="H13" s="2"/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" t="s">
        <v>68</v>
      </c>
      <c r="B14" s="51">
        <f>B7*B13</f>
        <v>21.53789041</v>
      </c>
      <c r="C14" s="2" t="s">
        <v>33</v>
      </c>
      <c r="D14" s="2" t="s">
        <v>308</v>
      </c>
      <c r="E14" s="2"/>
      <c r="F14" s="2"/>
      <c r="G14" s="2"/>
      <c r="H14" s="2"/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 t="s">
        <v>309</v>
      </c>
      <c r="B15" s="52">
        <f>'00 Control'!B11/B7</f>
        <v>1.322823601</v>
      </c>
      <c r="C15" s="2" t="s">
        <v>33</v>
      </c>
      <c r="D15" s="2" t="s">
        <v>310</v>
      </c>
      <c r="E15" s="2"/>
      <c r="F15" s="2"/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 t="s">
        <v>311</v>
      </c>
      <c r="B16" s="53" t="str">
        <f>IF(B15&gt;B13,"Market above selected P/B","Market at/below selected P/B")</f>
        <v>Market above selected P/B</v>
      </c>
      <c r="C16" s="2" t="s">
        <v>33</v>
      </c>
      <c r="D16" s="2" t="s">
        <v>312</v>
      </c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F1"/>
    <mergeCell ref="A2:F2"/>
    <mergeCell ref="A4:F4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5.5"/>
    <col customWidth="1" min="2" max="2" width="25.25"/>
    <col customWidth="1" min="3" max="3" width="11.88"/>
    <col customWidth="1" min="4" max="4" width="27.75"/>
    <col customWidth="1" min="5" max="5" width="6.63"/>
    <col customWidth="1" min="6" max="6" width="6.5"/>
    <col customWidth="1" min="7" max="7" width="10.63"/>
    <col customWidth="1" min="8" max="8" width="76.5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313</v>
      </c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314</v>
      </c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315</v>
      </c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316</v>
      </c>
      <c r="B5" s="5" t="s">
        <v>7</v>
      </c>
      <c r="C5" s="5" t="s">
        <v>9</v>
      </c>
      <c r="D5" s="5" t="s">
        <v>317</v>
      </c>
      <c r="E5" s="5" t="s">
        <v>318</v>
      </c>
      <c r="F5" s="5" t="s">
        <v>319</v>
      </c>
      <c r="G5" s="5" t="s">
        <v>320</v>
      </c>
      <c r="H5" s="5" t="s">
        <v>321</v>
      </c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54" t="s">
        <v>322</v>
      </c>
      <c r="B6" s="54" t="s">
        <v>323</v>
      </c>
      <c r="C6" s="54" t="s">
        <v>324</v>
      </c>
      <c r="D6" s="32">
        <v>475.9</v>
      </c>
      <c r="E6" s="55">
        <v>23.72619404</v>
      </c>
      <c r="F6" s="56">
        <v>2.0</v>
      </c>
      <c r="G6" s="57">
        <v>0.03</v>
      </c>
      <c r="H6" s="8" t="s">
        <v>325</v>
      </c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54" t="s">
        <v>326</v>
      </c>
      <c r="B7" s="54" t="s">
        <v>327</v>
      </c>
      <c r="C7" s="54" t="s">
        <v>324</v>
      </c>
      <c r="D7" s="32">
        <v>964.6</v>
      </c>
      <c r="E7" s="55">
        <v>22.52580449</v>
      </c>
      <c r="F7" s="56">
        <v>1.9</v>
      </c>
      <c r="G7" s="57">
        <v>0.027</v>
      </c>
      <c r="H7" s="8" t="s">
        <v>328</v>
      </c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54" t="s">
        <v>329</v>
      </c>
      <c r="B8" s="54" t="s">
        <v>330</v>
      </c>
      <c r="C8" s="54" t="s">
        <v>324</v>
      </c>
      <c r="D8" s="32">
        <v>2347.0</v>
      </c>
      <c r="E8" s="55">
        <v>22.88014974</v>
      </c>
      <c r="F8" s="56">
        <v>1.3</v>
      </c>
      <c r="G8" s="57">
        <v>0.03</v>
      </c>
      <c r="H8" s="8" t="s">
        <v>331</v>
      </c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54" t="s">
        <v>332</v>
      </c>
      <c r="B9" s="54" t="s">
        <v>333</v>
      </c>
      <c r="C9" s="54" t="s">
        <v>324</v>
      </c>
      <c r="D9" s="32">
        <v>2674.8</v>
      </c>
      <c r="E9" s="55">
        <v>20.92171954</v>
      </c>
      <c r="F9" s="56">
        <v>1.6</v>
      </c>
      <c r="G9" s="57">
        <v>0.03</v>
      </c>
      <c r="H9" s="8" t="s">
        <v>334</v>
      </c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54" t="s">
        <v>335</v>
      </c>
      <c r="B10" s="54" t="s">
        <v>336</v>
      </c>
      <c r="C10" s="54" t="s">
        <v>337</v>
      </c>
      <c r="D10" s="32">
        <v>2990.5</v>
      </c>
      <c r="E10" s="55">
        <v>22.9258981</v>
      </c>
      <c r="F10" s="56">
        <v>2.8</v>
      </c>
      <c r="G10" s="57">
        <v>0.026</v>
      </c>
      <c r="H10" s="8" t="s">
        <v>338</v>
      </c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339</v>
      </c>
      <c r="B11" s="2"/>
      <c r="C11" s="2"/>
      <c r="D11" s="58"/>
      <c r="E11" s="52">
        <f t="shared" ref="E11:G11" si="1">MEDIAN(E6:E10)</f>
        <v>22.88014974</v>
      </c>
      <c r="F11" s="59">
        <f t="shared" si="1"/>
        <v>1.9</v>
      </c>
      <c r="G11" s="60">
        <f t="shared" si="1"/>
        <v>0.03</v>
      </c>
      <c r="H11" s="8" t="s">
        <v>340</v>
      </c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/>
      <c r="B12" s="2"/>
      <c r="C12" s="2"/>
      <c r="D12" s="2"/>
      <c r="E12" s="2"/>
      <c r="F12" s="2"/>
      <c r="G12" s="2"/>
      <c r="H12" s="8"/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/>
      <c r="B13" s="2"/>
      <c r="C13" s="2"/>
      <c r="D13" s="2"/>
      <c r="E13" s="2"/>
      <c r="F13" s="2"/>
      <c r="G13" s="2"/>
      <c r="H13" s="8"/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9.5" customHeight="1">
      <c r="A14" s="27" t="s">
        <v>341</v>
      </c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 t="s">
        <v>281</v>
      </c>
      <c r="B15" s="50">
        <f>'02 Historical Financials'!G17</f>
        <v>2.213149728</v>
      </c>
      <c r="C15" s="2" t="s">
        <v>66</v>
      </c>
      <c r="D15" s="2" t="s">
        <v>192</v>
      </c>
      <c r="E15" s="2"/>
      <c r="F15" s="2"/>
      <c r="G15" s="2"/>
      <c r="H15" s="8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 t="s">
        <v>342</v>
      </c>
      <c r="B16" s="52">
        <f>E11</f>
        <v>22.88014974</v>
      </c>
      <c r="C16" s="2" t="s">
        <v>33</v>
      </c>
      <c r="D16" s="2" t="s">
        <v>343</v>
      </c>
      <c r="E16" s="2"/>
      <c r="F16" s="2"/>
      <c r="G16" s="2"/>
      <c r="H16" s="8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 t="s">
        <v>344</v>
      </c>
      <c r="B17" s="46">
        <f>'00 Control'!B28</f>
        <v>22.88014974</v>
      </c>
      <c r="C17" s="2" t="s">
        <v>66</v>
      </c>
      <c r="D17" s="2" t="s">
        <v>301</v>
      </c>
      <c r="E17" s="2"/>
      <c r="F17" s="2"/>
      <c r="G17" s="2"/>
      <c r="H17" s="8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 t="s">
        <v>345</v>
      </c>
      <c r="B18" s="52">
        <f>MIN(B16,B17)</f>
        <v>22.88014974</v>
      </c>
      <c r="C18" s="2" t="s">
        <v>33</v>
      </c>
      <c r="D18" s="2" t="s">
        <v>346</v>
      </c>
      <c r="E18" s="2"/>
      <c r="F18" s="2"/>
      <c r="G18" s="2"/>
      <c r="H18" s="8" t="s">
        <v>347</v>
      </c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 t="s">
        <v>70</v>
      </c>
      <c r="B19" s="51">
        <f>B15*B18</f>
        <v>50.63719718</v>
      </c>
      <c r="C19" s="2" t="s">
        <v>33</v>
      </c>
      <c r="D19" s="2" t="s">
        <v>348</v>
      </c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 t="s">
        <v>349</v>
      </c>
      <c r="B20" s="52">
        <f>'00 Control'!B11/B15</f>
        <v>14.48614144</v>
      </c>
      <c r="C20" s="2" t="s">
        <v>33</v>
      </c>
      <c r="D20" s="2" t="s">
        <v>350</v>
      </c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 t="s">
        <v>311</v>
      </c>
      <c r="B21" s="53" t="str">
        <f>IF(B20&gt;B18,"Market above selected peer P/E","Market at/below selected peer P/E")</f>
        <v>Market at/below selected peer P/E</v>
      </c>
      <c r="C21" s="2" t="s">
        <v>33</v>
      </c>
      <c r="D21" s="2" t="s">
        <v>351</v>
      </c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H1"/>
    <mergeCell ref="A2:H2"/>
    <mergeCell ref="A4:H4"/>
    <mergeCell ref="A14:H14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6.75"/>
    <col customWidth="1" min="2" max="2" width="24.63"/>
    <col customWidth="1" min="3" max="3" width="5.88"/>
    <col customWidth="1" min="4" max="4" width="37.38"/>
    <col customWidth="1" min="5" max="7" width="4.5"/>
    <col customWidth="1" min="8" max="8" width="6.5"/>
    <col customWidth="1" min="9" max="9" width="53.5"/>
    <col customWidth="1" min="10" max="10" width="17.63"/>
    <col customWidth="1" min="11" max="11" width="6.25"/>
  </cols>
  <sheetData>
    <row r="1" ht="27.75" customHeight="1">
      <c r="A1" s="1" t="s">
        <v>352</v>
      </c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353</v>
      </c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354</v>
      </c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129</v>
      </c>
      <c r="B5" s="5" t="s">
        <v>355</v>
      </c>
      <c r="C5" s="5" t="s">
        <v>356</v>
      </c>
      <c r="D5" s="5" t="s">
        <v>357</v>
      </c>
      <c r="E5" s="5" t="s">
        <v>358</v>
      </c>
      <c r="F5" s="5" t="s">
        <v>359</v>
      </c>
      <c r="G5" s="5" t="s">
        <v>360</v>
      </c>
      <c r="H5" s="5" t="s">
        <v>361</v>
      </c>
      <c r="I5" s="5" t="s">
        <v>130</v>
      </c>
      <c r="J5" s="5" t="s">
        <v>131</v>
      </c>
      <c r="K5" s="5" t="s">
        <v>132</v>
      </c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" t="s">
        <v>143</v>
      </c>
      <c r="B6" s="40">
        <f>'02 Historical Financials'!G10</f>
        <v>431.667</v>
      </c>
      <c r="C6" s="40">
        <f t="shared" ref="C6:H6" si="1">B6*(1+C7)</f>
        <v>452.6952878</v>
      </c>
      <c r="D6" s="40">
        <f t="shared" si="1"/>
        <v>474.7479505</v>
      </c>
      <c r="E6" s="40">
        <f t="shared" si="1"/>
        <v>497.8748898</v>
      </c>
      <c r="F6" s="40">
        <f t="shared" si="1"/>
        <v>522.1284382</v>
      </c>
      <c r="G6" s="40">
        <f t="shared" si="1"/>
        <v>547.5634773</v>
      </c>
      <c r="H6" s="40">
        <f t="shared" si="1"/>
        <v>574.2375626</v>
      </c>
      <c r="I6" s="8" t="s">
        <v>362</v>
      </c>
      <c r="J6" s="2" t="s">
        <v>363</v>
      </c>
      <c r="K6" s="2" t="s">
        <v>136</v>
      </c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 t="s">
        <v>58</v>
      </c>
      <c r="B7" s="41">
        <f>'00 Control'!B30</f>
        <v>0.0487141425</v>
      </c>
      <c r="C7" s="41">
        <f>'00 Control'!B30</f>
        <v>0.0487141425</v>
      </c>
      <c r="D7" s="41">
        <f>'00 Control'!B30</f>
        <v>0.0487141425</v>
      </c>
      <c r="E7" s="41">
        <f>'00 Control'!B30</f>
        <v>0.0487141425</v>
      </c>
      <c r="F7" s="41">
        <f>'00 Control'!B30</f>
        <v>0.0487141425</v>
      </c>
      <c r="G7" s="41">
        <f>'00 Control'!B30</f>
        <v>0.0487141425</v>
      </c>
      <c r="H7" s="41">
        <f>'00 Control'!B30</f>
        <v>0.0487141425</v>
      </c>
      <c r="I7" s="8" t="s">
        <v>364</v>
      </c>
      <c r="J7" s="2" t="s">
        <v>135</v>
      </c>
      <c r="K7" s="2" t="s">
        <v>136</v>
      </c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2" t="s">
        <v>51</v>
      </c>
      <c r="B8" s="41">
        <f>'00 Control'!B27</f>
        <v>0.5733181624</v>
      </c>
      <c r="C8" s="41">
        <f>'00 Control'!B27</f>
        <v>0.5733181624</v>
      </c>
      <c r="D8" s="41">
        <f>'00 Control'!B27</f>
        <v>0.5733181624</v>
      </c>
      <c r="E8" s="41">
        <f>'00 Control'!B27</f>
        <v>0.5733181624</v>
      </c>
      <c r="F8" s="41">
        <f>'00 Control'!B27</f>
        <v>0.5733181624</v>
      </c>
      <c r="G8" s="41">
        <f>'00 Control'!B27</f>
        <v>0.5733181624</v>
      </c>
      <c r="H8" s="41">
        <f>'00 Control'!B27</f>
        <v>0.5733181624</v>
      </c>
      <c r="I8" s="8" t="s">
        <v>365</v>
      </c>
      <c r="J8" s="2" t="s">
        <v>145</v>
      </c>
      <c r="K8" s="2" t="s">
        <v>136</v>
      </c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" t="s">
        <v>186</v>
      </c>
      <c r="B9" s="40">
        <f t="shared" ref="B9:H9" si="2">B6*B8</f>
        <v>247.4825312</v>
      </c>
      <c r="C9" s="40">
        <f t="shared" si="2"/>
        <v>259.5384305</v>
      </c>
      <c r="D9" s="40">
        <f t="shared" si="2"/>
        <v>272.1816226</v>
      </c>
      <c r="E9" s="40">
        <f t="shared" si="2"/>
        <v>285.440717</v>
      </c>
      <c r="F9" s="40">
        <f t="shared" si="2"/>
        <v>299.3457167</v>
      </c>
      <c r="G9" s="40">
        <f t="shared" si="2"/>
        <v>313.9280866</v>
      </c>
      <c r="H9" s="40">
        <f t="shared" si="2"/>
        <v>329.2208242</v>
      </c>
      <c r="I9" s="8" t="s">
        <v>187</v>
      </c>
      <c r="J9" s="2" t="s">
        <v>135</v>
      </c>
      <c r="K9" s="2" t="s">
        <v>136</v>
      </c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2" t="s">
        <v>49</v>
      </c>
      <c r="B10" s="41">
        <f>'00 Control'!B26</f>
        <v>0.095</v>
      </c>
      <c r="C10" s="41">
        <f>'00 Control'!B26</f>
        <v>0.095</v>
      </c>
      <c r="D10" s="41">
        <f>'00 Control'!B26</f>
        <v>0.095</v>
      </c>
      <c r="E10" s="41">
        <f>'00 Control'!B26</f>
        <v>0.095</v>
      </c>
      <c r="F10" s="41">
        <f>'00 Control'!B26</f>
        <v>0.095</v>
      </c>
      <c r="G10" s="41">
        <f>'00 Control'!B26</f>
        <v>0.095</v>
      </c>
      <c r="H10" s="41">
        <f>'00 Control'!B26</f>
        <v>0.095</v>
      </c>
      <c r="I10" s="8" t="s">
        <v>366</v>
      </c>
      <c r="J10" s="2" t="s">
        <v>367</v>
      </c>
      <c r="K10" s="2" t="s">
        <v>136</v>
      </c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189</v>
      </c>
      <c r="B11" s="40">
        <f t="shared" ref="B11:H11" si="3">B9*B10</f>
        <v>23.51084047</v>
      </c>
      <c r="C11" s="40">
        <f t="shared" si="3"/>
        <v>24.6561509</v>
      </c>
      <c r="D11" s="40">
        <f t="shared" si="3"/>
        <v>25.85725415</v>
      </c>
      <c r="E11" s="40">
        <f t="shared" si="3"/>
        <v>27.11686811</v>
      </c>
      <c r="F11" s="40">
        <f t="shared" si="3"/>
        <v>28.43784309</v>
      </c>
      <c r="G11" s="40">
        <f t="shared" si="3"/>
        <v>29.82316823</v>
      </c>
      <c r="H11" s="40">
        <f t="shared" si="3"/>
        <v>31.2759783</v>
      </c>
      <c r="I11" s="8" t="s">
        <v>190</v>
      </c>
      <c r="J11" s="2" t="s">
        <v>135</v>
      </c>
      <c r="K11" s="2" t="s">
        <v>136</v>
      </c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 t="s">
        <v>368</v>
      </c>
      <c r="B12" s="32">
        <f>'07 Dividend Model'!$B$8</f>
        <v>0.5554727894</v>
      </c>
      <c r="C12" s="32">
        <f>'07 Dividend Model'!$B$8</f>
        <v>0.5554727894</v>
      </c>
      <c r="D12" s="32">
        <f>'07 Dividend Model'!$B$8</f>
        <v>0.5554727894</v>
      </c>
      <c r="E12" s="32">
        <f>'07 Dividend Model'!$B$8</f>
        <v>0.5554727894</v>
      </c>
      <c r="F12" s="32">
        <f>'07 Dividend Model'!$B$8</f>
        <v>0.5554727894</v>
      </c>
      <c r="G12" s="32">
        <f>'07 Dividend Model'!$B$8</f>
        <v>0.5554727894</v>
      </c>
      <c r="H12" s="32">
        <f>'07 Dividend Model'!$B$8</f>
        <v>0.5554727894</v>
      </c>
      <c r="I12" s="8" t="s">
        <v>369</v>
      </c>
      <c r="J12" s="2" t="s">
        <v>145</v>
      </c>
      <c r="K12" s="2" t="s">
        <v>136</v>
      </c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 t="s">
        <v>370</v>
      </c>
      <c r="B13" s="48">
        <f t="shared" ref="B13:H13" si="4">B11*B12</f>
        <v>13.05963213</v>
      </c>
      <c r="C13" s="48">
        <f t="shared" si="4"/>
        <v>13.69582092</v>
      </c>
      <c r="D13" s="48">
        <f t="shared" si="4"/>
        <v>14.36300109</v>
      </c>
      <c r="E13" s="48">
        <f t="shared" si="4"/>
        <v>15.06268237</v>
      </c>
      <c r="F13" s="48">
        <f t="shared" si="4"/>
        <v>15.79644802</v>
      </c>
      <c r="G13" s="48">
        <f t="shared" si="4"/>
        <v>16.56595845</v>
      </c>
      <c r="H13" s="48">
        <f t="shared" si="4"/>
        <v>17.37295491</v>
      </c>
      <c r="I13" s="8" t="s">
        <v>371</v>
      </c>
      <c r="J13" s="2" t="s">
        <v>135</v>
      </c>
      <c r="K13" s="2" t="s">
        <v>136</v>
      </c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" t="s">
        <v>372</v>
      </c>
      <c r="B14" s="48"/>
      <c r="C14" s="48">
        <f>C13/(1+'00 Control'!$B$21)^1</f>
        <v>12.45074629</v>
      </c>
      <c r="D14" s="48">
        <f>D13/(1+'00 Control'!$B$21)^2</f>
        <v>11.87024883</v>
      </c>
      <c r="E14" s="48">
        <f>E13/(1+'00 Control'!$B$21)^3</f>
        <v>11.31681621</v>
      </c>
      <c r="F14" s="48">
        <f>F13/(1+'00 Control'!$B$21)^4</f>
        <v>10.78918655</v>
      </c>
      <c r="G14" s="48">
        <f>G13/(1+'00 Control'!$B$21)^5</f>
        <v>10.28615684</v>
      </c>
      <c r="H14" s="48">
        <f>H13/(1+'00 Control'!$B$21)^6</f>
        <v>9.806580132</v>
      </c>
      <c r="I14" s="2" t="s">
        <v>373</v>
      </c>
      <c r="J14" s="2" t="s">
        <v>135</v>
      </c>
      <c r="K14" s="2" t="s">
        <v>136</v>
      </c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9.5" customHeight="1">
      <c r="A18" s="27" t="s">
        <v>374</v>
      </c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 t="s">
        <v>375</v>
      </c>
      <c r="B19" s="51">
        <f>SUM(C14:G14)</f>
        <v>56.71315471</v>
      </c>
      <c r="C19" s="2" t="s">
        <v>33</v>
      </c>
      <c r="D19" s="2" t="s">
        <v>376</v>
      </c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 t="s">
        <v>377</v>
      </c>
      <c r="B20" s="51">
        <f>H13</f>
        <v>17.37295491</v>
      </c>
      <c r="C20" s="2" t="s">
        <v>33</v>
      </c>
      <c r="D20" s="2" t="s">
        <v>378</v>
      </c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 t="s">
        <v>379</v>
      </c>
      <c r="B21" s="51">
        <f>IF('00 Control'!B21&gt;'00 Control'!B31,B20/('00 Control'!B21-'00 Control'!B31),"N/A - g &gt;= ke")</f>
        <v>173.7295491</v>
      </c>
      <c r="C21" s="2" t="s">
        <v>33</v>
      </c>
      <c r="D21" s="2" t="s">
        <v>380</v>
      </c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 t="s">
        <v>381</v>
      </c>
      <c r="B22" s="51">
        <f>B21/(1+'00 Control'!B21)^5</f>
        <v>107.8723815</v>
      </c>
      <c r="C22" s="2" t="s">
        <v>33</v>
      </c>
      <c r="D22" s="2" t="s">
        <v>382</v>
      </c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 t="s">
        <v>383</v>
      </c>
      <c r="B23" s="51">
        <f>B19+B22</f>
        <v>164.5855362</v>
      </c>
      <c r="C23" s="2" t="s">
        <v>33</v>
      </c>
      <c r="D23" s="2" t="s">
        <v>384</v>
      </c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 t="s">
        <v>72</v>
      </c>
      <c r="B24" s="51">
        <f>B23/'00 Control'!B12</f>
        <v>15.96058341</v>
      </c>
      <c r="C24" s="2" t="s">
        <v>33</v>
      </c>
      <c r="D24" s="2" t="s">
        <v>385</v>
      </c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 t="s">
        <v>311</v>
      </c>
      <c r="B25" s="53" t="str">
        <f>IF(B24&gt;'00 Control'!B11,"Potential upside","Price requires higher assumptions")</f>
        <v>Price requires higher assumptions</v>
      </c>
      <c r="C25" s="2" t="s">
        <v>33</v>
      </c>
      <c r="D25" s="2" t="s">
        <v>386</v>
      </c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K4"/>
    <mergeCell ref="A18:K18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387</v>
      </c>
      <c r="F1" s="2"/>
      <c r="G1" s="2"/>
      <c r="H1" s="2"/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388</v>
      </c>
      <c r="F2" s="2"/>
      <c r="G2" s="2"/>
      <c r="H2" s="2"/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389</v>
      </c>
      <c r="F4" s="2"/>
      <c r="G4" s="2"/>
      <c r="H4" s="2"/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2" t="s">
        <v>390</v>
      </c>
      <c r="B5" s="48">
        <f>AVERAGE('02 Historical Financials'!B14:G14)</f>
        <v>24.14566667</v>
      </c>
      <c r="C5" s="2" t="s">
        <v>33</v>
      </c>
      <c r="D5" s="2" t="s">
        <v>391</v>
      </c>
      <c r="E5" s="2"/>
      <c r="F5" s="2"/>
      <c r="G5" s="2"/>
      <c r="H5" s="2"/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" t="s">
        <v>392</v>
      </c>
      <c r="B6" s="41">
        <f>'00 Control'!B20</f>
        <v>0.25</v>
      </c>
      <c r="C6" s="2" t="s">
        <v>66</v>
      </c>
      <c r="D6" s="2" t="s">
        <v>301</v>
      </c>
      <c r="E6" s="2"/>
      <c r="F6" s="2"/>
      <c r="G6" s="2"/>
      <c r="H6" s="2"/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 t="s">
        <v>393</v>
      </c>
      <c r="B7" s="48">
        <f>B5*(1-B6)</f>
        <v>18.10925</v>
      </c>
      <c r="C7" s="2" t="s">
        <v>33</v>
      </c>
      <c r="D7" s="2" t="s">
        <v>394</v>
      </c>
      <c r="E7" s="2"/>
      <c r="F7" s="2"/>
      <c r="G7" s="2"/>
      <c r="H7" s="2"/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2" t="s">
        <v>268</v>
      </c>
      <c r="B8" s="40">
        <f>AVERAGE('06 Capex Funding'!B16:G16)</f>
        <v>21.9332292</v>
      </c>
      <c r="C8" s="2" t="s">
        <v>66</v>
      </c>
      <c r="D8" s="2" t="s">
        <v>395</v>
      </c>
      <c r="E8" s="2"/>
      <c r="F8" s="2"/>
      <c r="G8" s="2"/>
      <c r="H8" s="2"/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" t="s">
        <v>163</v>
      </c>
      <c r="B9" s="40">
        <f>AVERAGE('02 Historical Financials'!B24:G24)</f>
        <v>12.73633333</v>
      </c>
      <c r="C9" s="2" t="s">
        <v>66</v>
      </c>
      <c r="D9" s="2" t="s">
        <v>396</v>
      </c>
      <c r="E9" s="2"/>
      <c r="F9" s="2"/>
      <c r="G9" s="2"/>
      <c r="H9" s="2"/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2" t="s">
        <v>397</v>
      </c>
      <c r="B10" s="48">
        <f>B8-B9</f>
        <v>9.196895863</v>
      </c>
      <c r="C10" s="2" t="s">
        <v>33</v>
      </c>
      <c r="D10" s="2" t="s">
        <v>398</v>
      </c>
      <c r="E10" s="2"/>
      <c r="F10" s="2"/>
      <c r="G10" s="2"/>
      <c r="H10" s="2"/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 t="s">
        <v>399</v>
      </c>
      <c r="B11" s="48">
        <f>B7-B10</f>
        <v>8.912354137</v>
      </c>
      <c r="C11" s="2" t="s">
        <v>33</v>
      </c>
      <c r="D11" s="2" t="s">
        <v>400</v>
      </c>
      <c r="E11" s="2"/>
      <c r="F11" s="2"/>
      <c r="G11" s="2"/>
      <c r="H11" s="2"/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 t="s">
        <v>43</v>
      </c>
      <c r="B12" s="41">
        <f>'00 Control'!B23</f>
        <v>0.09</v>
      </c>
      <c r="C12" s="2" t="s">
        <v>66</v>
      </c>
      <c r="D12" s="2" t="s">
        <v>301</v>
      </c>
      <c r="E12" s="2"/>
      <c r="F12" s="2"/>
      <c r="G12" s="2"/>
      <c r="H12" s="2"/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2" t="s">
        <v>401</v>
      </c>
      <c r="B13" s="48">
        <f>IF(B12&gt;0,B11/B12,"N/A")</f>
        <v>99.02615708</v>
      </c>
      <c r="C13" s="2" t="s">
        <v>33</v>
      </c>
      <c r="D13" s="2" t="s">
        <v>402</v>
      </c>
      <c r="E13" s="2"/>
      <c r="F13" s="2"/>
      <c r="G13" s="2"/>
      <c r="H13" s="2"/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" t="s">
        <v>32</v>
      </c>
      <c r="B14" s="40">
        <f>'00 Control'!B17</f>
        <v>181.7</v>
      </c>
      <c r="C14" s="2" t="s">
        <v>66</v>
      </c>
      <c r="D14" s="2" t="s">
        <v>403</v>
      </c>
      <c r="E14" s="2"/>
      <c r="F14" s="2"/>
      <c r="G14" s="2"/>
      <c r="H14" s="2"/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 t="s">
        <v>404</v>
      </c>
      <c r="B15" s="48">
        <f>B13-B14</f>
        <v>-82.67384292</v>
      </c>
      <c r="C15" s="2" t="s">
        <v>33</v>
      </c>
      <c r="D15" s="2" t="s">
        <v>405</v>
      </c>
      <c r="E15" s="2"/>
      <c r="F15" s="2"/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 t="s">
        <v>74</v>
      </c>
      <c r="B16" s="51">
        <f>B15/'00 Control'!B12</f>
        <v>-8.01724621</v>
      </c>
      <c r="C16" s="2" t="s">
        <v>33</v>
      </c>
      <c r="D16" s="2" t="s">
        <v>406</v>
      </c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 t="s">
        <v>407</v>
      </c>
      <c r="B17" s="53" t="str">
        <f>IF(B16&lt;=0,"No positive no-growth EPV equity value","Positive EPV floor")</f>
        <v>No positive no-growth EPV equity value</v>
      </c>
      <c r="C17" s="2" t="s">
        <v>33</v>
      </c>
      <c r="D17" s="2" t="s">
        <v>408</v>
      </c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E1"/>
    <mergeCell ref="A2:E2"/>
    <mergeCell ref="A4:E4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409</v>
      </c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410</v>
      </c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411</v>
      </c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65</v>
      </c>
      <c r="B5" s="61">
        <v>0.03</v>
      </c>
      <c r="C5" s="61">
        <v>0.035</v>
      </c>
      <c r="D5" s="61">
        <v>0.04</v>
      </c>
      <c r="E5" s="61">
        <v>0.045</v>
      </c>
      <c r="F5" s="61">
        <v>0.05</v>
      </c>
      <c r="G5" s="2"/>
      <c r="H5" s="2"/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61">
        <v>0.075</v>
      </c>
      <c r="B6" s="51">
        <f>IF($A6&gt;B$5,'07 Dividend Model'!$B$5*(1+B$5)/($A6-B$5),"N/A")</f>
        <v>28.13832859</v>
      </c>
      <c r="C6" s="51">
        <f>IF($A6&gt;C$5,'07 Dividend Model'!$B$5*(1+C$5)/($A6-C$5),"N/A")</f>
        <v>31.80928772</v>
      </c>
      <c r="D6" s="51">
        <f>IF($A6&gt;D$5,'07 Dividend Model'!$B$5*(1+D$5)/($A6-D$5),"N/A")</f>
        <v>36.52909232</v>
      </c>
      <c r="E6" s="51">
        <f>IF($A6&gt;E$5,'07 Dividend Model'!$B$5*(1+E$5)/($A6-E$5),"N/A")</f>
        <v>42.82216512</v>
      </c>
      <c r="F6" s="51">
        <f>IF($A6&gt;F$5,'07 Dividend Model'!$B$5*(1+F$5)/($A6-F$5),"N/A")</f>
        <v>51.63246703</v>
      </c>
      <c r="G6" s="2"/>
      <c r="H6" s="2"/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61">
        <v>0.08</v>
      </c>
      <c r="B7" s="51">
        <f>IF($A7&gt;B$5,'07 Dividend Model'!$B$5*(1+B$5)/($A7-B$5),"N/A")</f>
        <v>25.32449573</v>
      </c>
      <c r="C7" s="51">
        <f>IF($A7&gt;C$5,'07 Dividend Model'!$B$5*(1+C$5)/($A7-C$5),"N/A")</f>
        <v>28.27492242</v>
      </c>
      <c r="D7" s="51">
        <f>IF($A7&gt;D$5,'07 Dividend Model'!$B$5*(1+D$5)/($A7-D$5),"N/A")</f>
        <v>31.96295578</v>
      </c>
      <c r="E7" s="51">
        <f>IF($A7&gt;E$5,'07 Dividend Model'!$B$5*(1+E$5)/($A7-E$5),"N/A")</f>
        <v>36.70471296</v>
      </c>
      <c r="F7" s="51">
        <f>IF($A7&gt;F$5,'07 Dividend Model'!$B$5*(1+F$5)/($A7-F$5),"N/A")</f>
        <v>43.02705586</v>
      </c>
      <c r="G7" s="2"/>
      <c r="H7" s="2"/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61">
        <v>0.085</v>
      </c>
      <c r="B8" s="51">
        <f>IF($A8&gt;B$5,'07 Dividend Model'!$B$5*(1+B$5)/($A8-B$5),"N/A")</f>
        <v>23.02226885</v>
      </c>
      <c r="C8" s="51">
        <f>IF($A8&gt;C$5,'07 Dividend Model'!$B$5*(1+C$5)/($A8-C$5),"N/A")</f>
        <v>25.44743018</v>
      </c>
      <c r="D8" s="51">
        <f>IF($A8&gt;D$5,'07 Dividend Model'!$B$5*(1+D$5)/($A8-D$5),"N/A")</f>
        <v>28.41151625</v>
      </c>
      <c r="E8" s="51">
        <f>IF($A8&gt;E$5,'07 Dividend Model'!$B$5*(1+E$5)/($A8-E$5),"N/A")</f>
        <v>32.11662384</v>
      </c>
      <c r="F8" s="51">
        <f>IF($A8&gt;F$5,'07 Dividend Model'!$B$5*(1+F$5)/($A8-F$5),"N/A")</f>
        <v>36.88033359</v>
      </c>
      <c r="G8" s="2"/>
      <c r="H8" s="2"/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61">
        <v>0.09</v>
      </c>
      <c r="B9" s="51">
        <f>IF($A9&gt;B$5,'07 Dividend Model'!$B$5*(1+B$5)/($A9-B$5),"N/A")</f>
        <v>21.10374644</v>
      </c>
      <c r="C9" s="51">
        <f>IF($A9&gt;C$5,'07 Dividend Model'!$B$5*(1+C$5)/($A9-C$5),"N/A")</f>
        <v>23.13402743</v>
      </c>
      <c r="D9" s="51">
        <f>IF($A9&gt;D$5,'07 Dividend Model'!$B$5*(1+D$5)/($A9-D$5),"N/A")</f>
        <v>25.57036462</v>
      </c>
      <c r="E9" s="51">
        <f>IF($A9&gt;E$5,'07 Dividend Model'!$B$5*(1+E$5)/($A9-E$5),"N/A")</f>
        <v>28.54811008</v>
      </c>
      <c r="F9" s="51">
        <f>IF($A9&gt;F$5,'07 Dividend Model'!$B$5*(1+F$5)/($A9-F$5),"N/A")</f>
        <v>32.27029189</v>
      </c>
      <c r="G9" s="2"/>
      <c r="H9" s="2"/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61">
        <v>0.095</v>
      </c>
      <c r="B10" s="51">
        <f>IF($A10&gt;B$5,'07 Dividend Model'!$B$5*(1+B$5)/($A10-B$5),"N/A")</f>
        <v>19.48038133</v>
      </c>
      <c r="C10" s="51">
        <f>IF($A10&gt;C$5,'07 Dividend Model'!$B$5*(1+C$5)/($A10-C$5),"N/A")</f>
        <v>21.20619182</v>
      </c>
      <c r="D10" s="51">
        <f>IF($A10&gt;D$5,'07 Dividend Model'!$B$5*(1+D$5)/($A10-D$5),"N/A")</f>
        <v>23.24578602</v>
      </c>
      <c r="E10" s="51">
        <f>IF($A10&gt;E$5,'07 Dividend Model'!$B$5*(1+E$5)/($A10-E$5),"N/A")</f>
        <v>25.69329907</v>
      </c>
      <c r="F10" s="51">
        <f>IF($A10&gt;F$5,'07 Dividend Model'!$B$5*(1+F$5)/($A10-F$5),"N/A")</f>
        <v>28.6847039</v>
      </c>
      <c r="G10" s="2"/>
      <c r="H10" s="2"/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9.5" customHeight="1">
      <c r="A13" s="27" t="s">
        <v>412</v>
      </c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5" t="s">
        <v>413</v>
      </c>
      <c r="B14" s="61">
        <v>0.08</v>
      </c>
      <c r="C14" s="61">
        <v>0.085</v>
      </c>
      <c r="D14" s="61">
        <v>0.09</v>
      </c>
      <c r="E14" s="61">
        <v>0.095</v>
      </c>
      <c r="F14" s="61">
        <v>0.1</v>
      </c>
      <c r="G14" s="2"/>
      <c r="H14" s="2"/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61">
        <v>0.075</v>
      </c>
      <c r="B15" s="51">
        <f>IF($A15&gt;'00 Control'!$B$25,'08 P_B ROE Valuation'!$B$7*(($A15-'00 Control'!$B$25)/(B$14-'00 Control'!$B$25)),"N/A")</f>
        <v>21.20653123</v>
      </c>
      <c r="C15" s="51">
        <f>IF($A15&gt;'00 Control'!$B$25,'08 P_B ROE Valuation'!$B$7*(($A15-'00 Control'!$B$25)/(C$14-'00 Control'!$B$25)),"N/A")</f>
        <v>18.85024998</v>
      </c>
      <c r="D15" s="51">
        <f>IF($A15&gt;'00 Control'!$B$25,'08 P_B ROE Valuation'!$B$7*(($A15-'00 Control'!$B$25)/(D$14-'00 Control'!$B$25)),"N/A")</f>
        <v>16.96522498</v>
      </c>
      <c r="E15" s="51">
        <f>IF($A15&gt;'00 Control'!$B$25,'08 P_B ROE Valuation'!$B$7*(($A15-'00 Control'!$B$25)/(E$14-'00 Control'!$B$25)),"N/A")</f>
        <v>15.4229318</v>
      </c>
      <c r="F15" s="51">
        <f>IF($A15&gt;'00 Control'!$B$25,'08 P_B ROE Valuation'!$B$7*(($A15-'00 Control'!$B$25)/(F$14-'00 Control'!$B$25)),"N/A")</f>
        <v>14.13768748</v>
      </c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61">
        <v>0.08</v>
      </c>
      <c r="B16" s="51">
        <f>IF($A16&gt;'00 Control'!$B$25,'08 P_B ROE Valuation'!$B$7*(($A16-'00 Control'!$B$25)/(B$14-'00 Control'!$B$25)),"N/A")</f>
        <v>24.23603569</v>
      </c>
      <c r="C16" s="51">
        <f>IF($A16&gt;'00 Control'!$B$25,'08 P_B ROE Valuation'!$B$7*(($A16-'00 Control'!$B$25)/(C$14-'00 Control'!$B$25)),"N/A")</f>
        <v>21.54314283</v>
      </c>
      <c r="D16" s="51">
        <f>IF($A16&gt;'00 Control'!$B$25,'08 P_B ROE Valuation'!$B$7*(($A16-'00 Control'!$B$25)/(D$14-'00 Control'!$B$25)),"N/A")</f>
        <v>19.38882855</v>
      </c>
      <c r="E16" s="51">
        <f>IF($A16&gt;'00 Control'!$B$25,'08 P_B ROE Valuation'!$B$7*(($A16-'00 Control'!$B$25)/(E$14-'00 Control'!$B$25)),"N/A")</f>
        <v>17.62620777</v>
      </c>
      <c r="F16" s="51">
        <f>IF($A16&gt;'00 Control'!$B$25,'08 P_B ROE Valuation'!$B$7*(($A16-'00 Control'!$B$25)/(F$14-'00 Control'!$B$25)),"N/A")</f>
        <v>16.15735712</v>
      </c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61">
        <v>0.085</v>
      </c>
      <c r="B17" s="51">
        <f>IF($A17&gt;'00 Control'!$B$25,'08 P_B ROE Valuation'!$B$7*(($A17-'00 Control'!$B$25)/(B$14-'00 Control'!$B$25)),"N/A")</f>
        <v>27.26554015</v>
      </c>
      <c r="C17" s="51">
        <f>IF($A17&gt;'00 Control'!$B$25,'08 P_B ROE Valuation'!$B$7*(($A17-'00 Control'!$B$25)/(C$14-'00 Control'!$B$25)),"N/A")</f>
        <v>24.23603569</v>
      </c>
      <c r="D17" s="51">
        <f>IF($A17&gt;'00 Control'!$B$25,'08 P_B ROE Valuation'!$B$7*(($A17-'00 Control'!$B$25)/(D$14-'00 Control'!$B$25)),"N/A")</f>
        <v>21.81243212</v>
      </c>
      <c r="E17" s="51">
        <f>IF($A17&gt;'00 Control'!$B$25,'08 P_B ROE Valuation'!$B$7*(($A17-'00 Control'!$B$25)/(E$14-'00 Control'!$B$25)),"N/A")</f>
        <v>19.82948374</v>
      </c>
      <c r="F17" s="51">
        <f>IF($A17&gt;'00 Control'!$B$25,'08 P_B ROE Valuation'!$B$7*(($A17-'00 Control'!$B$25)/(F$14-'00 Control'!$B$25)),"N/A")</f>
        <v>18.17702676</v>
      </c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61">
        <v>0.09</v>
      </c>
      <c r="B18" s="51">
        <f>IF($A18&gt;'00 Control'!$B$25,'08 P_B ROE Valuation'!$B$7*(($A18-'00 Control'!$B$25)/(B$14-'00 Control'!$B$25)),"N/A")</f>
        <v>30.29504461</v>
      </c>
      <c r="C18" s="51">
        <f>IF($A18&gt;'00 Control'!$B$25,'08 P_B ROE Valuation'!$B$7*(($A18-'00 Control'!$B$25)/(C$14-'00 Control'!$B$25)),"N/A")</f>
        <v>26.92892854</v>
      </c>
      <c r="D18" s="51">
        <f>IF($A18&gt;'00 Control'!$B$25,'08 P_B ROE Valuation'!$B$7*(($A18-'00 Control'!$B$25)/(D$14-'00 Control'!$B$25)),"N/A")</f>
        <v>24.23603569</v>
      </c>
      <c r="E18" s="51">
        <f>IF($A18&gt;'00 Control'!$B$25,'08 P_B ROE Valuation'!$B$7*(($A18-'00 Control'!$B$25)/(E$14-'00 Control'!$B$25)),"N/A")</f>
        <v>22.03275972</v>
      </c>
      <c r="F18" s="51">
        <f>IF($A18&gt;'00 Control'!$B$25,'08 P_B ROE Valuation'!$B$7*(($A18-'00 Control'!$B$25)/(F$14-'00 Control'!$B$25)),"N/A")</f>
        <v>20.19669641</v>
      </c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61">
        <v>0.095</v>
      </c>
      <c r="B19" s="51">
        <f>IF($A19&gt;'00 Control'!$B$25,'08 P_B ROE Valuation'!$B$7*(($A19-'00 Control'!$B$25)/(B$14-'00 Control'!$B$25)),"N/A")</f>
        <v>33.32454907</v>
      </c>
      <c r="C19" s="51">
        <f>IF($A19&gt;'00 Control'!$B$25,'08 P_B ROE Valuation'!$B$7*(($A19-'00 Control'!$B$25)/(C$14-'00 Control'!$B$25)),"N/A")</f>
        <v>29.62182139</v>
      </c>
      <c r="D19" s="51">
        <f>IF($A19&gt;'00 Control'!$B$25,'08 P_B ROE Valuation'!$B$7*(($A19-'00 Control'!$B$25)/(D$14-'00 Control'!$B$25)),"N/A")</f>
        <v>26.65963926</v>
      </c>
      <c r="E19" s="51">
        <f>IF($A19&gt;'00 Control'!$B$25,'08 P_B ROE Valuation'!$B$7*(($A19-'00 Control'!$B$25)/(E$14-'00 Control'!$B$25)),"N/A")</f>
        <v>24.23603569</v>
      </c>
      <c r="F19" s="51">
        <f>IF($A19&gt;'00 Control'!$B$25,'08 P_B ROE Valuation'!$B$7*(($A19-'00 Control'!$B$25)/(F$14-'00 Control'!$B$25)),"N/A")</f>
        <v>22.21636605</v>
      </c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J1"/>
    <mergeCell ref="A2:J2"/>
    <mergeCell ref="A4:J4"/>
    <mergeCell ref="A13:J13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7" width="16.0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414</v>
      </c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415</v>
      </c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416</v>
      </c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417</v>
      </c>
      <c r="B5" s="5" t="s">
        <v>418</v>
      </c>
      <c r="C5" s="5" t="s">
        <v>419</v>
      </c>
      <c r="D5" s="5" t="s">
        <v>420</v>
      </c>
      <c r="E5" s="5" t="s">
        <v>421</v>
      </c>
      <c r="F5" s="5" t="s">
        <v>207</v>
      </c>
      <c r="G5" s="5" t="s">
        <v>422</v>
      </c>
      <c r="H5" s="5" t="s">
        <v>132</v>
      </c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8" t="s">
        <v>423</v>
      </c>
      <c r="B6" s="19">
        <f>'07 Dividend Model'!B8</f>
        <v>0.5554727894</v>
      </c>
      <c r="C6" s="62" t="s">
        <v>424</v>
      </c>
      <c r="D6" s="62" t="str">
        <f>IF(B6&gt;0.85,"Flag","OK")</f>
        <v>OK</v>
      </c>
      <c r="E6" s="62" t="str">
        <f>IF(D6="Flag","High","Low")</f>
        <v>Low</v>
      </c>
      <c r="F6" s="8" t="s">
        <v>425</v>
      </c>
      <c r="G6" s="8" t="s">
        <v>237</v>
      </c>
      <c r="H6" s="8" t="s">
        <v>136</v>
      </c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8" t="s">
        <v>426</v>
      </c>
      <c r="B7" s="19">
        <f>'05 Capital Structure'!G11</f>
        <v>0.4266818376</v>
      </c>
      <c r="C7" s="62" t="s">
        <v>427</v>
      </c>
      <c r="D7" s="62" t="str">
        <f>IF(B7&gt;0.65,"Flag","OK")</f>
        <v>OK</v>
      </c>
      <c r="E7" s="62" t="str">
        <f>IF(D7="Flag","Medium","Low")</f>
        <v>Low</v>
      </c>
      <c r="F7" s="8" t="s">
        <v>428</v>
      </c>
      <c r="G7" s="8" t="s">
        <v>237</v>
      </c>
      <c r="H7" s="8" t="s">
        <v>136</v>
      </c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8" t="s">
        <v>429</v>
      </c>
      <c r="B8" s="63">
        <f>'05 Capital Structure'!G15</f>
        <v>3.198480313</v>
      </c>
      <c r="C8" s="62" t="s">
        <v>430</v>
      </c>
      <c r="D8" s="62" t="str">
        <f>IF(B8&lt;2,"Flag","OK")</f>
        <v>OK</v>
      </c>
      <c r="E8" s="62" t="str">
        <f>IF(D8="Flag","High","Low")</f>
        <v>Low</v>
      </c>
      <c r="F8" s="8" t="s">
        <v>431</v>
      </c>
      <c r="G8" s="8" t="s">
        <v>237</v>
      </c>
      <c r="H8" s="8" t="s">
        <v>136</v>
      </c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8" t="s">
        <v>263</v>
      </c>
      <c r="B9" s="12">
        <f>'06 Capex Funding'!G14</f>
        <v>31.176</v>
      </c>
      <c r="C9" s="62" t="s">
        <v>432</v>
      </c>
      <c r="D9" s="62" t="str">
        <f>IF(B9&gt;0,"Flag","OK")</f>
        <v>Flag</v>
      </c>
      <c r="E9" s="62" t="str">
        <f>IF(D9="Flag","Medium","Low")</f>
        <v>Medium</v>
      </c>
      <c r="F9" s="8" t="s">
        <v>433</v>
      </c>
      <c r="G9" s="8" t="s">
        <v>237</v>
      </c>
      <c r="H9" s="8" t="s">
        <v>136</v>
      </c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8" t="s">
        <v>434</v>
      </c>
      <c r="B10" s="19">
        <f>'03 Rate Base &amp; ROE'!G15</f>
        <v>-0.00667966985</v>
      </c>
      <c r="C10" s="62" t="s">
        <v>435</v>
      </c>
      <c r="D10" s="62" t="str">
        <f>IF(B10&lt;0,"Flag","OK")</f>
        <v>Flag</v>
      </c>
      <c r="E10" s="62" t="str">
        <f>IF(D10="Flag","High","Low")</f>
        <v>High</v>
      </c>
      <c r="F10" s="8" t="s">
        <v>436</v>
      </c>
      <c r="G10" s="8" t="s">
        <v>237</v>
      </c>
      <c r="H10" s="8" t="s">
        <v>136</v>
      </c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8" t="s">
        <v>437</v>
      </c>
      <c r="B11" s="63">
        <f>'08 P_B ROE Valuation'!B15</f>
        <v>1.322823601</v>
      </c>
      <c r="C11" s="62" t="s">
        <v>438</v>
      </c>
      <c r="D11" s="62" t="str">
        <f>IF(B11&gt;'08 P_B ROE Valuation'!B13,"Flag","OK")</f>
        <v>Flag</v>
      </c>
      <c r="E11" s="62" t="str">
        <f t="shared" ref="E11:E12" si="1">IF(D11="Flag","Medium","Low")</f>
        <v>Medium</v>
      </c>
      <c r="F11" s="8" t="s">
        <v>439</v>
      </c>
      <c r="G11" s="8" t="s">
        <v>237</v>
      </c>
      <c r="H11" s="8" t="s">
        <v>136</v>
      </c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8" t="s">
        <v>440</v>
      </c>
      <c r="B12" s="18">
        <f>'11 EPV Floor'!B16</f>
        <v>-8.01724621</v>
      </c>
      <c r="C12" s="62" t="s">
        <v>441</v>
      </c>
      <c r="D12" s="62" t="str">
        <f>IF(B12&lt;=0,"Flag","OK")</f>
        <v>Flag</v>
      </c>
      <c r="E12" s="62" t="str">
        <f t="shared" si="1"/>
        <v>Medium</v>
      </c>
      <c r="F12" s="8" t="s">
        <v>442</v>
      </c>
      <c r="G12" s="8" t="s">
        <v>237</v>
      </c>
      <c r="H12" s="8" t="s">
        <v>136</v>
      </c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8" t="s">
        <v>443</v>
      </c>
      <c r="B13" s="44">
        <f>'04 Regulatory Framework'!C14</f>
        <v>3.4</v>
      </c>
      <c r="C13" s="62" t="s">
        <v>444</v>
      </c>
      <c r="D13" s="62" t="str">
        <f>IF(B13&lt;3.5,"Flag","OK")</f>
        <v>Flag</v>
      </c>
      <c r="E13" s="62" t="str">
        <f>IF(D13="Flag","High","Low")</f>
        <v>High</v>
      </c>
      <c r="F13" s="8" t="s">
        <v>445</v>
      </c>
      <c r="G13" s="8" t="s">
        <v>237</v>
      </c>
      <c r="H13" s="8" t="s">
        <v>136</v>
      </c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8" t="s">
        <v>446</v>
      </c>
      <c r="B14" s="44">
        <f>COUNTIF(D6:D13,"Flag")</f>
        <v>5</v>
      </c>
      <c r="C14" s="62" t="s">
        <v>447</v>
      </c>
      <c r="D14" s="62" t="str">
        <f>IF(B14&gt;=4,"Review Required",IF(B14&gt;=2,"Watch Carefully","OK"))</f>
        <v>Review Required</v>
      </c>
      <c r="E14" s="62" t="str">
        <f>IF(B14&gt;=4,"High",IF(B14&gt;=2,"Medium","Low"))</f>
        <v>High</v>
      </c>
      <c r="F14" s="8" t="s">
        <v>448</v>
      </c>
      <c r="G14" s="8" t="s">
        <v>237</v>
      </c>
      <c r="H14" s="8" t="s">
        <v>136</v>
      </c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H1"/>
    <mergeCell ref="A2:H2"/>
    <mergeCell ref="A4:H4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2.88"/>
    <col customWidth="1" min="2" max="2" width="57.63"/>
    <col customWidth="1" min="3" max="3" width="9.5"/>
    <col customWidth="1" min="4" max="6" width="12.63"/>
    <col customWidth="1" min="8" max="8" width="2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449</v>
      </c>
      <c r="G1" s="2"/>
      <c r="H1" s="2"/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450</v>
      </c>
      <c r="G2" s="2"/>
      <c r="H2" s="2"/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451</v>
      </c>
      <c r="G4" s="2"/>
      <c r="H4" s="2"/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8" t="s">
        <v>98</v>
      </c>
      <c r="B5" s="28" t="str">
        <f>'00 Control'!B5</f>
        <v>Artesian Resources Corporation</v>
      </c>
      <c r="C5" s="8" t="s">
        <v>99</v>
      </c>
      <c r="D5" s="8"/>
      <c r="E5" s="2"/>
      <c r="F5" s="2"/>
      <c r="G5" s="2"/>
      <c r="H5" s="2"/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8" t="s">
        <v>7</v>
      </c>
      <c r="B6" s="28" t="str">
        <f>'00 Control'!B6</f>
        <v>ARTN.A</v>
      </c>
      <c r="C6" s="8" t="s">
        <v>99</v>
      </c>
      <c r="D6" s="8"/>
      <c r="E6" s="2"/>
      <c r="F6" s="2"/>
      <c r="G6" s="2"/>
      <c r="H6" s="2"/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8" t="s">
        <v>452</v>
      </c>
      <c r="B7" s="29">
        <f>'00 Control'!B11</f>
        <v>32.06</v>
      </c>
      <c r="C7" s="8" t="s">
        <v>99</v>
      </c>
      <c r="D7" s="8"/>
      <c r="E7" s="2"/>
      <c r="F7" s="2"/>
      <c r="G7" s="2"/>
      <c r="H7" s="2"/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8" t="s">
        <v>76</v>
      </c>
      <c r="B8" s="29">
        <f>'00 Control'!B40</f>
        <v>21.60185428</v>
      </c>
      <c r="C8" s="8" t="s">
        <v>99</v>
      </c>
      <c r="D8" s="8"/>
      <c r="E8" s="2"/>
      <c r="F8" s="2"/>
      <c r="G8" s="2"/>
      <c r="H8" s="2"/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8" t="s">
        <v>78</v>
      </c>
      <c r="B9" s="29">
        <f>'00 Control'!B41</f>
        <v>18.36157614</v>
      </c>
      <c r="C9" s="8" t="s">
        <v>99</v>
      </c>
      <c r="D9" s="8"/>
      <c r="E9" s="2"/>
      <c r="F9" s="2"/>
      <c r="G9" s="2"/>
      <c r="H9" s="2"/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8" t="s">
        <v>116</v>
      </c>
      <c r="B10" s="30">
        <f>'00 Control'!B42</f>
        <v>-0.3262054185</v>
      </c>
      <c r="C10" s="8" t="s">
        <v>99</v>
      </c>
      <c r="D10" s="8"/>
      <c r="E10" s="2"/>
      <c r="F10" s="2"/>
      <c r="G10" s="2"/>
      <c r="H10" s="2"/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8" t="s">
        <v>453</v>
      </c>
      <c r="B11" s="28" t="str">
        <f>'01 Cover'!B25</f>
        <v>Reject / Too Expensive</v>
      </c>
      <c r="C11" s="8" t="s">
        <v>33</v>
      </c>
      <c r="D11" s="8"/>
      <c r="E11" s="2"/>
      <c r="F11" s="2"/>
      <c r="G11" s="2"/>
      <c r="H11" s="2"/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8" t="s">
        <v>454</v>
      </c>
      <c r="B12" s="64">
        <f>'13 Red Flags'!B14</f>
        <v>5</v>
      </c>
      <c r="C12" s="8" t="s">
        <v>33</v>
      </c>
      <c r="D12" s="8"/>
      <c r="E12" s="2"/>
      <c r="F12" s="2"/>
      <c r="G12" s="2"/>
      <c r="H12" s="2"/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8"/>
      <c r="B13" s="8"/>
      <c r="C13" s="8"/>
      <c r="D13" s="8"/>
      <c r="E13" s="2"/>
      <c r="F13" s="2"/>
      <c r="G13" s="2"/>
      <c r="H13" s="2"/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8"/>
      <c r="B14" s="8"/>
      <c r="C14" s="8"/>
      <c r="D14" s="8"/>
      <c r="E14" s="2"/>
      <c r="F14" s="2"/>
      <c r="G14" s="2"/>
      <c r="H14" s="2"/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9.5" customHeight="1">
      <c r="A15" s="13" t="s">
        <v>455</v>
      </c>
      <c r="G15" s="2"/>
      <c r="H15" s="2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8" t="s">
        <v>120</v>
      </c>
      <c r="B16" s="8" t="s">
        <v>456</v>
      </c>
      <c r="C16" s="8" t="s">
        <v>102</v>
      </c>
      <c r="D16" s="8"/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8" t="s">
        <v>457</v>
      </c>
      <c r="B17" s="8" t="s">
        <v>458</v>
      </c>
      <c r="C17" s="8" t="s">
        <v>102</v>
      </c>
      <c r="D17" s="8"/>
      <c r="E17" s="2"/>
      <c r="F17" s="2"/>
      <c r="G17" s="2"/>
      <c r="H17" s="2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8" t="s">
        <v>459</v>
      </c>
      <c r="B18" s="8" t="s">
        <v>460</v>
      </c>
      <c r="C18" s="8" t="s">
        <v>102</v>
      </c>
      <c r="D18" s="8"/>
      <c r="E18" s="2"/>
      <c r="F18" s="2"/>
      <c r="G18" s="2"/>
      <c r="H18" s="2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8" t="s">
        <v>461</v>
      </c>
      <c r="B19" s="8" t="s">
        <v>462</v>
      </c>
      <c r="C19" s="8" t="s">
        <v>102</v>
      </c>
      <c r="D19" s="8"/>
      <c r="E19" s="2"/>
      <c r="F19" s="2"/>
      <c r="G19" s="2"/>
      <c r="H19" s="2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8" t="s">
        <v>463</v>
      </c>
      <c r="B20" s="62" t="str">
        <f>IF(B11="Potential Buy","Potential Buy - complete memo",IF(B11="Watchlist","Watchlist - wait for better price / more evidence","Reject / too expensive"))</f>
        <v>Reject / too expensive</v>
      </c>
      <c r="C20" s="8" t="s">
        <v>33</v>
      </c>
      <c r="D20" s="8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F1"/>
    <mergeCell ref="A2:F2"/>
    <mergeCell ref="A4:F4"/>
    <mergeCell ref="A15:F15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29.25"/>
    <col customWidth="1" min="3" max="3" width="43.88"/>
    <col customWidth="1" min="4" max="4" width="8.38"/>
    <col customWidth="1" min="5" max="5" width="30.25"/>
    <col customWidth="1" min="6" max="6" width="11.38"/>
    <col customWidth="1" min="7" max="7" width="66.63"/>
    <col customWidth="1" min="8" max="8" width="8.0"/>
    <col customWidth="1" min="9" max="9" width="18.0"/>
    <col customWidth="1" min="10" max="10" width="14.0"/>
    <col customWidth="1" min="11" max="12" width="18.0"/>
  </cols>
  <sheetData>
    <row r="1" ht="27.75" customHeight="1">
      <c r="A1" s="1" t="s">
        <v>464</v>
      </c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1.75" customHeight="1">
      <c r="A2" s="4" t="s">
        <v>465</v>
      </c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customHeight="1">
      <c r="A4" s="27" t="s">
        <v>466</v>
      </c>
      <c r="I4" s="2"/>
      <c r="J4" s="2"/>
      <c r="K4" s="2"/>
      <c r="L4" s="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5" t="s">
        <v>467</v>
      </c>
      <c r="B5" s="5" t="s">
        <v>468</v>
      </c>
      <c r="C5" s="5" t="s">
        <v>469</v>
      </c>
      <c r="D5" s="5" t="s">
        <v>470</v>
      </c>
      <c r="E5" s="5" t="s">
        <v>471</v>
      </c>
      <c r="F5" s="5" t="s">
        <v>472</v>
      </c>
      <c r="G5" s="5" t="s">
        <v>321</v>
      </c>
      <c r="H5" s="5" t="s">
        <v>473</v>
      </c>
      <c r="I5" s="2"/>
      <c r="J5" s="2"/>
      <c r="K5" s="2"/>
      <c r="L5" s="2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7" t="s">
        <v>474</v>
      </c>
      <c r="B6" s="7" t="s">
        <v>475</v>
      </c>
      <c r="C6" s="7" t="s">
        <v>476</v>
      </c>
      <c r="D6" s="7" t="s">
        <v>477</v>
      </c>
      <c r="E6" s="7" t="s">
        <v>478</v>
      </c>
      <c r="F6" s="7" t="s">
        <v>479</v>
      </c>
      <c r="G6" s="7" t="s">
        <v>480</v>
      </c>
      <c r="H6" s="7" t="s">
        <v>136</v>
      </c>
      <c r="I6" s="2"/>
      <c r="J6" s="2"/>
      <c r="K6" s="2"/>
      <c r="L6" s="2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7" t="s">
        <v>474</v>
      </c>
      <c r="B7" s="7" t="s">
        <v>481</v>
      </c>
      <c r="C7" s="7" t="s">
        <v>482</v>
      </c>
      <c r="D7" s="7" t="s">
        <v>483</v>
      </c>
      <c r="E7" s="7" t="s">
        <v>484</v>
      </c>
      <c r="F7" s="7" t="s">
        <v>479</v>
      </c>
      <c r="G7" s="7" t="s">
        <v>485</v>
      </c>
      <c r="H7" s="7" t="s">
        <v>136</v>
      </c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7" t="s">
        <v>474</v>
      </c>
      <c r="B8" s="7" t="s">
        <v>486</v>
      </c>
      <c r="C8" s="7" t="s">
        <v>487</v>
      </c>
      <c r="D8" s="7" t="s">
        <v>488</v>
      </c>
      <c r="E8" s="7" t="s">
        <v>489</v>
      </c>
      <c r="F8" s="7" t="s">
        <v>479</v>
      </c>
      <c r="G8" s="7" t="s">
        <v>490</v>
      </c>
      <c r="H8" s="7" t="s">
        <v>136</v>
      </c>
      <c r="I8" s="2"/>
      <c r="J8" s="2"/>
      <c r="K8" s="2"/>
      <c r="L8" s="2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7" t="s">
        <v>491</v>
      </c>
      <c r="B9" s="7" t="s">
        <v>492</v>
      </c>
      <c r="C9" s="7" t="s">
        <v>493</v>
      </c>
      <c r="D9" s="7" t="s">
        <v>494</v>
      </c>
      <c r="E9" s="7" t="s">
        <v>495</v>
      </c>
      <c r="F9" s="7" t="s">
        <v>213</v>
      </c>
      <c r="G9" s="7" t="s">
        <v>496</v>
      </c>
      <c r="H9" s="7" t="s">
        <v>136</v>
      </c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7" t="s">
        <v>474</v>
      </c>
      <c r="B10" s="7" t="s">
        <v>497</v>
      </c>
      <c r="C10" s="7" t="s">
        <v>498</v>
      </c>
      <c r="D10" s="7" t="s">
        <v>499</v>
      </c>
      <c r="E10" s="7" t="s">
        <v>500</v>
      </c>
      <c r="F10" s="7" t="s">
        <v>479</v>
      </c>
      <c r="G10" s="7" t="s">
        <v>501</v>
      </c>
      <c r="H10" s="7" t="s">
        <v>136</v>
      </c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7" t="s">
        <v>502</v>
      </c>
      <c r="B11" s="7" t="s">
        <v>503</v>
      </c>
      <c r="C11" s="7" t="s">
        <v>504</v>
      </c>
      <c r="D11" s="7" t="s">
        <v>505</v>
      </c>
      <c r="E11" s="7" t="s">
        <v>506</v>
      </c>
      <c r="F11" s="7" t="s">
        <v>479</v>
      </c>
      <c r="G11" s="7" t="s">
        <v>507</v>
      </c>
      <c r="H11" s="7" t="s">
        <v>508</v>
      </c>
      <c r="I11" s="2"/>
      <c r="J11" s="2"/>
      <c r="K11" s="2"/>
      <c r="L11" s="2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7" t="s">
        <v>491</v>
      </c>
      <c r="B12" s="7" t="s">
        <v>509</v>
      </c>
      <c r="C12" s="7" t="s">
        <v>510</v>
      </c>
      <c r="D12" s="7" t="s">
        <v>499</v>
      </c>
      <c r="E12" s="7" t="s">
        <v>511</v>
      </c>
      <c r="F12" s="7" t="s">
        <v>213</v>
      </c>
      <c r="G12" s="7" t="s">
        <v>512</v>
      </c>
      <c r="H12" s="7" t="s">
        <v>136</v>
      </c>
      <c r="I12" s="2"/>
      <c r="J12" s="2"/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7" t="s">
        <v>513</v>
      </c>
      <c r="B13" s="7" t="s">
        <v>514</v>
      </c>
      <c r="C13" s="7" t="s">
        <v>515</v>
      </c>
      <c r="D13" s="7" t="s">
        <v>477</v>
      </c>
      <c r="E13" s="7" t="s">
        <v>516</v>
      </c>
      <c r="F13" s="7" t="s">
        <v>213</v>
      </c>
      <c r="G13" s="7" t="s">
        <v>517</v>
      </c>
      <c r="H13" s="7" t="s">
        <v>508</v>
      </c>
      <c r="I13" s="2"/>
      <c r="J13" s="2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7"/>
      <c r="B14" s="7"/>
      <c r="C14" s="7"/>
      <c r="D14" s="7"/>
      <c r="E14" s="7"/>
      <c r="F14" s="7"/>
      <c r="G14" s="7"/>
      <c r="H14" s="7"/>
      <c r="I14" s="2"/>
      <c r="J14" s="2"/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7"/>
      <c r="B15" s="7"/>
      <c r="C15" s="7"/>
      <c r="D15" s="7"/>
      <c r="E15" s="7"/>
      <c r="F15" s="7"/>
      <c r="G15" s="7"/>
      <c r="H15" s="7"/>
      <c r="I15" s="2"/>
      <c r="J15" s="2"/>
      <c r="K15" s="2"/>
      <c r="L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7"/>
      <c r="B16" s="7"/>
      <c r="C16" s="7"/>
      <c r="D16" s="7"/>
      <c r="E16" s="7"/>
      <c r="F16" s="7"/>
      <c r="G16" s="7"/>
      <c r="H16" s="7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7"/>
      <c r="B17" s="7"/>
      <c r="C17" s="7"/>
      <c r="D17" s="7"/>
      <c r="E17" s="7"/>
      <c r="F17" s="7"/>
      <c r="G17" s="7"/>
      <c r="H17" s="7"/>
      <c r="I17" s="2"/>
      <c r="J17" s="2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7"/>
      <c r="B18" s="7"/>
      <c r="C18" s="7"/>
      <c r="D18" s="7"/>
      <c r="E18" s="7"/>
      <c r="F18" s="7"/>
      <c r="G18" s="7"/>
      <c r="H18" s="7"/>
      <c r="I18" s="2"/>
      <c r="J18" s="2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7"/>
      <c r="B19" s="7"/>
      <c r="C19" s="7"/>
      <c r="D19" s="7"/>
      <c r="E19" s="7"/>
      <c r="F19" s="7"/>
      <c r="G19" s="7"/>
      <c r="H19" s="7"/>
      <c r="I19" s="2"/>
      <c r="J19" s="2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7"/>
      <c r="B20" s="7"/>
      <c r="C20" s="7"/>
      <c r="D20" s="7"/>
      <c r="E20" s="7"/>
      <c r="F20" s="7"/>
      <c r="G20" s="7"/>
      <c r="H20" s="7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7"/>
      <c r="B21" s="7"/>
      <c r="C21" s="7"/>
      <c r="D21" s="7"/>
      <c r="E21" s="7"/>
      <c r="F21" s="7"/>
      <c r="G21" s="7"/>
      <c r="H21" s="7"/>
      <c r="I21" s="2"/>
      <c r="J21" s="2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7"/>
      <c r="B22" s="7"/>
      <c r="C22" s="7"/>
      <c r="D22" s="7"/>
      <c r="E22" s="7"/>
      <c r="F22" s="7"/>
      <c r="G22" s="7"/>
      <c r="H22" s="7"/>
      <c r="I22" s="2"/>
      <c r="J22" s="2"/>
      <c r="K22" s="2"/>
      <c r="L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7"/>
      <c r="B23" s="7"/>
      <c r="C23" s="7"/>
      <c r="D23" s="7"/>
      <c r="E23" s="7"/>
      <c r="F23" s="7"/>
      <c r="G23" s="7"/>
      <c r="H23" s="7"/>
      <c r="I23" s="2"/>
      <c r="J23" s="2"/>
      <c r="K23" s="2"/>
      <c r="L23" s="2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7"/>
      <c r="B24" s="7"/>
      <c r="C24" s="7"/>
      <c r="D24" s="7"/>
      <c r="E24" s="7"/>
      <c r="F24" s="7"/>
      <c r="G24" s="7"/>
      <c r="H24" s="7"/>
      <c r="I24" s="2"/>
      <c r="J24" s="2"/>
      <c r="K24" s="2"/>
      <c r="L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7"/>
      <c r="B25" s="7"/>
      <c r="C25" s="7"/>
      <c r="D25" s="7"/>
      <c r="E25" s="7"/>
      <c r="F25" s="7"/>
      <c r="G25" s="7"/>
      <c r="H25" s="7"/>
      <c r="I25" s="2"/>
      <c r="J25" s="2"/>
      <c r="K25" s="2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7"/>
      <c r="B26" s="7"/>
      <c r="C26" s="7"/>
      <c r="D26" s="7"/>
      <c r="E26" s="7"/>
      <c r="F26" s="7"/>
      <c r="G26" s="7"/>
      <c r="H26" s="7"/>
      <c r="I26" s="2"/>
      <c r="J26" s="2"/>
      <c r="K26" s="2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7"/>
      <c r="B27" s="7"/>
      <c r="C27" s="7"/>
      <c r="D27" s="7"/>
      <c r="E27" s="7"/>
      <c r="F27" s="7"/>
      <c r="G27" s="7"/>
      <c r="H27" s="7"/>
      <c r="I27" s="2"/>
      <c r="J27" s="2"/>
      <c r="K27" s="2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7"/>
      <c r="B28" s="7"/>
      <c r="C28" s="7"/>
      <c r="D28" s="7"/>
      <c r="E28" s="7"/>
      <c r="F28" s="7"/>
      <c r="G28" s="7"/>
      <c r="H28" s="7"/>
      <c r="I28" s="2"/>
      <c r="J28" s="2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7"/>
      <c r="B29" s="7"/>
      <c r="C29" s="7"/>
      <c r="D29" s="7"/>
      <c r="E29" s="7"/>
      <c r="F29" s="7"/>
      <c r="G29" s="7"/>
      <c r="H29" s="7"/>
      <c r="I29" s="2"/>
      <c r="J29" s="2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7"/>
      <c r="B30" s="7"/>
      <c r="C30" s="7"/>
      <c r="D30" s="7"/>
      <c r="E30" s="7"/>
      <c r="F30" s="7"/>
      <c r="G30" s="7"/>
      <c r="H30" s="7"/>
      <c r="I30" s="2"/>
      <c r="J30" s="2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H1"/>
    <mergeCell ref="A2:H2"/>
    <mergeCell ref="A4:H4"/>
  </mergeCells>
  <printOptions/>
  <pageMargins bottom="0.75" footer="0.0" header="0.0" left="0.7" right="0.7" top="0.75"/>
  <pageSetup orientation="landscape"/>
  <drawing r:id="rId1"/>
</worksheet>
</file>