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00 Control" sheetId="1" r:id="rId4"/>
    <sheet state="visible" name="01 Cover" sheetId="2" r:id="rId5"/>
    <sheet state="visible" name="02 Historical Financials" sheetId="3" r:id="rId6"/>
    <sheet state="visible" name="03 Store Count Schedule" sheetId="4" r:id="rId7"/>
    <sheet state="visible" name="04 Same-Store Sales" sheetId="5" r:id="rId8"/>
    <sheet state="visible" name="05 AUV &amp; Store Margins" sheetId="6" r:id="rId9"/>
    <sheet state="visible" name="06 Corporate Overhead" sheetId="7" r:id="rId10"/>
    <sheet state="visible" name="07 Lease Obligations" sheetId="8" r:id="rId11"/>
    <sheet state="visible" name="08 Capex Split" sheetId="9" r:id="rId12"/>
    <sheet state="visible" name="09 New Unit ROI" sheetId="10" r:id="rId13"/>
    <sheet state="visible" name="10 Mature Store Earnings" sheetId="11" r:id="rId14"/>
    <sheet state="visible" name="11 Unit-Level Valuation" sheetId="12" r:id="rId15"/>
    <sheet state="visible" name="12 Consolidated Valuation" sheetId="13" r:id="rId16"/>
    <sheet state="visible" name="13 Downside Upside Cases" sheetId="14" r:id="rId17"/>
    <sheet state="visible" name="14 Final Conclusion" sheetId="15" r:id="rId18"/>
    <sheet state="visible" name="15 Sources" sheetId="16" r:id="rId19"/>
  </sheets>
  <definedNames/>
  <calcPr/>
  <extLst>
    <ext uri="GoogleSheetsCustomDataVersion2">
      <go:sheetsCustomData xmlns:go="http://customooxmlschemas.google.com/" r:id="rId20" roundtripDataChecksum="uvYF8KRV3N2JGj09ulKIQVUVBBhQaGjUL1rfQ+pCmHQ="/>
    </ext>
  </extLst>
</workbook>
</file>

<file path=xl/sharedStrings.xml><?xml version="1.0" encoding="utf-8"?>
<sst xmlns="http://schemas.openxmlformats.org/spreadsheetml/2006/main" count="462" uniqueCount="371">
  <si>
    <t>Retail / Restaurant / Unit Economics Valuation Template</t>
  </si>
  <si>
    <t>Central control sheet for global inputs, valuation assumptions, and scenario settings.</t>
  </si>
  <si>
    <t>Company &amp; Market Inputs</t>
  </si>
  <si>
    <t>Company Name</t>
  </si>
  <si>
    <t>Build-A-Bear Workshop, Inc.</t>
  </si>
  <si>
    <t>Text</t>
  </si>
  <si>
    <t>Ticker</t>
  </si>
  <si>
    <t>BBW</t>
  </si>
  <si>
    <t>Currency</t>
  </si>
  <si>
    <t>USD</t>
  </si>
  <si>
    <t>Units</t>
  </si>
  <si>
    <t>$mm, except per-share / per-store</t>
  </si>
  <si>
    <t>Latest Fiscal Year</t>
  </si>
  <si>
    <t>Number</t>
  </si>
  <si>
    <t>Current Share Price</t>
  </si>
  <si>
    <t>Diluted Shares Outstanding</t>
  </si>
  <si>
    <t>$mm shares</t>
  </si>
  <si>
    <t>Cash &amp; Equivalents</t>
  </si>
  <si>
    <t>$mm</t>
  </si>
  <si>
    <t>Total Debt</t>
  </si>
  <si>
    <t>Operating Lease Liabilities</t>
  </si>
  <si>
    <t>Other Non-Operating Assets</t>
  </si>
  <si>
    <t>Core Valuation Assumptions</t>
  </si>
  <si>
    <t>Normalized Tax Rate</t>
  </si>
  <si>
    <t>Used for NOPAT / after-tax earnings</t>
  </si>
  <si>
    <t>WACC / Required Return</t>
  </si>
  <si>
    <t>Primary capitalization rate</t>
  </si>
  <si>
    <t>Small-cap specialty retailer with brand/licensing upside but meaningful consumer traffic, tariff, e-commerce, and execution risk. Q1 FY2026 revenue declined 2.4%, net retail sales declined 5.1%, and e-commerce demand declined 26.1%, so a higher required return than a stable compounder is warranted.</t>
  </si>
  <si>
    <t>Margin of Safety</t>
  </si>
  <si>
    <t>Default strike price discount</t>
  </si>
  <si>
    <t>Use a wider MOS than normal because the key underwriting question is whether the post-pandemic profitability improvement is durable. Recent results are strong, but Q1 FY2026 showed weaker direct-to-consumer performance and management lowered annual revenue guidance.</t>
  </si>
  <si>
    <t>Selected EV/EBITDA Multiple</t>
  </si>
  <si>
    <t>Applied to mid-cycle EBITDA</t>
  </si>
  <si>
    <t>Base multiple should reflect a successful turnaround, not a premium growth retailer. FY2025 EBITDA was $81.4M, 15.0% of revenue, but pre-tax margin was pressured by tariffs and SG&amp;A inflation.</t>
  </si>
  <si>
    <t>Selected P/E Multiple</t>
  </si>
  <si>
    <t>Applied to mid-cycle net income</t>
  </si>
  <si>
    <t>Selected FCF Yield</t>
  </si>
  <si>
    <t>Applied to mid-cycle FCF</t>
  </si>
  <si>
    <t>Unit EBITDA Multiple</t>
  </si>
  <si>
    <t>Four-wall EBITDA multiple per mature unit</t>
  </si>
  <si>
    <t>Lease Debt Multiple of Rent</t>
  </si>
  <si>
    <t>Sanity check if lease liabilities are unavailable</t>
  </si>
  <si>
    <t>Unit Economics &amp; Operating Assumptions</t>
  </si>
  <si>
    <t>Mid-Cycle AUV</t>
  </si>
  <si>
    <t>$mm revenue per average store</t>
  </si>
  <si>
    <t>Estimate from FY2025 net retail sales of $486.0M and 375 corporately managed locations at year-end. This implies roughly $1.3M per corporate location, so $1.25M is a reasonable normalized AUV.</t>
  </si>
  <si>
    <t>Mature Store-Level Margin</t>
  </si>
  <si>
    <t>Four-wall margin</t>
  </si>
  <si>
    <t>Use a strong but not heroic store margin. Management cited strong store contribution margins and operational execution, but FY2025 pre-tax margin was 12.7% after tariffs and SG&amp;A pressure, so store-level margin should be above corporate margin but not overbuilt.</t>
  </si>
  <si>
    <t>Normalized Corporate G&amp;A % Sales</t>
  </si>
  <si>
    <t>Corporate overhead burden</t>
  </si>
  <si>
    <t>Keep overhead burden meaningful because SG&amp;A pressure is real: FY2025 pre-tax margin declined despite gross margin improvement due to a 170 bps increase in SG&amp;A from compensation and inflationary pressure. Q1 FY2026 also had SG&amp;A deleverage.</t>
  </si>
  <si>
    <t>Maintenance Capex / Store</t>
  </si>
  <si>
    <t>$mm per store</t>
  </si>
  <si>
    <t>New Unit Investment / Store</t>
  </si>
  <si>
    <t>$mm buildout + pre-opening</t>
  </si>
  <si>
    <t>New Store Maturity Years</t>
  </si>
  <si>
    <t>Years to mature economics</t>
  </si>
  <si>
    <t>Planned New Stores Next Year</t>
  </si>
  <si>
    <t>Scenario input</t>
  </si>
  <si>
    <t>Management expects at least 50 net new experience locations in FY2026, but these include corporate, partner-operated, and franchise locations. In FY2025, only 7 of 64 net new global locations were corporately managed, so use 7 for owned-store unit economics.</t>
  </si>
  <si>
    <t>Expected Closure Rate</t>
  </si>
  <si>
    <t>% of beginning stores</t>
  </si>
  <si>
    <t>Scenario Assumptions</t>
  </si>
  <si>
    <t>Downside Same-Store Sales Decline</t>
  </si>
  <si>
    <t>Traffic / ticket pressure case</t>
  </si>
  <si>
    <t>Downside case should reflect direct-to-consumer weakness: Q1 FY2026 net retail sales declined 5.1% and e-commerce demand declined 26.1%.</t>
  </si>
  <si>
    <t>Downside Store-Level Margin</t>
  </si>
  <si>
    <t>Lower four-wall margin</t>
  </si>
  <si>
    <t>Use lower margin in downside because tariffs, occupancy deleverage, labor, medical costs, and SG&amp;A inflation have already pressured profitability. FY2025 pre-tax margin declined 80 bps despite record revenue.</t>
  </si>
  <si>
    <t>Downside EV/EBITDA Multiple</t>
  </si>
  <si>
    <t>Lower multiple if value trap</t>
  </si>
  <si>
    <t>If the turnaround proves cyclical or traffic deterioration continues, the market should value BBW closer to a small specialty retailer / value trap multiple rather than a brand platform multiple. Supported by Q1 FY2026 DTC weakness and lowered revenue guidance.</t>
  </si>
  <si>
    <t>Upside Same-Store Sales Growth</t>
  </si>
  <si>
    <t>Successful traffic / ticket case</t>
  </si>
  <si>
    <t>Upside case assumes the transformed brand platform continues working. FY2025 total revenue increased 6.7%, commercial + franchise revenue increased 21.6%, and the company achieved its fifth consecutive year of record revenue.</t>
  </si>
  <si>
    <t>Upside Store-Level Margin</t>
  </si>
  <si>
    <t>Better store-level execution</t>
  </si>
  <si>
    <t>Upside assumes better traffic, selective price increases, less promotional activity, fixed-cost leverage, and stronger store contribution margins. FY2025 retail gross margin benefited from reduced promotions, fixed-cost leverage, and selective price increases.</t>
  </si>
  <si>
    <t>Upside EV/EBITDA Multiple</t>
  </si>
  <si>
    <t>Higher multiple if growth creates value</t>
  </si>
  <si>
    <t>Upside multiple is only justified if the market accepts BBW as a durable branded/licensed/collectibles platform rather than mall-based specialty retail. Commercial and franchise revenue grew 21.6% in FY2025 and the company now operates 650+ locations across 30+ countries</t>
  </si>
  <si>
    <t>Model Question</t>
  </si>
  <si>
    <t>Are the unit economics strong enough for new store growth to create value, or is this just a low-multiple value trap?</t>
  </si>
  <si>
    <t>Cover / Company Overview</t>
  </si>
  <si>
    <t>Valuation model for store-based businesses driven by unit economics, same-store sales, leases, and new unit returns.</t>
  </si>
  <si>
    <t>Company Overview</t>
  </si>
  <si>
    <t>Core Question</t>
  </si>
  <si>
    <t>Valuation Summary</t>
  </si>
  <si>
    <t>Intrinsic Value / Share</t>
  </si>
  <si>
    <t>Strike Price</t>
  </si>
  <si>
    <t>Upside / Downside</t>
  </si>
  <si>
    <t>New Unit ROI</t>
  </si>
  <si>
    <t>ROI Spread vs WACC</t>
  </si>
  <si>
    <t>Mid-Cycle EBITDA</t>
  </si>
  <si>
    <t>Value Trap Flag</t>
  </si>
  <si>
    <t>Preliminary Decision</t>
  </si>
  <si>
    <t>Model Workflow</t>
  </si>
  <si>
    <t>1. Complete 00 Control with company, market, and scenario inputs.</t>
  </si>
  <si>
    <t>2. Fill 02 Historical Financials with 10 years of data.</t>
  </si>
  <si>
    <t>3. Build 03 Store Count Schedule and 04 Same-Store Sales to understand growth quality.</t>
  </si>
  <si>
    <t>4. Review 05 AUV &amp; Store Margins, 06 Corporate Overhead, and 07 Lease Obligations.</t>
  </si>
  <si>
    <t>5. Split capex in 08 Capex Split and test new unit returns in 09 New Unit ROI.</t>
  </si>
  <si>
    <t>6. Use 10 Mature Store Earnings, 11 Unit-Level Valuation, and 12 Consolidated Valuation.</t>
  </si>
  <si>
    <t>7. Review 13 Downside Upside Cases and write the final decision in 14 Final Conclusion.</t>
  </si>
  <si>
    <t>Historical Financials</t>
  </si>
  <si>
    <t>Enter at least 10 years of reported financials. Inputs are yellow/blue; formula rows calculate automatically.</t>
  </si>
  <si>
    <t>Income Statement &amp; Cash Flow</t>
  </si>
  <si>
    <t>Revenue</t>
  </si>
  <si>
    <t>Revenue Growth</t>
  </si>
  <si>
    <t>Gross Profit</t>
  </si>
  <si>
    <t>Gross Margin</t>
  </si>
  <si>
    <t>Store-Level Contribution</t>
  </si>
  <si>
    <t>Store-Level Margin</t>
  </si>
  <si>
    <t>Corporate G&amp;A</t>
  </si>
  <si>
    <t>G&amp;A % of Revenue</t>
  </si>
  <si>
    <t>EBITDA</t>
  </si>
  <si>
    <t>EBITDA Margin</t>
  </si>
  <si>
    <t>D&amp;A</t>
  </si>
  <si>
    <t>EBIT</t>
  </si>
  <si>
    <t>EBIT Margin</t>
  </si>
  <si>
    <t>Interest Expense</t>
  </si>
  <si>
    <t>Pre-Tax Income</t>
  </si>
  <si>
    <t>Income Tax Expense</t>
  </si>
  <si>
    <t>Net Income</t>
  </si>
  <si>
    <t>Net Margin</t>
  </si>
  <si>
    <t>Operating Cash Flow</t>
  </si>
  <si>
    <t>Capital Expenditures</t>
  </si>
  <si>
    <t>Free Cash Flow</t>
  </si>
  <si>
    <t>FCF Margin</t>
  </si>
  <si>
    <t>Balance Sheet &amp; Share Data</t>
  </si>
  <si>
    <t>Shareholders' Equity</t>
  </si>
  <si>
    <t>EPS</t>
  </si>
  <si>
    <t>Store Count Schedule</t>
  </si>
  <si>
    <t>Track openings, closures, ending stores, average stores, and net unit growth.</t>
  </si>
  <si>
    <t>Store Count Bridge</t>
  </si>
  <si>
    <t>Beginning Stores</t>
  </si>
  <si>
    <t>New Stores Opened</t>
  </si>
  <si>
    <t>Stores Closed</t>
  </si>
  <si>
    <t>Ending Stores</t>
  </si>
  <si>
    <t>Average Stores</t>
  </si>
  <si>
    <t>Net New Stores</t>
  </si>
  <si>
    <t>Net Unit Growth</t>
  </si>
  <si>
    <t>Opening Rate</t>
  </si>
  <si>
    <t>Closure Rate</t>
  </si>
  <si>
    <t>Estimated Mature Stores</t>
  </si>
  <si>
    <t>Estimated Immature Stores</t>
  </si>
  <si>
    <t>Same-Store Sales</t>
  </si>
  <si>
    <t>Analyze whether sales growth is driven by real traffic, pricing, ticket, or unsustainable cycle effects.</t>
  </si>
  <si>
    <t>Comparable Sales Drivers</t>
  </si>
  <si>
    <t>Reported Same-Store Sales</t>
  </si>
  <si>
    <t>Traffic / Transactions</t>
  </si>
  <si>
    <t>Average Ticket / Check</t>
  </si>
  <si>
    <t>Pricing Contribution</t>
  </si>
  <si>
    <t>Mix / Other Contribution</t>
  </si>
  <si>
    <t>Two-Year Same-Store Sales Stack</t>
  </si>
  <si>
    <t>Cycle Label</t>
  </si>
  <si>
    <t>Decline</t>
  </si>
  <si>
    <t>Decline/Reset</t>
  </si>
  <si>
    <t>Stabilization</t>
  </si>
  <si>
    <t>Trough</t>
  </si>
  <si>
    <t>Recovery</t>
  </si>
  <si>
    <t>Expansion</t>
  </si>
  <si>
    <t>Normalization</t>
  </si>
  <si>
    <t>Softening</t>
  </si>
  <si>
    <t>Cycle Statistics</t>
  </si>
  <si>
    <t>Peak SSS</t>
  </si>
  <si>
    <t>Trough SSS</t>
  </si>
  <si>
    <t>Mid-Cycle SSS</t>
  </si>
  <si>
    <t>Latest SSS</t>
  </si>
  <si>
    <t>Latest vs Mid-Cycle</t>
  </si>
  <si>
    <t>AUV &amp; Store Margins</t>
  </si>
  <si>
    <t>Calculate average unit volume and four-wall economics across the cycle.</t>
  </si>
  <si>
    <t>AUV and Store-Level Margin</t>
  </si>
  <si>
    <t>Net Retail Sales</t>
  </si>
  <si>
    <t>Average Unit Volume (AUV)</t>
  </si>
  <si>
    <t>Four-Wall EBITDA / Store</t>
  </si>
  <si>
    <t>Cost Structure Inputs</t>
  </si>
  <si>
    <t>Retail COGS % Sales</t>
  </si>
  <si>
    <t>N/D Separately</t>
  </si>
  <si>
    <t>Store-Level SG&amp;A / OpEx Plug</t>
  </si>
  <si>
    <t>Implied Store-Level Margin</t>
  </si>
  <si>
    <t>Peak / Trough / Mid-Cycle Metrics</t>
  </si>
  <si>
    <t>Peak AUV</t>
  </si>
  <si>
    <t>Trough AUV</t>
  </si>
  <si>
    <t>Latest AUV</t>
  </si>
  <si>
    <t>Peak Store-Level Margin</t>
  </si>
  <si>
    <t>Trough Store-Level Margin</t>
  </si>
  <si>
    <t>Mid-Cycle Store-Level Margin</t>
  </si>
  <si>
    <t>Latest Store-Level Margin</t>
  </si>
  <si>
    <t>Corporate Overhead</t>
  </si>
  <si>
    <t>Assess whether corporate overhead is scalable or masking weak store-level economics.</t>
  </si>
  <si>
    <t>Corporate Overhead Analysis</t>
  </si>
  <si>
    <t>G&amp;A per Average Store</t>
  </si>
  <si>
    <t>EBITDA After G&amp;A</t>
  </si>
  <si>
    <t>Normalized Overhead</t>
  </si>
  <si>
    <t>Mid-Cycle Revenue</t>
  </si>
  <si>
    <t>Selected Normalized G&amp;A % Sales</t>
  </si>
  <si>
    <t>Normalized Corporate G&amp;A</t>
  </si>
  <si>
    <t>Historical Median G&amp;A %</t>
  </si>
  <si>
    <t>Latest G&amp;A %</t>
  </si>
  <si>
    <t>Overhead Assessment</t>
  </si>
  <si>
    <t>Lease Obligations</t>
  </si>
  <si>
    <t>Capture rent burden, lease liabilities, and lease-adjusted leverage.</t>
  </si>
  <si>
    <t>Lease Burden</t>
  </si>
  <si>
    <t>Rent / Occupancy Expense</t>
  </si>
  <si>
    <t>Rent % of Revenue</t>
  </si>
  <si>
    <t>Debt</t>
  </si>
  <si>
    <t>Lease-Adjusted Debt</t>
  </si>
  <si>
    <t>Lease-Adjusted Debt / EBITDA</t>
  </si>
  <si>
    <t>EBITDAR</t>
  </si>
  <si>
    <t>Rent Coverage</t>
  </si>
  <si>
    <t>Lease Risk Summary</t>
  </si>
  <si>
    <t>Latest Rent % of Revenue</t>
  </si>
  <si>
    <t>Latest Lease-Adjusted Debt / EBITDA</t>
  </si>
  <si>
    <t>Latest Rent Coverage</t>
  </si>
  <si>
    <t>Lease Risk Flag</t>
  </si>
  <si>
    <t>Capex Split</t>
  </si>
  <si>
    <t>Separate maintenance capex from growth capex to judge true owner earnings and new unit investment.</t>
  </si>
  <si>
    <t>Maintenance vs Growth Capex</t>
  </si>
  <si>
    <t>Total Capex</t>
  </si>
  <si>
    <t>Estimated Maintenance Capex</t>
  </si>
  <si>
    <t>Estimated Growth Capex</t>
  </si>
  <si>
    <t>Growth Capex / New Store</t>
  </si>
  <si>
    <t>Maintenance Capex % of Total</t>
  </si>
  <si>
    <t>Growth Capex % of Total</t>
  </si>
  <si>
    <t>Capex % of Revenue</t>
  </si>
  <si>
    <t>Capex Summary</t>
  </si>
  <si>
    <t>Median Total Capex</t>
  </si>
  <si>
    <t>Median Maintenance Capex</t>
  </si>
  <si>
    <t>Median Growth Capex / New Store</t>
  </si>
  <si>
    <t>Selected New Unit Investment / Store</t>
  </si>
  <si>
    <t>Determine whether new store growth creates value after buildout cost, overhead, and maintenance capex.</t>
  </si>
  <si>
    <t>New Unit Return Analysis</t>
  </si>
  <si>
    <t>Line</t>
  </si>
  <si>
    <t>Input / Formula</t>
  </si>
  <si>
    <t>New Store AUV</t>
  </si>
  <si>
    <t>Incremental G&amp;A % Sales</t>
  </si>
  <si>
    <t>Incremental G&amp;A / Store</t>
  </si>
  <si>
    <t>Fully Burdened G&amp;A % Sales</t>
  </si>
  <si>
    <t>Fully Burdened G&amp;A / Store</t>
  </si>
  <si>
    <t>Four-Wall Pre-Tax Cash Earnings / Store</t>
  </si>
  <si>
    <t>Four-Wall ROI</t>
  </si>
  <si>
    <t>Incrementally Burdened Pre-Tax Cash Earnings / Store</t>
  </si>
  <si>
    <t>Incrementally Burdened ROI</t>
  </si>
  <si>
    <t>Fully Burdened Pre-Tax Cash Earnings / Store</t>
  </si>
  <si>
    <t>Fully Burdened ROI</t>
  </si>
  <si>
    <t>Interpretation</t>
  </si>
  <si>
    <t>New units create value when mature store cash earnings produce an attractive ROI above the company’s required return. If ROI is weak, growth can actually destroy value even when revenue increases. This is the core value-trap test for retail and restaurant companies.</t>
  </si>
  <si>
    <t>Mature Store Earnings</t>
  </si>
  <si>
    <t>Estimate earnings power from the mature store base on mid-cycle economics.</t>
  </si>
  <si>
    <t>Mature Store Earnings Power</t>
  </si>
  <si>
    <t>Latest Ending Stores</t>
  </si>
  <si>
    <t>Mature Store Revenue</t>
  </si>
  <si>
    <t>Mature Store Contribution</t>
  </si>
  <si>
    <t>Commercial + Franchise Contribution</t>
  </si>
  <si>
    <t>Commercial + Franchise contribution normalized below FY2025 level. FY2025 segment disclosure shows Commercial contribution margin of $20.6M and International Franchising contribution margin of $1.4M, or $21.9M combined. Model uses $15.0M to avoid fully capitalizing recent strength.</t>
  </si>
  <si>
    <t>Immature / Other DTC Contribution</t>
  </si>
  <si>
    <t>Conservative contribution for immature / other DTC stores not included in the mature store base. Latest ending corporately-managed stores were 375, while mature stores are estimated at 338, so the remaining store base should not be valued at zero.</t>
  </si>
  <si>
    <t>Total Segment Contribution</t>
  </si>
  <si>
    <t>D&amp;A / Revenue</t>
  </si>
  <si>
    <t>Mid-Cycle D&amp;A</t>
  </si>
  <si>
    <t>Mid-Cycle EBIT</t>
  </si>
  <si>
    <t>Mid-Cycle NOPAT</t>
  </si>
  <si>
    <t>Mid-Cycle Maintenance Capex</t>
  </si>
  <si>
    <t>Mid-Cycle Free Cash Flow</t>
  </si>
  <si>
    <t>Unit-Level Valuation</t>
  </si>
  <si>
    <t>Value the mature store base and estimate whether new unit pipeline adds or subtracts value.</t>
  </si>
  <si>
    <t>Mature Stores</t>
  </si>
  <si>
    <t>Gross Value / Mature Store</t>
  </si>
  <si>
    <t>Allocated G&amp;A / Store</t>
  </si>
  <si>
    <t>Capitalized G&amp;A Burden / Store</t>
  </si>
  <si>
    <t>Net Value / Mature Store</t>
  </si>
  <si>
    <t>Total Mature Store Value</t>
  </si>
  <si>
    <t>Planned New Stores</t>
  </si>
  <si>
    <t>Value Creation / New Store</t>
  </si>
  <si>
    <t>New Store Pipeline Value</t>
  </si>
  <si>
    <t>Closure / Underperforming Store Reserve</t>
  </si>
  <si>
    <t>Unit-Level Enterprise Value</t>
  </si>
  <si>
    <t>Consolidated Valuation</t>
  </si>
  <si>
    <t>Triangulate value using mid-cycle EBITDA, P/E, FCF yield, and unit-level valuation.</t>
  </si>
  <si>
    <t>Valuation Methods</t>
  </si>
  <si>
    <t>EV/EBITDA Implied Enterprise Value</t>
  </si>
  <si>
    <t>Mid-Cycle Net Income</t>
  </si>
  <si>
    <t>P/E Implied Equity Value</t>
  </si>
  <si>
    <t>FCF Yield Implied Equity Value</t>
  </si>
  <si>
    <t>Selected Enterprise Value</t>
  </si>
  <si>
    <t>Cash</t>
  </si>
  <si>
    <t>Equity Value</t>
  </si>
  <si>
    <t>Upside / Downside to Intrinsic Value</t>
  </si>
  <si>
    <t>Upside / Downside to Strike Price</t>
  </si>
  <si>
    <t>Downside Upside Cases</t>
  </si>
  <si>
    <t>Scenario analysis for declining traffic/value trap vs successful unit growth.</t>
  </si>
  <si>
    <t>Scenario Summary</t>
  </si>
  <si>
    <t>Metric</t>
  </si>
  <si>
    <t>Downside</t>
  </si>
  <si>
    <t>Base / Mid-Cycle</t>
  </si>
  <si>
    <t>Upside</t>
  </si>
  <si>
    <t>Formula / Notes</t>
  </si>
  <si>
    <t>Store base</t>
  </si>
  <si>
    <t>Same-Store Sales Growth</t>
  </si>
  <si>
    <t>Comp growth</t>
  </si>
  <si>
    <t>AUV</t>
  </si>
  <si>
    <t>Revenue/unit</t>
  </si>
  <si>
    <t>Stores x AUV</t>
  </si>
  <si>
    <t>Store-Level EBITDA</t>
  </si>
  <si>
    <t>Revenue x margin</t>
  </si>
  <si>
    <t>G&amp;A % Sales</t>
  </si>
  <si>
    <t>Overhead leverage</t>
  </si>
  <si>
    <t>Revenue x G&amp;A %</t>
  </si>
  <si>
    <t>Consolidated EBITDA</t>
  </si>
  <si>
    <t>EV/EBITDA Multiple</t>
  </si>
  <si>
    <t>Scenario multiple</t>
  </si>
  <si>
    <t>Enterprise Value</t>
  </si>
  <si>
    <t>EBITDA x multiple</t>
  </si>
  <si>
    <t>Less Debt</t>
  </si>
  <si>
    <t>Debt-like claims</t>
  </si>
  <si>
    <t>Plus Cash</t>
  </si>
  <si>
    <t>EV to equity</t>
  </si>
  <si>
    <t>Value / Share</t>
  </si>
  <si>
    <t>Diluted shares</t>
  </si>
  <si>
    <t>Vs current price</t>
  </si>
  <si>
    <t>Value Trap Test</t>
  </si>
  <si>
    <t>Final Conclusion</t>
  </si>
  <si>
    <t>Convert the model output into a direct investment decision.</t>
  </si>
  <si>
    <t>Investment Decision Summary</t>
  </si>
  <si>
    <t>Analyst Written Conclusion</t>
  </si>
  <si>
    <t>What does the company sell, and what is the core store/restaurant concept?</t>
  </si>
  <si>
    <t>Build-A-Bear sells customizable plush animals and related accessories through an experiential retail concept where customers create and personalize stuffed animals. The core concept is a branded, interactive retail experience supported by e-commerce, licensing, commercial partnerships, and international franchise operations.</t>
  </si>
  <si>
    <t>Are current earnings depressed, normalized, or inflated relative to mid-cycle economics?</t>
  </si>
  <si>
    <t>Current earnings appear above conservative mid-cycle earnings. FY2025 produced record revenue of $529.8M and EBITDA of $81.4M, but the model normalizes below this level to reflect tariff pressure, discretionary retail risk, e-commerce softness, and uncertainty around the durability of post-pandemic margins.</t>
  </si>
  <si>
    <t>Are same-store sales driven by traffic, price, ticket, or mix?</t>
  </si>
  <si>
    <t>The company does not disclose a clean annual traffic/ticket/pricing bridge. Recent performance appears driven by a mix of store recovery, pricing, product/licensing mix, and commercial/franchise growth, while e-commerce weakness remains an offset.</t>
  </si>
  <si>
    <t>Is AUV growing because the brand is stronger, or because pricing is temporarily high?</t>
  </si>
  <si>
    <t>AUV improvement likely reflects some real brand/platform improvement, including licensing, adult/collector demand, and better store productivity. However, price and mix are also likely contributors, so the model should not treat the full recent AUV level as permanently protected.</t>
  </si>
  <si>
    <t>Are store-level margins strong enough after labor, food/input costs, occupancy, and other store expenses?</t>
  </si>
  <si>
    <t>Yes, recent DTC/store-level contribution is strong, with FY2025 DTC contribution margin of about $126.0M, or 25.9% of net retail sales. The model still normalizes mature store margin to 20.0% to allow for tariffs, labor, occupancy, freight, and mix pressure.</t>
  </si>
  <si>
    <t>Does corporate overhead scale, or does it absorb too much store-level profit?</t>
  </si>
  <si>
    <t>Corporate overhead is meaningful but not fatal. FY2025 overhead expense was $81.5M, so the model treats overhead as a key watch item rather than assuming aggressive operating leverage.</t>
  </si>
  <si>
    <t>Are lease obligations manageable through a downturn?</t>
  </si>
  <si>
    <t>Current lease risk appears moderate. Lease obligations are meaningful for a store-based retailer, but the company has no revolver borrowings and current EBITDA/rent coverage is not distressed.</t>
  </si>
  <si>
    <t>Does new unit ROI exceed the required return by enough to justify growth?</t>
  </si>
  <si>
    <t>On an incrementally burdened basis, yes. Using $1.25M AUV, 20.0% store-level margin, 6.0% incremental G&amp;A, $0.04M maintenance capex, and $0.55M new unit investment, the new unit ROI is roughly 24.5%, above the 11.0% required return. Fully burdened ROI is much lower, so overhead control is critical.</t>
  </si>
  <si>
    <t>Is growth creating value, or is the company opening units to hide weak economics?</t>
  </si>
  <si>
    <t>Growth appears potentially value-creating, not merely a way to hide weak economics. Store-level contribution is materially stronger than the pre-turnaround period, and non-DTC channels add real contribution. However, the thesis depends on sustaining margins and avoiding overhead creep.</t>
  </si>
  <si>
    <t>Final Decision: Buy Candidate, Waitlist, or Reject.</t>
  </si>
  <si>
    <t>Waitlist / Too Expensive at Current Price. The business is materially better than the old mall-retail version of Build-A-Bear, but the current share price is still above the model’s conservative normalized intrinsic value and strike price.</t>
  </si>
  <si>
    <t>Sources</t>
  </si>
  <si>
    <t>Document every source used. A professional model must be auditable.</t>
  </si>
  <si>
    <t>Source Log</t>
  </si>
  <si>
    <t>Source Type</t>
  </si>
  <si>
    <t>Period</t>
  </si>
  <si>
    <t>URL / Filing Reference</t>
  </si>
  <si>
    <t>Data Pulled</t>
  </si>
  <si>
    <t>Date Pulled</t>
  </si>
  <si>
    <t>Notes</t>
  </si>
  <si>
    <t>10-K</t>
  </si>
  <si>
    <t>FY2025</t>
  </si>
  <si>
    <t>https://www.sec.gov/edgar/browse/?CIK=1113809&amp;owner=exclude</t>
  </si>
  <si>
    <t>Revenue, store count, capex, leases, shares</t>
  </si>
  <si>
    <t>6/4/2026</t>
  </si>
  <si>
    <t>Verify all hardcoded historical inputs</t>
  </si>
  <si>
    <t>10-Q</t>
  </si>
  <si>
    <t>Latest Quarter</t>
  </si>
  <si>
    <t>Cash, debt, lease liabilities, share count</t>
  </si>
  <si>
    <t>Use latest balance sheet if more current than 10-K</t>
  </si>
  <si>
    <t>Market Data</t>
  </si>
  <si>
    <t>Current</t>
  </si>
  <si>
    <t>https://finance.yahoo.com/quote/BBW/?fr=yhssrp_catchall&amp;guccounter=1&amp;guce_referrer=aHR0cHM6Ly9zZWFyY2gueWFob28uY29tL3locy9zZWFyY2g_aHNwYXJ0PXN5bmRpYzgmaHNpbXA9eWhzLWFjdGl2OGlnaHQmcD1CQlcrc2hhcmUrcHJpY2UmdHlwZT1zb3VyY2VBVUQ1Nw&amp;guce_referrer_sig=AQAAAHQZ48epIkusG7q0Kj9m9mow89H625N-OLPRN2a9By-jBDue0tBZnkoT_L-8ED706OV8fxhbZbxAMjjlFTzh3ebR6uuXrkRptxHp_9ZjWdW9yvlTEwnT41Nk_hXMykURLCjTcLPljb8KJB2AZbqfiRGgwL3fA1mXgirZ4Wq8PN5W</t>
  </si>
  <si>
    <t>Share price, market cap, EV, peer multiples</t>
  </si>
  <si>
    <t>Pull on date model is built</t>
  </si>
</sst>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0.0;[Red](#,##0.0);-"/>
    <numFmt numFmtId="165" formatCode="0.0x;[Red](0.0x);-"/>
    <numFmt numFmtId="166" formatCode="#,##0;[Red](#,##0);-"/>
    <numFmt numFmtId="167" formatCode="0.0%;[Red](0.0%);-"/>
    <numFmt numFmtId="168" formatCode="$0.00;[Red]($0.00);-"/>
    <numFmt numFmtId="169" formatCode="#,##0.0"/>
    <numFmt numFmtId="170" formatCode="#,##0.00;[Red](#,##0.00);-"/>
    <numFmt numFmtId="171" formatCode="0.0%"/>
  </numFmts>
  <fonts count="16">
    <font>
      <sz val="11.0"/>
      <color rgb="FF000000"/>
      <name val="Carlito"/>
      <scheme val="minor"/>
    </font>
    <font>
      <b/>
      <sz val="16.0"/>
      <color rgb="FFFFFFFF"/>
      <name val="Calibri"/>
    </font>
    <font>
      <sz val="10.0"/>
      <color theme="1"/>
      <name val="Calibri"/>
    </font>
    <font>
      <i/>
      <sz val="10.0"/>
      <color rgb="FF000000"/>
      <name val="Carlito"/>
    </font>
    <font>
      <b/>
      <sz val="11.0"/>
      <color rgb="FFFFFFFF"/>
      <name val="Carlito"/>
    </font>
    <font>
      <sz val="11.0"/>
      <color rgb="FF000000"/>
      <name val="Carlito"/>
    </font>
    <font>
      <sz val="11.0"/>
      <color rgb="FF0000FF"/>
      <name val="Carlito"/>
    </font>
    <font>
      <sz val="11.0"/>
      <color theme="1"/>
      <name val="Carlito"/>
    </font>
    <font>
      <color theme="1"/>
      <name val="Carlito"/>
      <scheme val="minor"/>
    </font>
    <font>
      <b/>
      <sz val="12.0"/>
      <color rgb="FF000000"/>
      <name val="Carlito"/>
    </font>
    <font>
      <b/>
      <sz val="16.0"/>
      <color rgb="FFFFFFFF"/>
      <name val="Carlito"/>
    </font>
    <font>
      <sz val="11.0"/>
      <color rgb="FF008000"/>
      <name val="Carlito"/>
    </font>
    <font>
      <b/>
      <sz val="11.0"/>
      <color rgb="FF000000"/>
      <name val="Carlito"/>
    </font>
    <font>
      <b/>
      <color theme="1"/>
      <name val="Carlito"/>
      <scheme val="minor"/>
    </font>
    <font>
      <b/>
      <sz val="11.0"/>
      <color theme="1"/>
      <name val="Carlito"/>
    </font>
    <font>
      <u/>
      <sz val="11.0"/>
      <color rgb="FF0000FF"/>
      <name val="Carlito"/>
    </font>
  </fonts>
  <fills count="7">
    <fill>
      <patternFill patternType="none"/>
    </fill>
    <fill>
      <patternFill patternType="lightGray"/>
    </fill>
    <fill>
      <patternFill patternType="solid">
        <fgColor rgb="FF0B1F33"/>
        <bgColor rgb="FF0B1F33"/>
      </patternFill>
    </fill>
    <fill>
      <patternFill patternType="solid">
        <fgColor rgb="FFE5E7EB"/>
        <bgColor rgb="FFE5E7EB"/>
      </patternFill>
    </fill>
    <fill>
      <patternFill patternType="solid">
        <fgColor rgb="FFFFF2CC"/>
        <bgColor rgb="FFFFF2CC"/>
      </patternFill>
    </fill>
    <fill>
      <patternFill patternType="solid">
        <fgColor rgb="FFE2F0D9"/>
        <bgColor rgb="FFE2F0D9"/>
      </patternFill>
    </fill>
    <fill>
      <patternFill patternType="solid">
        <fgColor rgb="FFFFFF00"/>
        <bgColor rgb="FFFFFF00"/>
      </patternFill>
    </fill>
  </fills>
  <borders count="1">
    <border/>
  </borders>
  <cellStyleXfs count="1">
    <xf borderId="0" fillId="0" fontId="0" numFmtId="0" applyAlignment="1" applyFont="1"/>
  </cellStyleXfs>
  <cellXfs count="70">
    <xf borderId="0" fillId="0" fontId="0" numFmtId="0" xfId="0" applyAlignment="1" applyFont="1">
      <alignment readingOrder="0" shrinkToFit="0" vertical="bottom" wrapText="0"/>
    </xf>
    <xf borderId="0" fillId="2" fontId="1" numFmtId="0" xfId="0" applyAlignment="1" applyFill="1" applyFont="1">
      <alignment horizontal="left" shrinkToFit="0" vertical="center" wrapText="1"/>
    </xf>
    <xf borderId="0" fillId="0" fontId="2" numFmtId="0" xfId="0" applyFont="1"/>
    <xf borderId="0" fillId="3" fontId="3" numFmtId="0" xfId="0" applyAlignment="1" applyFill="1" applyFont="1">
      <alignment horizontal="left" shrinkToFit="0" vertical="center" wrapText="1"/>
    </xf>
    <xf borderId="0" fillId="2" fontId="4" numFmtId="0" xfId="0" applyAlignment="1" applyFont="1">
      <alignment horizontal="left" shrinkToFit="0" vertical="center" wrapText="1"/>
    </xf>
    <xf borderId="0" fillId="0" fontId="5" numFmtId="0" xfId="0" applyAlignment="1" applyFont="1">
      <alignment shrinkToFit="0" vertical="center" wrapText="1"/>
    </xf>
    <xf borderId="0" fillId="4" fontId="6" numFmtId="0" xfId="0" applyAlignment="1" applyFill="1" applyFont="1">
      <alignment horizontal="right" readingOrder="0" shrinkToFit="0" vertical="center" wrapText="1"/>
    </xf>
    <xf borderId="0" fillId="0" fontId="7" numFmtId="0" xfId="0" applyAlignment="1" applyFont="1">
      <alignment shrinkToFit="0" vertical="center" wrapText="1"/>
    </xf>
    <xf borderId="0" fillId="4" fontId="6" numFmtId="0" xfId="0" applyAlignment="1" applyFont="1">
      <alignment horizontal="right" shrinkToFit="0" vertical="center" wrapText="1"/>
    </xf>
    <xf borderId="0" fillId="4" fontId="6" numFmtId="164" xfId="0" applyAlignment="1" applyFont="1" applyNumberFormat="1">
      <alignment horizontal="right" readingOrder="0" shrinkToFit="0" vertical="center" wrapText="1"/>
    </xf>
    <xf borderId="0" fillId="4" fontId="6" numFmtId="9" xfId="0" applyAlignment="1" applyFont="1" applyNumberFormat="1">
      <alignment horizontal="right" readingOrder="0" shrinkToFit="0" vertical="center" wrapText="1"/>
    </xf>
    <xf borderId="0" fillId="0" fontId="8" numFmtId="0" xfId="0" applyAlignment="1" applyFont="1">
      <alignment readingOrder="0"/>
    </xf>
    <xf borderId="0" fillId="4" fontId="6" numFmtId="165" xfId="0" applyAlignment="1" applyFont="1" applyNumberFormat="1">
      <alignment horizontal="right" readingOrder="0" shrinkToFit="0" vertical="center" wrapText="1"/>
    </xf>
    <xf borderId="0" fillId="4" fontId="6" numFmtId="10" xfId="0" applyAlignment="1" applyFont="1" applyNumberFormat="1">
      <alignment horizontal="right" readingOrder="0" shrinkToFit="0" vertical="center" wrapText="1"/>
    </xf>
    <xf borderId="0" fillId="4" fontId="6" numFmtId="166" xfId="0" applyAlignment="1" applyFont="1" applyNumberFormat="1">
      <alignment horizontal="right" shrinkToFit="0" vertical="center" wrapText="1"/>
    </xf>
    <xf borderId="0" fillId="4" fontId="6" numFmtId="166" xfId="0" applyAlignment="1" applyFont="1" applyNumberFormat="1">
      <alignment horizontal="right" readingOrder="0" shrinkToFit="0" vertical="center" wrapText="1"/>
    </xf>
    <xf borderId="0" fillId="4" fontId="6" numFmtId="167" xfId="0" applyAlignment="1" applyFont="1" applyNumberFormat="1">
      <alignment horizontal="right" shrinkToFit="0" vertical="center" wrapText="1"/>
    </xf>
    <xf borderId="0" fillId="5" fontId="9" numFmtId="0" xfId="0" applyAlignment="1" applyFill="1" applyFont="1">
      <alignment horizontal="center" shrinkToFit="0" vertical="center" wrapText="1"/>
    </xf>
    <xf borderId="0" fillId="2" fontId="10" numFmtId="0" xfId="0" applyAlignment="1" applyFont="1">
      <alignment shrinkToFit="0" vertical="center" wrapText="1"/>
    </xf>
    <xf borderId="0" fillId="0" fontId="11" numFmtId="49" xfId="0" applyAlignment="1" applyFont="1" applyNumberFormat="1">
      <alignment horizontal="left" shrinkToFit="0" vertical="center" wrapText="1"/>
    </xf>
    <xf borderId="0" fillId="0" fontId="11" numFmtId="49" xfId="0" applyAlignment="1" applyFont="1" applyNumberFormat="1">
      <alignment horizontal="right" shrinkToFit="0" vertical="center" wrapText="1"/>
    </xf>
    <xf borderId="0" fillId="0" fontId="11" numFmtId="166" xfId="0" applyAlignment="1" applyFont="1" applyNumberFormat="1">
      <alignment horizontal="right" shrinkToFit="0" vertical="center" wrapText="1"/>
    </xf>
    <xf borderId="0" fillId="0" fontId="11" numFmtId="168" xfId="0" applyAlignment="1" applyFont="1" applyNumberFormat="1">
      <alignment horizontal="right" shrinkToFit="0" vertical="center" wrapText="1"/>
    </xf>
    <xf borderId="0" fillId="0" fontId="5" numFmtId="49" xfId="0" applyAlignment="1" applyFont="1" applyNumberFormat="1">
      <alignment horizontal="left" shrinkToFit="0" vertical="top" wrapText="1"/>
    </xf>
    <xf borderId="0" fillId="0" fontId="11" numFmtId="167" xfId="0" applyAlignment="1" applyFont="1" applyNumberFormat="1">
      <alignment horizontal="right" shrinkToFit="0" vertical="center" wrapText="1"/>
    </xf>
    <xf borderId="0" fillId="0" fontId="11" numFmtId="164" xfId="0" applyAlignment="1" applyFont="1" applyNumberFormat="1">
      <alignment horizontal="right" shrinkToFit="0" vertical="center" wrapText="1"/>
    </xf>
    <xf borderId="0" fillId="3" fontId="12" numFmtId="0" xfId="0" applyAlignment="1" applyFont="1">
      <alignment horizontal="right" shrinkToFit="0" vertical="center" wrapText="1"/>
    </xf>
    <xf borderId="0" fillId="0" fontId="5" numFmtId="0" xfId="0" applyAlignment="1" applyFont="1">
      <alignment horizontal="left" shrinkToFit="0" vertical="center" wrapText="1"/>
    </xf>
    <xf borderId="0" fillId="0" fontId="5" numFmtId="167" xfId="0" applyAlignment="1" applyFont="1" applyNumberFormat="1">
      <alignment horizontal="right" shrinkToFit="0" vertical="center" wrapText="1"/>
    </xf>
    <xf borderId="0" fillId="4" fontId="6" numFmtId="164" xfId="0" applyAlignment="1" applyFont="1" applyNumberFormat="1">
      <alignment horizontal="right" shrinkToFit="0" vertical="center" wrapText="1"/>
    </xf>
    <xf borderId="0" fillId="0" fontId="5" numFmtId="164" xfId="0" applyAlignment="1" applyFont="1" applyNumberFormat="1">
      <alignment horizontal="right" shrinkToFit="0" vertical="center" wrapText="1"/>
    </xf>
    <xf borderId="0" fillId="6" fontId="5" numFmtId="0" xfId="0" applyAlignment="1" applyFill="1" applyFont="1">
      <alignment horizontal="left" shrinkToFit="0" vertical="center" wrapText="1"/>
    </xf>
    <xf borderId="0" fillId="6" fontId="5" numFmtId="164" xfId="0" applyAlignment="1" applyFont="1" applyNumberFormat="1">
      <alignment horizontal="right" shrinkToFit="0" vertical="center" wrapText="1"/>
    </xf>
    <xf borderId="0" fillId="6" fontId="8" numFmtId="0" xfId="0" applyFont="1"/>
    <xf borderId="0" fillId="0" fontId="5" numFmtId="164" xfId="0" applyAlignment="1" applyFont="1" applyNumberFormat="1">
      <alignment horizontal="right" readingOrder="0" shrinkToFit="0" vertical="center" wrapText="1"/>
    </xf>
    <xf borderId="0" fillId="0" fontId="5" numFmtId="168" xfId="0" applyAlignment="1" applyFont="1" applyNumberFormat="1">
      <alignment horizontal="right" shrinkToFit="0" vertical="center" wrapText="1"/>
    </xf>
    <xf borderId="0" fillId="0" fontId="5" numFmtId="166" xfId="0" applyAlignment="1" applyFont="1" applyNumberFormat="1">
      <alignment horizontal="right" shrinkToFit="0" vertical="center" wrapText="1"/>
    </xf>
    <xf borderId="0" fillId="4" fontId="6" numFmtId="0" xfId="0" applyAlignment="1" applyFont="1">
      <alignment horizontal="center" readingOrder="0" shrinkToFit="0" vertical="center" wrapText="1"/>
    </xf>
    <xf borderId="0" fillId="4" fontId="6" numFmtId="0" xfId="0" applyAlignment="1" applyFont="1">
      <alignment horizontal="center" shrinkToFit="0" vertical="center" wrapText="1"/>
    </xf>
    <xf borderId="0" fillId="4" fontId="6" numFmtId="169" xfId="0" applyAlignment="1" applyFont="1" applyNumberFormat="1">
      <alignment horizontal="right" readingOrder="0" shrinkToFit="0" vertical="center" wrapText="1"/>
    </xf>
    <xf borderId="0" fillId="0" fontId="5" numFmtId="170" xfId="0" applyAlignment="1" applyFont="1" applyNumberFormat="1">
      <alignment horizontal="right" shrinkToFit="0" vertical="center" wrapText="1"/>
    </xf>
    <xf borderId="0" fillId="0" fontId="5" numFmtId="0" xfId="0" applyAlignment="1" applyFont="1">
      <alignment horizontal="left" readingOrder="0" shrinkToFit="0" vertical="center" wrapText="1"/>
    </xf>
    <xf borderId="0" fillId="0" fontId="5" numFmtId="49" xfId="0" applyAlignment="1" applyFont="1" applyNumberFormat="1">
      <alignment horizontal="right" shrinkToFit="0" vertical="center" wrapText="1"/>
    </xf>
    <xf borderId="0" fillId="0" fontId="5" numFmtId="165" xfId="0" applyAlignment="1" applyFont="1" applyNumberFormat="1">
      <alignment horizontal="right" shrinkToFit="0" vertical="center" wrapText="1"/>
    </xf>
    <xf borderId="0" fillId="0" fontId="13" numFmtId="0" xfId="0" applyAlignment="1" applyFont="1">
      <alignment horizontal="center" readingOrder="0"/>
    </xf>
    <xf borderId="0" fillId="0" fontId="13" numFmtId="164" xfId="0" applyAlignment="1" applyFont="1" applyNumberFormat="1">
      <alignment horizontal="right" readingOrder="0"/>
    </xf>
    <xf borderId="0" fillId="0" fontId="8" numFmtId="164" xfId="0" applyAlignment="1" applyFont="1" applyNumberFormat="1">
      <alignment horizontal="right"/>
    </xf>
    <xf borderId="0" fillId="4" fontId="6" numFmtId="170" xfId="0" applyAlignment="1" applyFont="1" applyNumberFormat="1">
      <alignment horizontal="right" readingOrder="0" shrinkToFit="0" vertical="center" wrapText="1"/>
    </xf>
    <xf borderId="0" fillId="0" fontId="13" numFmtId="0" xfId="0" applyAlignment="1" applyFont="1">
      <alignment horizontal="right" readingOrder="0"/>
    </xf>
    <xf borderId="0" fillId="0" fontId="8" numFmtId="0" xfId="0" applyAlignment="1" applyFont="1">
      <alignment horizontal="right" readingOrder="0"/>
    </xf>
    <xf borderId="0" fillId="0" fontId="8" numFmtId="0" xfId="0" applyFont="1"/>
    <xf borderId="0" fillId="0" fontId="8" numFmtId="170" xfId="0" applyAlignment="1" applyFont="1" applyNumberFormat="1">
      <alignment horizontal="right"/>
    </xf>
    <xf borderId="0" fillId="0" fontId="8" numFmtId="10" xfId="0" applyAlignment="1" applyFont="1" applyNumberFormat="1">
      <alignment horizontal="right" readingOrder="0"/>
    </xf>
    <xf borderId="0" fillId="0" fontId="7" numFmtId="0" xfId="0" applyAlignment="1" applyFont="1">
      <alignment vertical="bottom"/>
    </xf>
    <xf borderId="0" fillId="0" fontId="7" numFmtId="164" xfId="0" applyAlignment="1" applyFont="1" applyNumberFormat="1">
      <alignment shrinkToFit="0" vertical="center" wrapText="1"/>
    </xf>
    <xf borderId="0" fillId="0" fontId="7" numFmtId="171" xfId="0" applyAlignment="1" applyFont="1" applyNumberFormat="1">
      <alignment shrinkToFit="0" vertical="center" wrapText="1"/>
    </xf>
    <xf borderId="0" fillId="0" fontId="7" numFmtId="170" xfId="0" applyAlignment="1" applyFont="1" applyNumberFormat="1">
      <alignment shrinkToFit="0" vertical="center" wrapText="1"/>
    </xf>
    <xf borderId="0" fillId="5" fontId="5" numFmtId="0" xfId="0" applyAlignment="1" applyFont="1">
      <alignment shrinkToFit="0" vertical="center" wrapText="1"/>
    </xf>
    <xf borderId="0" fillId="0" fontId="11" numFmtId="170" xfId="0" applyAlignment="1" applyFont="1" applyNumberFormat="1">
      <alignment horizontal="right" shrinkToFit="0" vertical="center" wrapText="1"/>
    </xf>
    <xf borderId="0" fillId="0" fontId="5" numFmtId="0" xfId="0" applyAlignment="1" applyFont="1">
      <alignment readingOrder="0" shrinkToFit="0" vertical="center" wrapText="1"/>
    </xf>
    <xf borderId="0" fillId="0" fontId="7" numFmtId="0" xfId="0" applyAlignment="1" applyFont="1">
      <alignment readingOrder="0" shrinkToFit="0" vertical="center" wrapText="1"/>
    </xf>
    <xf borderId="0" fillId="0" fontId="5" numFmtId="4" xfId="0" applyAlignment="1" applyFont="1" applyNumberFormat="1">
      <alignment horizontal="right" shrinkToFit="0" vertical="center" wrapText="1"/>
    </xf>
    <xf borderId="0" fillId="0" fontId="11" numFmtId="165" xfId="0" applyAlignment="1" applyFont="1" applyNumberFormat="1">
      <alignment horizontal="right" shrinkToFit="0" vertical="center" wrapText="1"/>
    </xf>
    <xf borderId="0" fillId="3" fontId="14" numFmtId="0" xfId="0" applyAlignment="1" applyFont="1">
      <alignment horizontal="center" shrinkToFit="0" vertical="center" wrapText="1"/>
    </xf>
    <xf borderId="0" fillId="3" fontId="14" numFmtId="0" xfId="0" applyAlignment="1" applyFont="1">
      <alignment shrinkToFit="0" vertical="center" wrapText="1"/>
    </xf>
    <xf borderId="0" fillId="4" fontId="6" numFmtId="0" xfId="0" applyAlignment="1" applyFont="1">
      <alignment readingOrder="0" shrinkToFit="0" vertical="center" wrapText="1"/>
    </xf>
    <xf borderId="0" fillId="4" fontId="6" numFmtId="0" xfId="0" applyAlignment="1" applyFont="1">
      <alignment shrinkToFit="0" vertical="center" wrapText="1"/>
    </xf>
    <xf borderId="0" fillId="4" fontId="15" numFmtId="0" xfId="0" applyAlignment="1" applyFont="1">
      <alignment readingOrder="0" shrinkToFit="0" vertical="center" wrapText="1"/>
    </xf>
    <xf borderId="0" fillId="4" fontId="6" numFmtId="49" xfId="0" applyAlignment="1" applyFont="1" applyNumberFormat="1">
      <alignment readingOrder="0" shrinkToFit="0" vertical="center" wrapText="1"/>
    </xf>
    <xf borderId="0" fillId="0" fontId="7" numFmtId="49" xfId="0" applyAlignment="1" applyFont="1" applyNumberForma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20" Type="http://customschemas.google.com/relationships/workbookmetadata" Target="metadata"/><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hyperlink" Target="https://www.sec.gov/edgar/browse/?CIK=1113809&amp;owner=exclude" TargetMode="External"/><Relationship Id="rId2" Type="http://schemas.openxmlformats.org/officeDocument/2006/relationships/hyperlink" Target="https://www.sec.gov/edgar/browse/?CIK=1113809&amp;owner=exclude" TargetMode="External"/><Relationship Id="rId3" Type="http://schemas.openxmlformats.org/officeDocument/2006/relationships/hyperlink" Target="https://finance.yahoo.com/quote/BBW/?fr=yhssrp_catchall&amp;guccounter=1&amp;guce_referrer=aHR0cHM6Ly9zZWFyY2gueWFob28uY29tL3locy9zZWFyY2g_aHNwYXJ0PXN5bmRpYzgmaHNpbXA9eWhzLWFjdGl2OGlnaHQmcD1CQlcrc2hhcmUrcHJpY2UmdHlwZT1zb3VyY2VBVUQ1Nw&amp;guce_referrer_sig=AQAAAHQZ48epIkusG7q0Kj9m9mow89H625N-OLPRN2a9By-jBDue0tBZnkoT_L-8ED706OV8fxhbZbxAMjjlFTzh3ebR6uuXrkRptxHp_9ZjWdW9yvlTEwnT41Nk_hXMykURLCjTcLPljb8KJB2AZbqfiRGgwL3fA1mXgirZ4Wq8PN5W" TargetMode="External"/><Relationship Id="rId4"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2" width="24.75"/>
    <col customWidth="1" min="3" max="3" width="42.38"/>
    <col customWidth="1" min="4" max="11" width="14.0"/>
    <col customWidth="1" min="12" max="26" width="8.63"/>
  </cols>
  <sheetData>
    <row r="1" ht="27.75" customHeight="1">
      <c r="A1" s="1" t="s">
        <v>0</v>
      </c>
      <c r="G1" s="2"/>
      <c r="H1" s="2"/>
      <c r="I1" s="2"/>
      <c r="J1" s="2"/>
      <c r="K1" s="2"/>
    </row>
    <row r="2" ht="24.0" customHeight="1">
      <c r="A2" s="3" t="s">
        <v>1</v>
      </c>
    </row>
    <row r="4" ht="18.0" customHeight="1">
      <c r="A4" s="4" t="s">
        <v>2</v>
      </c>
    </row>
    <row r="5" ht="18.0" customHeight="1">
      <c r="A5" s="5" t="s">
        <v>3</v>
      </c>
      <c r="B5" s="6" t="s">
        <v>4</v>
      </c>
      <c r="C5" s="5" t="s">
        <v>5</v>
      </c>
      <c r="D5" s="7"/>
      <c r="E5" s="7"/>
      <c r="F5" s="7"/>
    </row>
    <row r="6" ht="18.0" customHeight="1">
      <c r="A6" s="5" t="s">
        <v>6</v>
      </c>
      <c r="B6" s="6" t="s">
        <v>7</v>
      </c>
      <c r="C6" s="5" t="s">
        <v>5</v>
      </c>
      <c r="D6" s="7"/>
      <c r="E6" s="7"/>
      <c r="F6" s="7"/>
    </row>
    <row r="7" ht="18.0" customHeight="1">
      <c r="A7" s="5" t="s">
        <v>8</v>
      </c>
      <c r="B7" s="8" t="s">
        <v>9</v>
      </c>
      <c r="C7" s="5" t="s">
        <v>5</v>
      </c>
      <c r="D7" s="7"/>
      <c r="E7" s="7"/>
      <c r="F7" s="7"/>
    </row>
    <row r="8" ht="18.0" customHeight="1">
      <c r="A8" s="5" t="s">
        <v>10</v>
      </c>
      <c r="B8" s="8" t="s">
        <v>11</v>
      </c>
      <c r="C8" s="5" t="s">
        <v>5</v>
      </c>
      <c r="D8" s="7"/>
      <c r="E8" s="7"/>
      <c r="F8" s="7"/>
    </row>
    <row r="9" ht="18.0" customHeight="1">
      <c r="A9" s="5" t="s">
        <v>12</v>
      </c>
      <c r="B9" s="8">
        <v>2025.0</v>
      </c>
      <c r="C9" s="5" t="s">
        <v>13</v>
      </c>
      <c r="D9" s="7"/>
      <c r="E9" s="7"/>
      <c r="F9" s="7"/>
    </row>
    <row r="10" ht="18.0" customHeight="1">
      <c r="A10" s="5" t="s">
        <v>14</v>
      </c>
      <c r="B10" s="6">
        <v>35.72</v>
      </c>
      <c r="C10" s="5" t="s">
        <v>8</v>
      </c>
      <c r="D10" s="7"/>
      <c r="E10" s="7"/>
      <c r="F10" s="7"/>
    </row>
    <row r="11" ht="18.0" customHeight="1">
      <c r="A11" s="5" t="s">
        <v>15</v>
      </c>
      <c r="B11" s="6">
        <v>13.083</v>
      </c>
      <c r="C11" s="5" t="s">
        <v>16</v>
      </c>
      <c r="D11" s="7"/>
      <c r="E11" s="7"/>
      <c r="F11" s="7"/>
    </row>
    <row r="12" ht="18.0" customHeight="1">
      <c r="A12" s="5" t="s">
        <v>17</v>
      </c>
      <c r="B12" s="6">
        <v>26.755</v>
      </c>
      <c r="C12" s="5" t="s">
        <v>18</v>
      </c>
      <c r="D12" s="7"/>
      <c r="E12" s="7"/>
      <c r="F12" s="7"/>
    </row>
    <row r="13" ht="18.0" customHeight="1">
      <c r="A13" s="5" t="s">
        <v>19</v>
      </c>
      <c r="B13" s="6">
        <v>0.0</v>
      </c>
      <c r="C13" s="5" t="s">
        <v>18</v>
      </c>
      <c r="D13" s="7"/>
      <c r="E13" s="7"/>
      <c r="F13" s="7"/>
    </row>
    <row r="14" ht="18.0" customHeight="1">
      <c r="A14" s="5" t="s">
        <v>20</v>
      </c>
      <c r="B14" s="9">
        <v>127.298</v>
      </c>
      <c r="C14" s="5" t="s">
        <v>18</v>
      </c>
      <c r="D14" s="7"/>
      <c r="E14" s="7"/>
      <c r="F14" s="7"/>
    </row>
    <row r="15" ht="18.0" customHeight="1">
      <c r="A15" s="5" t="s">
        <v>21</v>
      </c>
      <c r="B15" s="6">
        <v>7.37</v>
      </c>
      <c r="C15" s="5" t="s">
        <v>18</v>
      </c>
      <c r="D15" s="7"/>
      <c r="E15" s="7"/>
      <c r="F15" s="7"/>
    </row>
    <row r="16" ht="18.0" customHeight="1">
      <c r="A16" s="7"/>
      <c r="B16" s="7"/>
      <c r="C16" s="7"/>
      <c r="D16" s="7"/>
      <c r="E16" s="7"/>
      <c r="F16" s="7"/>
    </row>
    <row r="17" ht="18.0" customHeight="1">
      <c r="A17" s="7"/>
      <c r="B17" s="7"/>
      <c r="C17" s="7"/>
      <c r="D17" s="7"/>
      <c r="E17" s="7"/>
      <c r="F17" s="7"/>
    </row>
    <row r="18" ht="18.0" customHeight="1">
      <c r="A18" s="4" t="s">
        <v>22</v>
      </c>
    </row>
    <row r="19" ht="18.0" customHeight="1">
      <c r="A19" s="5" t="s">
        <v>23</v>
      </c>
      <c r="B19" s="10">
        <v>0.24</v>
      </c>
      <c r="C19" s="5" t="s">
        <v>24</v>
      </c>
      <c r="D19" s="7"/>
      <c r="E19" s="7"/>
      <c r="F19" s="7"/>
    </row>
    <row r="20" ht="18.0" customHeight="1">
      <c r="A20" s="5" t="s">
        <v>25</v>
      </c>
      <c r="B20" s="10">
        <v>0.11</v>
      </c>
      <c r="C20" s="5" t="s">
        <v>26</v>
      </c>
      <c r="D20" s="11" t="s">
        <v>27</v>
      </c>
      <c r="E20" s="7"/>
      <c r="F20" s="7"/>
    </row>
    <row r="21" ht="18.0" customHeight="1">
      <c r="A21" s="5" t="s">
        <v>28</v>
      </c>
      <c r="B21" s="10">
        <v>0.2</v>
      </c>
      <c r="C21" s="5" t="s">
        <v>29</v>
      </c>
      <c r="D21" s="11" t="s">
        <v>30</v>
      </c>
      <c r="E21" s="7"/>
      <c r="F21" s="7"/>
    </row>
    <row r="22" ht="18.0" customHeight="1">
      <c r="A22" s="5" t="s">
        <v>31</v>
      </c>
      <c r="B22" s="12">
        <v>6.5</v>
      </c>
      <c r="C22" s="5" t="s">
        <v>32</v>
      </c>
      <c r="D22" s="11" t="s">
        <v>33</v>
      </c>
      <c r="E22" s="7"/>
      <c r="F22" s="7"/>
    </row>
    <row r="23" ht="18.0" customHeight="1">
      <c r="A23" s="5" t="s">
        <v>34</v>
      </c>
      <c r="B23" s="12">
        <v>9.0</v>
      </c>
      <c r="C23" s="5" t="s">
        <v>35</v>
      </c>
      <c r="D23" s="7"/>
      <c r="E23" s="7"/>
      <c r="F23" s="7"/>
    </row>
    <row r="24" ht="18.0" customHeight="1">
      <c r="A24" s="5" t="s">
        <v>36</v>
      </c>
      <c r="B24" s="10">
        <v>0.12</v>
      </c>
      <c r="C24" s="5" t="s">
        <v>37</v>
      </c>
      <c r="D24" s="7"/>
      <c r="E24" s="7"/>
      <c r="F24" s="7"/>
    </row>
    <row r="25" ht="18.0" customHeight="1">
      <c r="A25" s="5" t="s">
        <v>38</v>
      </c>
      <c r="B25" s="12">
        <v>6.0</v>
      </c>
      <c r="C25" s="5" t="s">
        <v>39</v>
      </c>
      <c r="D25" s="7"/>
      <c r="E25" s="7"/>
      <c r="F25" s="7"/>
    </row>
    <row r="26" ht="18.0" customHeight="1">
      <c r="A26" s="5" t="s">
        <v>40</v>
      </c>
      <c r="B26" s="12">
        <v>2.5</v>
      </c>
      <c r="C26" s="5" t="s">
        <v>41</v>
      </c>
      <c r="D26" s="7"/>
      <c r="E26" s="7"/>
      <c r="F26" s="7"/>
    </row>
    <row r="27" ht="18.0" customHeight="1">
      <c r="A27" s="7"/>
      <c r="B27" s="7"/>
      <c r="C27" s="7"/>
      <c r="D27" s="7"/>
      <c r="E27" s="7"/>
      <c r="F27" s="7"/>
    </row>
    <row r="28" ht="18.0" customHeight="1">
      <c r="A28" s="7"/>
      <c r="B28" s="7"/>
      <c r="C28" s="7"/>
      <c r="D28" s="7"/>
      <c r="E28" s="7"/>
      <c r="F28" s="7"/>
    </row>
    <row r="29" ht="18.0" customHeight="1">
      <c r="A29" s="4" t="s">
        <v>42</v>
      </c>
    </row>
    <row r="30" ht="18.0" customHeight="1">
      <c r="A30" s="5" t="s">
        <v>43</v>
      </c>
      <c r="B30" s="9">
        <v>1.25</v>
      </c>
      <c r="C30" s="5" t="s">
        <v>44</v>
      </c>
      <c r="D30" s="11" t="s">
        <v>45</v>
      </c>
      <c r="E30" s="7"/>
      <c r="F30" s="7"/>
    </row>
    <row r="31" ht="18.0" customHeight="1">
      <c r="A31" s="5" t="s">
        <v>46</v>
      </c>
      <c r="B31" s="10">
        <v>0.2</v>
      </c>
      <c r="C31" s="5" t="s">
        <v>47</v>
      </c>
      <c r="D31" s="11" t="s">
        <v>48</v>
      </c>
      <c r="E31" s="7"/>
      <c r="F31" s="7"/>
    </row>
    <row r="32" ht="18.0" customHeight="1">
      <c r="A32" s="5" t="s">
        <v>49</v>
      </c>
      <c r="B32" s="13">
        <v>0.145</v>
      </c>
      <c r="C32" s="5" t="s">
        <v>50</v>
      </c>
      <c r="D32" s="11" t="s">
        <v>51</v>
      </c>
      <c r="E32" s="7"/>
      <c r="F32" s="7"/>
    </row>
    <row r="33" ht="18.0" customHeight="1">
      <c r="A33" s="5" t="s">
        <v>52</v>
      </c>
      <c r="B33" s="9">
        <v>0.04</v>
      </c>
      <c r="C33" s="5" t="s">
        <v>53</v>
      </c>
      <c r="D33" s="7"/>
      <c r="E33" s="7"/>
      <c r="F33" s="7"/>
    </row>
    <row r="34" ht="18.0" customHeight="1">
      <c r="A34" s="5" t="s">
        <v>54</v>
      </c>
      <c r="B34" s="9">
        <v>0.55</v>
      </c>
      <c r="C34" s="5" t="s">
        <v>55</v>
      </c>
      <c r="D34" s="7"/>
      <c r="E34" s="7"/>
      <c r="F34" s="7"/>
    </row>
    <row r="35" ht="18.0" customHeight="1">
      <c r="A35" s="5" t="s">
        <v>56</v>
      </c>
      <c r="B35" s="14">
        <v>3.0</v>
      </c>
      <c r="C35" s="5" t="s">
        <v>57</v>
      </c>
      <c r="D35" s="7"/>
      <c r="E35" s="7"/>
      <c r="F35" s="7"/>
    </row>
    <row r="36" ht="18.0" customHeight="1">
      <c r="A36" s="5" t="s">
        <v>58</v>
      </c>
      <c r="B36" s="15">
        <v>7.0</v>
      </c>
      <c r="C36" s="5" t="s">
        <v>59</v>
      </c>
      <c r="D36" s="11" t="s">
        <v>60</v>
      </c>
      <c r="E36" s="7"/>
      <c r="F36" s="7"/>
    </row>
    <row r="37" ht="18.0" customHeight="1">
      <c r="A37" s="5" t="s">
        <v>61</v>
      </c>
      <c r="B37" s="16">
        <v>0.02</v>
      </c>
      <c r="C37" s="5" t="s">
        <v>62</v>
      </c>
      <c r="D37" s="7"/>
      <c r="E37" s="7"/>
      <c r="F37" s="7"/>
    </row>
    <row r="38" ht="18.0" customHeight="1">
      <c r="A38" s="7"/>
      <c r="B38" s="7"/>
      <c r="C38" s="7"/>
      <c r="D38" s="7"/>
      <c r="E38" s="7"/>
      <c r="F38" s="7"/>
    </row>
    <row r="39" ht="18.0" customHeight="1">
      <c r="A39" s="7"/>
      <c r="B39" s="7"/>
      <c r="C39" s="7"/>
      <c r="D39" s="7"/>
      <c r="E39" s="7"/>
      <c r="F39" s="7"/>
    </row>
    <row r="40" ht="18.0" customHeight="1">
      <c r="A40" s="7"/>
      <c r="B40" s="7"/>
      <c r="C40" s="7"/>
      <c r="D40" s="7"/>
      <c r="E40" s="7"/>
      <c r="F40" s="7"/>
    </row>
    <row r="41" ht="18.0" customHeight="1">
      <c r="A41" s="4" t="s">
        <v>63</v>
      </c>
    </row>
    <row r="42" ht="18.0" customHeight="1">
      <c r="A42" s="5" t="s">
        <v>64</v>
      </c>
      <c r="B42" s="16">
        <v>-0.05</v>
      </c>
      <c r="C42" s="5" t="s">
        <v>65</v>
      </c>
      <c r="D42" s="11" t="s">
        <v>66</v>
      </c>
      <c r="E42" s="7"/>
      <c r="F42" s="7"/>
    </row>
    <row r="43" ht="18.0" customHeight="1">
      <c r="A43" s="5" t="s">
        <v>67</v>
      </c>
      <c r="B43" s="10">
        <v>0.15</v>
      </c>
      <c r="C43" s="5" t="s">
        <v>68</v>
      </c>
      <c r="D43" s="11" t="s">
        <v>69</v>
      </c>
      <c r="E43" s="7"/>
      <c r="F43" s="7"/>
    </row>
    <row r="44" ht="18.0" customHeight="1">
      <c r="A44" s="5" t="s">
        <v>70</v>
      </c>
      <c r="B44" s="12">
        <v>4.5</v>
      </c>
      <c r="C44" s="5" t="s">
        <v>71</v>
      </c>
      <c r="D44" s="11" t="s">
        <v>72</v>
      </c>
      <c r="E44" s="7"/>
      <c r="F44" s="7"/>
    </row>
    <row r="45" ht="18.0" customHeight="1">
      <c r="A45" s="5" t="s">
        <v>73</v>
      </c>
      <c r="B45" s="16">
        <v>0.03</v>
      </c>
      <c r="C45" s="5" t="s">
        <v>74</v>
      </c>
      <c r="D45" s="11" t="s">
        <v>75</v>
      </c>
      <c r="E45" s="7"/>
      <c r="F45" s="7"/>
    </row>
    <row r="46" ht="18.0" customHeight="1">
      <c r="A46" s="5" t="s">
        <v>76</v>
      </c>
      <c r="B46" s="10">
        <v>0.23</v>
      </c>
      <c r="C46" s="5" t="s">
        <v>77</v>
      </c>
      <c r="D46" s="11" t="s">
        <v>78</v>
      </c>
      <c r="E46" s="7"/>
      <c r="F46" s="7"/>
    </row>
    <row r="47" ht="18.0" customHeight="1">
      <c r="A47" s="5" t="s">
        <v>79</v>
      </c>
      <c r="B47" s="12">
        <v>8.0</v>
      </c>
      <c r="C47" s="5" t="s">
        <v>80</v>
      </c>
      <c r="D47" s="11" t="s">
        <v>81</v>
      </c>
      <c r="E47" s="7"/>
      <c r="F47" s="7"/>
    </row>
    <row r="48" ht="18.0" customHeight="1">
      <c r="A48" s="7"/>
      <c r="B48" s="7"/>
      <c r="C48" s="7"/>
      <c r="D48" s="7"/>
      <c r="E48" s="7"/>
      <c r="F48" s="7"/>
    </row>
    <row r="49" ht="18.0" customHeight="1">
      <c r="A49" s="7"/>
      <c r="B49" s="7"/>
      <c r="C49" s="7"/>
      <c r="D49" s="7"/>
      <c r="E49" s="7"/>
      <c r="F49" s="7"/>
    </row>
    <row r="50" ht="18.0" customHeight="1">
      <c r="A50" s="7"/>
      <c r="B50" s="7"/>
      <c r="C50" s="7"/>
      <c r="D50" s="7"/>
      <c r="E50" s="7"/>
      <c r="F50" s="7"/>
    </row>
    <row r="51" ht="18.0" customHeight="1">
      <c r="A51" s="4" t="s">
        <v>82</v>
      </c>
    </row>
    <row r="52" ht="18.0" customHeight="1">
      <c r="A52" s="17" t="s">
        <v>83</v>
      </c>
    </row>
    <row r="53" ht="18.0" customHeight="1"/>
    <row r="54" ht="18.0" customHeight="1"/>
    <row r="55" ht="18.0"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A1:F1"/>
    <mergeCell ref="A2:F2"/>
    <mergeCell ref="A4:F4"/>
    <mergeCell ref="A18:F18"/>
    <mergeCell ref="A29:F29"/>
    <mergeCell ref="A41:F41"/>
    <mergeCell ref="A51:F51"/>
    <mergeCell ref="A52:F55"/>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2.0"/>
    <col customWidth="1" min="2" max="2" width="28.0"/>
    <col customWidth="1" min="3" max="11" width="12.0"/>
    <col customWidth="1" min="12" max="26" width="8.63"/>
  </cols>
  <sheetData>
    <row r="1" ht="27.75" customHeight="1">
      <c r="A1" s="18" t="s">
        <v>84</v>
      </c>
    </row>
    <row r="2" ht="24.0" customHeight="1">
      <c r="A2" s="3" t="s">
        <v>85</v>
      </c>
    </row>
    <row r="4" ht="18.0" customHeight="1">
      <c r="A4" s="4" t="s">
        <v>86</v>
      </c>
    </row>
    <row r="5" ht="19.5" customHeight="1">
      <c r="A5" s="5" t="s">
        <v>3</v>
      </c>
      <c r="B5" s="19" t="str">
        <f>'00 Control'!B5</f>
        <v>Build-A-Bear Workshop, Inc.</v>
      </c>
      <c r="E5" s="7"/>
      <c r="F5" s="7"/>
      <c r="G5" s="7"/>
      <c r="H5" s="7"/>
      <c r="I5" s="7"/>
      <c r="J5" s="7"/>
      <c r="K5" s="7"/>
    </row>
    <row r="6" ht="19.5" customHeight="1">
      <c r="A6" s="5" t="s">
        <v>6</v>
      </c>
      <c r="B6" s="20" t="str">
        <f>'00 Control'!B6</f>
        <v>BBW</v>
      </c>
      <c r="C6" s="7"/>
      <c r="D6" s="7"/>
      <c r="E6" s="7"/>
      <c r="F6" s="7"/>
      <c r="G6" s="7"/>
      <c r="H6" s="7"/>
      <c r="I6" s="7"/>
      <c r="J6" s="7"/>
      <c r="K6" s="7"/>
    </row>
    <row r="7" ht="19.5" customHeight="1">
      <c r="A7" s="5" t="s">
        <v>12</v>
      </c>
      <c r="B7" s="21">
        <f>'00 Control'!B9</f>
        <v>2025</v>
      </c>
      <c r="C7" s="7"/>
      <c r="D7" s="7"/>
      <c r="E7" s="7"/>
      <c r="F7" s="7"/>
      <c r="G7" s="7"/>
      <c r="H7" s="7"/>
      <c r="I7" s="7"/>
      <c r="J7" s="7"/>
      <c r="K7" s="7"/>
    </row>
    <row r="8" ht="19.5" customHeight="1">
      <c r="A8" s="5" t="s">
        <v>14</v>
      </c>
      <c r="B8" s="22">
        <f>'00 Control'!B10</f>
        <v>35.72</v>
      </c>
      <c r="C8" s="7"/>
      <c r="D8" s="7"/>
      <c r="E8" s="7"/>
      <c r="F8" s="7"/>
      <c r="G8" s="7"/>
      <c r="H8" s="7"/>
      <c r="I8" s="7"/>
      <c r="J8" s="7"/>
      <c r="K8" s="7"/>
    </row>
    <row r="9" ht="27.75" customHeight="1">
      <c r="A9" s="5" t="s">
        <v>87</v>
      </c>
      <c r="B9" s="23" t="str">
        <f>"Are the unit economics strong enough for new store growth to create value, or is this just a low-multiple value trap?"</f>
        <v>Are the unit economics strong enough for new store growth to create value, or is this just a low-multiple value trap?</v>
      </c>
    </row>
    <row r="10" ht="27.75" customHeight="1">
      <c r="A10" s="7"/>
    </row>
    <row r="11" ht="19.5" customHeight="1">
      <c r="A11" s="7"/>
      <c r="B11" s="7"/>
      <c r="C11" s="7"/>
      <c r="D11" s="7"/>
      <c r="E11" s="7"/>
      <c r="F11" s="7"/>
      <c r="G11" s="7"/>
      <c r="H11" s="7"/>
      <c r="I11" s="7"/>
      <c r="J11" s="7"/>
      <c r="K11" s="7"/>
    </row>
    <row r="12" ht="19.5" customHeight="1">
      <c r="A12" s="4" t="s">
        <v>88</v>
      </c>
    </row>
    <row r="13" ht="19.5" customHeight="1">
      <c r="A13" s="5" t="s">
        <v>89</v>
      </c>
      <c r="B13" s="22">
        <f>'12 Consolidated Valuation'!B23</f>
        <v>20.99098066</v>
      </c>
      <c r="C13" s="7"/>
      <c r="D13" s="7"/>
      <c r="E13" s="7"/>
      <c r="F13" s="7"/>
      <c r="G13" s="7"/>
      <c r="H13" s="7"/>
      <c r="I13" s="7"/>
      <c r="J13" s="7"/>
      <c r="K13" s="7"/>
    </row>
    <row r="14" ht="19.5" customHeight="1">
      <c r="A14" s="5" t="s">
        <v>90</v>
      </c>
      <c r="B14" s="22">
        <f>'12 Consolidated Valuation'!B25</f>
        <v>16.79278453</v>
      </c>
      <c r="C14" s="7"/>
      <c r="D14" s="7"/>
      <c r="E14" s="7"/>
      <c r="F14" s="7"/>
      <c r="G14" s="7"/>
      <c r="H14" s="7"/>
      <c r="I14" s="7"/>
      <c r="J14" s="7"/>
      <c r="K14" s="7"/>
    </row>
    <row r="15" ht="19.5" customHeight="1">
      <c r="A15" s="5" t="s">
        <v>91</v>
      </c>
      <c r="B15" s="24">
        <f>'12 Consolidated Valuation'!B27</f>
        <v>-0.412346566</v>
      </c>
      <c r="C15" s="7"/>
      <c r="D15" s="7"/>
      <c r="E15" s="7"/>
      <c r="F15" s="7"/>
      <c r="G15" s="7"/>
      <c r="H15" s="7"/>
      <c r="I15" s="7"/>
      <c r="J15" s="7"/>
      <c r="K15" s="7"/>
    </row>
    <row r="16" ht="19.5" customHeight="1">
      <c r="A16" s="5" t="s">
        <v>92</v>
      </c>
      <c r="B16" s="24">
        <f>'09 New Unit ROI'!B20</f>
        <v>0.2454545455</v>
      </c>
      <c r="C16" s="7"/>
      <c r="D16" s="7"/>
      <c r="E16" s="7"/>
      <c r="F16" s="7"/>
      <c r="G16" s="7"/>
      <c r="H16" s="7"/>
      <c r="I16" s="7"/>
      <c r="J16" s="7"/>
      <c r="K16" s="7"/>
    </row>
    <row r="17" ht="19.5" customHeight="1">
      <c r="A17" s="5" t="s">
        <v>93</v>
      </c>
      <c r="B17" s="24">
        <f>'14 Final Conclusion'!B10</f>
        <v>0.1354545455</v>
      </c>
      <c r="C17" s="7"/>
      <c r="D17" s="7"/>
      <c r="E17" s="7"/>
      <c r="F17" s="7"/>
      <c r="G17" s="7"/>
      <c r="H17" s="7"/>
      <c r="I17" s="7"/>
      <c r="J17" s="7"/>
      <c r="K17" s="7"/>
    </row>
    <row r="18" ht="19.5" customHeight="1">
      <c r="A18" s="5" t="s">
        <v>94</v>
      </c>
      <c r="B18" s="25">
        <f>'10 Mature Store Earnings'!B16</f>
        <v>37</v>
      </c>
      <c r="C18" s="7"/>
      <c r="D18" s="7"/>
      <c r="E18" s="7"/>
      <c r="F18" s="7"/>
      <c r="G18" s="7"/>
      <c r="H18" s="7"/>
      <c r="I18" s="7"/>
      <c r="J18" s="7"/>
      <c r="K18" s="7"/>
    </row>
    <row r="19" ht="27.75" customHeight="1">
      <c r="A19" s="5" t="s">
        <v>95</v>
      </c>
      <c r="B19" s="19" t="str">
        <f>'13 Downside Upside Cases'!B30</f>
        <v>Unit Economics Acceptable</v>
      </c>
      <c r="E19" s="7"/>
      <c r="F19" s="7"/>
      <c r="G19" s="7"/>
      <c r="H19" s="7"/>
      <c r="I19" s="7"/>
      <c r="J19" s="7"/>
      <c r="K19" s="7"/>
    </row>
    <row r="20" ht="27.75" customHeight="1">
      <c r="A20" s="5" t="s">
        <v>96</v>
      </c>
      <c r="B20" s="19" t="str">
        <f>'14 Final Conclusion'!B14</f>
        <v>Reject / Too Expensive</v>
      </c>
      <c r="E20" s="7"/>
      <c r="F20" s="7"/>
      <c r="G20" s="7"/>
      <c r="H20" s="7"/>
      <c r="I20" s="7"/>
      <c r="J20" s="7"/>
      <c r="K20" s="7"/>
    </row>
    <row r="21" ht="18.0" customHeight="1">
      <c r="A21" s="7"/>
      <c r="B21" s="7"/>
      <c r="C21" s="7"/>
      <c r="D21" s="7"/>
      <c r="E21" s="7"/>
      <c r="F21" s="7"/>
      <c r="G21" s="7"/>
      <c r="H21" s="7"/>
      <c r="I21" s="7"/>
      <c r="J21" s="7"/>
      <c r="K21" s="7"/>
    </row>
    <row r="22" ht="18.0" customHeight="1">
      <c r="A22" s="7"/>
      <c r="B22" s="7"/>
      <c r="C22" s="7"/>
      <c r="D22" s="7"/>
      <c r="E22" s="7"/>
      <c r="F22" s="7"/>
      <c r="G22" s="7"/>
      <c r="H22" s="7"/>
      <c r="I22" s="7"/>
      <c r="J22" s="7"/>
      <c r="K22" s="7"/>
    </row>
    <row r="23" ht="18.0" customHeight="1">
      <c r="A23" s="7"/>
      <c r="B23" s="7"/>
      <c r="C23" s="7"/>
      <c r="D23" s="7"/>
      <c r="E23" s="7"/>
      <c r="F23" s="7"/>
      <c r="G23" s="7"/>
      <c r="H23" s="7"/>
      <c r="I23" s="7"/>
      <c r="J23" s="7"/>
      <c r="K23" s="7"/>
    </row>
    <row r="24" ht="18.0" customHeight="1">
      <c r="A24" s="4" t="s">
        <v>97</v>
      </c>
    </row>
    <row r="25" ht="18.0" customHeight="1">
      <c r="A25" s="7" t="s">
        <v>98</v>
      </c>
    </row>
    <row r="26" ht="18.0" customHeight="1">
      <c r="A26" s="7" t="s">
        <v>99</v>
      </c>
    </row>
    <row r="27" ht="18.0" customHeight="1">
      <c r="A27" s="7" t="s">
        <v>100</v>
      </c>
    </row>
    <row r="28" ht="18.0" customHeight="1">
      <c r="A28" s="7" t="s">
        <v>101</v>
      </c>
    </row>
    <row r="29" ht="18.0" customHeight="1">
      <c r="A29" s="7" t="s">
        <v>102</v>
      </c>
    </row>
    <row r="30" ht="18.0" customHeight="1">
      <c r="A30" s="7" t="s">
        <v>103</v>
      </c>
    </row>
    <row r="31" ht="18.0" customHeight="1">
      <c r="A31" s="7" t="s">
        <v>104</v>
      </c>
    </row>
    <row r="32" ht="18.0" customHeight="1">
      <c r="A32" s="7"/>
      <c r="B32" s="7"/>
      <c r="C32" s="7"/>
      <c r="D32" s="7"/>
      <c r="E32" s="7"/>
      <c r="F32" s="7"/>
      <c r="G32" s="7"/>
      <c r="H32" s="7"/>
      <c r="I32" s="7"/>
      <c r="J32" s="7"/>
      <c r="K32" s="7"/>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A1:K1"/>
    <mergeCell ref="A2:K2"/>
    <mergeCell ref="A4:K4"/>
    <mergeCell ref="B5:D5"/>
    <mergeCell ref="B9:K10"/>
    <mergeCell ref="A12:K12"/>
    <mergeCell ref="B19:D19"/>
    <mergeCell ref="A30:K30"/>
    <mergeCell ref="A31:K31"/>
    <mergeCell ref="B20:D20"/>
    <mergeCell ref="A24:K24"/>
    <mergeCell ref="A25:K25"/>
    <mergeCell ref="A26:K26"/>
    <mergeCell ref="A27:K27"/>
    <mergeCell ref="A28:K28"/>
    <mergeCell ref="A29:K29"/>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105</v>
      </c>
    </row>
    <row r="2" ht="24.0" customHeight="1">
      <c r="A2" s="3" t="s">
        <v>106</v>
      </c>
    </row>
    <row r="4" ht="18.0" customHeight="1">
      <c r="A4" s="7"/>
      <c r="B4" s="26">
        <v>2016.0</v>
      </c>
      <c r="C4" s="26">
        <v>2017.0</v>
      </c>
      <c r="D4" s="26">
        <v>2018.0</v>
      </c>
      <c r="E4" s="26">
        <v>2019.0</v>
      </c>
      <c r="F4" s="26">
        <v>2020.0</v>
      </c>
      <c r="G4" s="26">
        <v>2021.0</v>
      </c>
      <c r="H4" s="26">
        <v>2022.0</v>
      </c>
      <c r="I4" s="26">
        <v>2023.0</v>
      </c>
      <c r="J4" s="26">
        <v>2024.0</v>
      </c>
      <c r="K4" s="26">
        <v>2025.0</v>
      </c>
    </row>
    <row r="5" ht="18.0" customHeight="1">
      <c r="A5" s="4" t="s">
        <v>107</v>
      </c>
    </row>
    <row r="6" ht="18.0" customHeight="1">
      <c r="A6" s="27" t="s">
        <v>108</v>
      </c>
      <c r="B6" s="9">
        <v>364.204</v>
      </c>
      <c r="C6" s="9">
        <v>357.866</v>
      </c>
      <c r="D6" s="9">
        <v>336.585</v>
      </c>
      <c r="E6" s="9">
        <v>338.543</v>
      </c>
      <c r="F6" s="9">
        <v>255.31</v>
      </c>
      <c r="G6" s="9">
        <v>411.522</v>
      </c>
      <c r="H6" s="9">
        <v>467.937</v>
      </c>
      <c r="I6" s="9">
        <v>486.114</v>
      </c>
      <c r="J6" s="9">
        <v>496.404</v>
      </c>
      <c r="K6" s="9">
        <v>529.832</v>
      </c>
    </row>
    <row r="7" ht="18.0" customHeight="1">
      <c r="A7" s="27" t="s">
        <v>109</v>
      </c>
      <c r="B7" s="28"/>
      <c r="C7" s="28">
        <f t="shared" ref="C7:K7" si="1">C6/B6-1</f>
        <v>-0.01740233496</v>
      </c>
      <c r="D7" s="28">
        <f t="shared" si="1"/>
        <v>-0.05946639245</v>
      </c>
      <c r="E7" s="28">
        <f t="shared" si="1"/>
        <v>0.0058172527</v>
      </c>
      <c r="F7" s="28">
        <f t="shared" si="1"/>
        <v>-0.2458565086</v>
      </c>
      <c r="G7" s="28">
        <f t="shared" si="1"/>
        <v>0.611852258</v>
      </c>
      <c r="H7" s="28">
        <f t="shared" si="1"/>
        <v>0.1370886611</v>
      </c>
      <c r="I7" s="28">
        <f t="shared" si="1"/>
        <v>0.03884497272</v>
      </c>
      <c r="J7" s="28">
        <f t="shared" si="1"/>
        <v>0.0211678742</v>
      </c>
      <c r="K7" s="28">
        <f t="shared" si="1"/>
        <v>0.06734031152</v>
      </c>
    </row>
    <row r="8" ht="18.0" customHeight="1">
      <c r="A8" s="27" t="s">
        <v>110</v>
      </c>
      <c r="B8" s="29">
        <v>166.037</v>
      </c>
      <c r="C8" s="29">
        <v>168.973</v>
      </c>
      <c r="D8" s="29">
        <v>138.754</v>
      </c>
      <c r="E8" s="29">
        <v>153.623</v>
      </c>
      <c r="F8" s="29">
        <v>97.409</v>
      </c>
      <c r="G8" s="29">
        <v>217.955</v>
      </c>
      <c r="H8" s="29">
        <v>245.872</v>
      </c>
      <c r="I8" s="9">
        <v>264.392</v>
      </c>
      <c r="J8" s="9">
        <v>272.518</v>
      </c>
      <c r="K8" s="9">
        <v>295.629</v>
      </c>
    </row>
    <row r="9" ht="18.0" customHeight="1">
      <c r="A9" s="27" t="s">
        <v>111</v>
      </c>
      <c r="B9" s="28">
        <f t="shared" ref="B9:K9" si="2">B8/B6</f>
        <v>0.4558901055</v>
      </c>
      <c r="C9" s="28">
        <f t="shared" si="2"/>
        <v>0.4721683535</v>
      </c>
      <c r="D9" s="28">
        <f t="shared" si="2"/>
        <v>0.412240593</v>
      </c>
      <c r="E9" s="28">
        <f t="shared" si="2"/>
        <v>0.4537769205</v>
      </c>
      <c r="F9" s="28">
        <f t="shared" si="2"/>
        <v>0.3815322549</v>
      </c>
      <c r="G9" s="28">
        <f t="shared" si="2"/>
        <v>0.5296314656</v>
      </c>
      <c r="H9" s="28">
        <f t="shared" si="2"/>
        <v>0.5254382534</v>
      </c>
      <c r="I9" s="28">
        <f t="shared" si="2"/>
        <v>0.543888882</v>
      </c>
      <c r="J9" s="28">
        <f t="shared" si="2"/>
        <v>0.5489842951</v>
      </c>
      <c r="K9" s="28">
        <f t="shared" si="2"/>
        <v>0.5579674312</v>
      </c>
    </row>
    <row r="10" ht="18.0" customHeight="1">
      <c r="A10" s="27" t="s">
        <v>112</v>
      </c>
      <c r="B10" s="29">
        <v>50.0</v>
      </c>
      <c r="C10" s="29">
        <v>48.1</v>
      </c>
      <c r="D10" s="29">
        <v>29.9</v>
      </c>
      <c r="E10" s="29">
        <v>43.1</v>
      </c>
      <c r="F10" s="29">
        <v>15.7</v>
      </c>
      <c r="G10" s="29">
        <v>91.7</v>
      </c>
      <c r="H10" s="29">
        <v>116.1</v>
      </c>
      <c r="I10" s="9">
        <v>121.6</v>
      </c>
      <c r="J10" s="9">
        <v>119.0</v>
      </c>
      <c r="K10" s="9">
        <v>126.0</v>
      </c>
    </row>
    <row r="11" ht="18.0" customHeight="1">
      <c r="A11" s="27" t="s">
        <v>113</v>
      </c>
      <c r="B11" s="28">
        <f t="shared" ref="B11:K11" si="3">B10/B6</f>
        <v>0.137285697</v>
      </c>
      <c r="C11" s="28">
        <f t="shared" si="3"/>
        <v>0.134407851</v>
      </c>
      <c r="D11" s="28">
        <f t="shared" si="3"/>
        <v>0.08883342989</v>
      </c>
      <c r="E11" s="28">
        <f t="shared" si="3"/>
        <v>0.1273102678</v>
      </c>
      <c r="F11" s="28">
        <f t="shared" si="3"/>
        <v>0.0614938702</v>
      </c>
      <c r="G11" s="28">
        <f t="shared" si="3"/>
        <v>0.2228313432</v>
      </c>
      <c r="H11" s="28">
        <f t="shared" si="3"/>
        <v>0.2481103225</v>
      </c>
      <c r="I11" s="28">
        <f t="shared" si="3"/>
        <v>0.2501470848</v>
      </c>
      <c r="J11" s="28">
        <f t="shared" si="3"/>
        <v>0.2397240957</v>
      </c>
      <c r="K11" s="28">
        <f t="shared" si="3"/>
        <v>0.2378112307</v>
      </c>
    </row>
    <row r="12" ht="18.0" customHeight="1">
      <c r="A12" s="27" t="s">
        <v>114</v>
      </c>
      <c r="B12" s="29">
        <v>58.2</v>
      </c>
      <c r="C12" s="29">
        <v>51.6</v>
      </c>
      <c r="D12" s="29">
        <v>49.9</v>
      </c>
      <c r="E12" s="29">
        <v>54.2</v>
      </c>
      <c r="F12" s="29">
        <v>44.6</v>
      </c>
      <c r="G12" s="29">
        <v>62.5</v>
      </c>
      <c r="H12" s="29">
        <v>65.3</v>
      </c>
      <c r="I12" s="9">
        <v>67.2</v>
      </c>
      <c r="J12" s="9">
        <v>71.0</v>
      </c>
      <c r="K12" s="9">
        <v>81.5</v>
      </c>
    </row>
    <row r="13" ht="18.0" customHeight="1">
      <c r="A13" s="27" t="s">
        <v>115</v>
      </c>
      <c r="B13" s="28">
        <f t="shared" ref="B13:K13" si="4">B12/B6</f>
        <v>0.1598005513</v>
      </c>
      <c r="C13" s="28">
        <f t="shared" si="4"/>
        <v>0.144188048</v>
      </c>
      <c r="D13" s="28">
        <f t="shared" si="4"/>
        <v>0.1482537843</v>
      </c>
      <c r="E13" s="28">
        <f t="shared" si="4"/>
        <v>0.160097831</v>
      </c>
      <c r="F13" s="28">
        <f t="shared" si="4"/>
        <v>0.174689593</v>
      </c>
      <c r="G13" s="28">
        <f t="shared" si="4"/>
        <v>0.1518752339</v>
      </c>
      <c r="H13" s="28">
        <f t="shared" si="4"/>
        <v>0.1395486999</v>
      </c>
      <c r="I13" s="28">
        <f t="shared" si="4"/>
        <v>0.1382391785</v>
      </c>
      <c r="J13" s="28">
        <f t="shared" si="4"/>
        <v>0.1430286621</v>
      </c>
      <c r="K13" s="28">
        <f t="shared" si="4"/>
        <v>0.1538223437</v>
      </c>
    </row>
    <row r="14" ht="18.0" customHeight="1">
      <c r="A14" s="27" t="s">
        <v>116</v>
      </c>
      <c r="B14" s="30">
        <f t="shared" ref="B14:K14" si="5">B17+B16</f>
        <v>14.874</v>
      </c>
      <c r="C14" s="30">
        <f t="shared" si="5"/>
        <v>29.989</v>
      </c>
      <c r="D14" s="30">
        <f t="shared" si="5"/>
        <v>-2.38</v>
      </c>
      <c r="E14" s="30">
        <f t="shared" si="5"/>
        <v>15.281</v>
      </c>
      <c r="F14" s="30">
        <f t="shared" si="5"/>
        <v>-6.884</v>
      </c>
      <c r="G14" s="30">
        <f t="shared" si="5"/>
        <v>62.981</v>
      </c>
      <c r="H14" s="30">
        <f t="shared" si="5"/>
        <v>74.425</v>
      </c>
      <c r="I14" s="30">
        <f t="shared" si="5"/>
        <v>79.057</v>
      </c>
      <c r="J14" s="30">
        <f t="shared" si="5"/>
        <v>81.052</v>
      </c>
      <c r="K14" s="30">
        <f t="shared" si="5"/>
        <v>81.378</v>
      </c>
    </row>
    <row r="15" ht="18.0" customHeight="1">
      <c r="A15" s="27" t="s">
        <v>117</v>
      </c>
      <c r="B15" s="28">
        <f t="shared" ref="B15:K15" si="6">B14/B6</f>
        <v>0.04083974915</v>
      </c>
      <c r="C15" s="28">
        <f t="shared" si="6"/>
        <v>0.08379952273</v>
      </c>
      <c r="D15" s="28">
        <f t="shared" si="6"/>
        <v>-0.007071022179</v>
      </c>
      <c r="E15" s="28">
        <f t="shared" si="6"/>
        <v>0.0451375453</v>
      </c>
      <c r="F15" s="28">
        <f t="shared" si="6"/>
        <v>-0.02696329952</v>
      </c>
      <c r="G15" s="28">
        <f t="shared" si="6"/>
        <v>0.1530440657</v>
      </c>
      <c r="H15" s="28">
        <f t="shared" si="6"/>
        <v>0.1590491882</v>
      </c>
      <c r="I15" s="28">
        <f t="shared" si="6"/>
        <v>0.1626305764</v>
      </c>
      <c r="J15" s="28">
        <f t="shared" si="6"/>
        <v>0.1632782975</v>
      </c>
      <c r="K15" s="28">
        <f t="shared" si="6"/>
        <v>0.153592082</v>
      </c>
    </row>
    <row r="16" ht="18.0" customHeight="1">
      <c r="A16" s="27" t="s">
        <v>118</v>
      </c>
      <c r="B16" s="9">
        <v>16.171</v>
      </c>
      <c r="C16" s="9">
        <v>16.165</v>
      </c>
      <c r="D16" s="9">
        <v>16.042</v>
      </c>
      <c r="E16" s="9">
        <v>13.705</v>
      </c>
      <c r="F16" s="9">
        <v>13.292</v>
      </c>
      <c r="G16" s="9">
        <v>12.276</v>
      </c>
      <c r="H16" s="9">
        <v>12.482</v>
      </c>
      <c r="I16" s="9">
        <v>13.657</v>
      </c>
      <c r="J16" s="9">
        <v>14.772</v>
      </c>
      <c r="K16" s="9">
        <v>14.952</v>
      </c>
    </row>
    <row r="17" ht="18.0" customHeight="1">
      <c r="A17" s="27" t="s">
        <v>119</v>
      </c>
      <c r="B17" s="9">
        <v>-1.297</v>
      </c>
      <c r="C17" s="9">
        <v>13.824</v>
      </c>
      <c r="D17" s="9">
        <v>-18.422</v>
      </c>
      <c r="E17" s="9">
        <v>1.576</v>
      </c>
      <c r="F17" s="9">
        <v>-20.176</v>
      </c>
      <c r="G17" s="9">
        <v>50.705</v>
      </c>
      <c r="H17" s="9">
        <v>61.943</v>
      </c>
      <c r="I17" s="9">
        <v>65.4</v>
      </c>
      <c r="J17" s="9">
        <v>66.28</v>
      </c>
      <c r="K17" s="9">
        <v>66.426</v>
      </c>
    </row>
    <row r="18" ht="18.0" customHeight="1">
      <c r="A18" s="27" t="s">
        <v>120</v>
      </c>
      <c r="B18" s="28">
        <f t="shared" ref="B18:K18" si="7">B17/B6</f>
        <v>-0.003561190981</v>
      </c>
      <c r="C18" s="28">
        <f t="shared" si="7"/>
        <v>0.03862898403</v>
      </c>
      <c r="D18" s="28">
        <f t="shared" si="7"/>
        <v>-0.05473208848</v>
      </c>
      <c r="E18" s="28">
        <f t="shared" si="7"/>
        <v>0.004655243204</v>
      </c>
      <c r="F18" s="28">
        <f t="shared" si="7"/>
        <v>-0.07902549841</v>
      </c>
      <c r="G18" s="28">
        <f t="shared" si="7"/>
        <v>0.1232133397</v>
      </c>
      <c r="H18" s="28">
        <f t="shared" si="7"/>
        <v>0.1323746573</v>
      </c>
      <c r="I18" s="28">
        <f t="shared" si="7"/>
        <v>0.1345363433</v>
      </c>
      <c r="J18" s="28">
        <f t="shared" si="7"/>
        <v>0.1335202778</v>
      </c>
      <c r="K18" s="28">
        <f t="shared" si="7"/>
        <v>0.125371816</v>
      </c>
    </row>
    <row r="19" ht="18.0" customHeight="1">
      <c r="A19" s="27" t="s">
        <v>121</v>
      </c>
      <c r="B19" s="9">
        <v>0.005</v>
      </c>
      <c r="C19" s="9">
        <v>0.011</v>
      </c>
      <c r="D19" s="9">
        <v>0.085</v>
      </c>
      <c r="E19" s="9">
        <v>0.01</v>
      </c>
      <c r="F19" s="9">
        <v>0.015</v>
      </c>
      <c r="G19" s="9">
        <v>-0.005</v>
      </c>
      <c r="H19" s="9">
        <v>0.019</v>
      </c>
      <c r="I19" s="9">
        <v>-0.929</v>
      </c>
      <c r="J19" s="9">
        <v>-0.861</v>
      </c>
      <c r="K19" s="9">
        <v>-0.801</v>
      </c>
    </row>
    <row r="20" ht="18.0" customHeight="1">
      <c r="A20" s="27" t="s">
        <v>122</v>
      </c>
      <c r="B20" s="30">
        <f t="shared" ref="B20:K20" si="8">B17-B19</f>
        <v>-1.302</v>
      </c>
      <c r="C20" s="30">
        <f t="shared" si="8"/>
        <v>13.813</v>
      </c>
      <c r="D20" s="30">
        <f t="shared" si="8"/>
        <v>-18.507</v>
      </c>
      <c r="E20" s="30">
        <f t="shared" si="8"/>
        <v>1.566</v>
      </c>
      <c r="F20" s="30">
        <f t="shared" si="8"/>
        <v>-20.191</v>
      </c>
      <c r="G20" s="30">
        <f t="shared" si="8"/>
        <v>50.71</v>
      </c>
      <c r="H20" s="30">
        <f t="shared" si="8"/>
        <v>61.924</v>
      </c>
      <c r="I20" s="30">
        <f t="shared" si="8"/>
        <v>66.329</v>
      </c>
      <c r="J20" s="30">
        <f t="shared" si="8"/>
        <v>67.141</v>
      </c>
      <c r="K20" s="30">
        <f t="shared" si="8"/>
        <v>67.227</v>
      </c>
    </row>
    <row r="21" ht="18.0" customHeight="1">
      <c r="A21" s="31" t="s">
        <v>123</v>
      </c>
      <c r="B21" s="32">
        <f>MAX(0,B20*'00 Control'!$B$19)</f>
        <v>0</v>
      </c>
      <c r="C21" s="32">
        <f>MAX(0,C20*'00 Control'!$B$19)</f>
        <v>3.31512</v>
      </c>
      <c r="D21" s="32">
        <f>MAX(0,D20*'00 Control'!$B$19)</f>
        <v>0</v>
      </c>
      <c r="E21" s="32">
        <f>MAX(0,E20*'00 Control'!$B$19)</f>
        <v>0.37584</v>
      </c>
      <c r="F21" s="32">
        <f>MAX(0,F20*'00 Control'!$B$19)</f>
        <v>0</v>
      </c>
      <c r="G21" s="32">
        <f>MAX(0,G20*'00 Control'!$B$19)</f>
        <v>12.1704</v>
      </c>
      <c r="H21" s="32">
        <f>MAX(0,H20*'00 Control'!$B$19)</f>
        <v>14.86176</v>
      </c>
      <c r="I21" s="32">
        <f>MAX(0,I20*'00 Control'!$B$19)</f>
        <v>15.91896</v>
      </c>
      <c r="J21" s="32">
        <f>MAX(0,J20*'00 Control'!$B$19)</f>
        <v>16.11384</v>
      </c>
      <c r="K21" s="32">
        <f>MAX(0,K20*'00 Control'!$B$19)</f>
        <v>16.13448</v>
      </c>
      <c r="L21" s="33"/>
      <c r="M21" s="33"/>
      <c r="N21" s="33"/>
      <c r="O21" s="33"/>
      <c r="P21" s="33"/>
      <c r="Q21" s="33"/>
      <c r="R21" s="33"/>
      <c r="S21" s="33"/>
      <c r="T21" s="33"/>
      <c r="U21" s="33"/>
      <c r="V21" s="33"/>
      <c r="W21" s="33"/>
      <c r="X21" s="33"/>
      <c r="Y21" s="33"/>
      <c r="Z21" s="33"/>
    </row>
    <row r="22" ht="18.0" customHeight="1">
      <c r="A22" s="27" t="s">
        <v>124</v>
      </c>
      <c r="B22" s="34">
        <v>1.377</v>
      </c>
      <c r="C22" s="34">
        <v>7.916</v>
      </c>
      <c r="D22" s="34">
        <v>-17.933</v>
      </c>
      <c r="E22" s="34">
        <v>0.201</v>
      </c>
      <c r="F22" s="34">
        <v>-23.584</v>
      </c>
      <c r="G22" s="34">
        <v>47.41</v>
      </c>
      <c r="H22" s="34">
        <v>48.181</v>
      </c>
      <c r="I22" s="34">
        <v>52.805</v>
      </c>
      <c r="J22" s="34">
        <v>51.785</v>
      </c>
      <c r="K22" s="34">
        <v>52.203</v>
      </c>
    </row>
    <row r="23" ht="18.0" customHeight="1">
      <c r="A23" s="27" t="s">
        <v>125</v>
      </c>
      <c r="B23" s="28">
        <f t="shared" ref="B23:K23" si="9">B22/B6</f>
        <v>0.003780848096</v>
      </c>
      <c r="C23" s="28">
        <f t="shared" si="9"/>
        <v>0.0221200114</v>
      </c>
      <c r="D23" s="28">
        <f t="shared" si="9"/>
        <v>-0.05327926081</v>
      </c>
      <c r="E23" s="28">
        <f t="shared" si="9"/>
        <v>0.0005937207386</v>
      </c>
      <c r="F23" s="28">
        <f t="shared" si="9"/>
        <v>-0.09237397673</v>
      </c>
      <c r="G23" s="28">
        <f t="shared" si="9"/>
        <v>0.1152064774</v>
      </c>
      <c r="H23" s="28">
        <f t="shared" si="9"/>
        <v>0.1029647153</v>
      </c>
      <c r="I23" s="28">
        <f t="shared" si="9"/>
        <v>0.108626783</v>
      </c>
      <c r="J23" s="28">
        <f t="shared" si="9"/>
        <v>0.1043202714</v>
      </c>
      <c r="K23" s="28">
        <f t="shared" si="9"/>
        <v>0.09852745776</v>
      </c>
    </row>
    <row r="24" ht="18.0" customHeight="1">
      <c r="A24" s="27" t="s">
        <v>126</v>
      </c>
      <c r="B24" s="9">
        <v>16.014</v>
      </c>
      <c r="C24" s="9">
        <v>21.088</v>
      </c>
      <c r="D24" s="9">
        <v>9.683</v>
      </c>
      <c r="E24" s="9">
        <v>21.609</v>
      </c>
      <c r="F24" s="9">
        <v>13.386</v>
      </c>
      <c r="G24" s="9">
        <v>28.077</v>
      </c>
      <c r="H24" s="9">
        <v>47.276</v>
      </c>
      <c r="I24" s="9">
        <v>64.31</v>
      </c>
      <c r="J24" s="9">
        <v>47.087</v>
      </c>
      <c r="K24" s="9">
        <v>65.052</v>
      </c>
    </row>
    <row r="25" ht="18.0" customHeight="1">
      <c r="A25" s="27" t="s">
        <v>127</v>
      </c>
      <c r="B25" s="9">
        <v>27.251</v>
      </c>
      <c r="C25" s="9">
        <v>17.763</v>
      </c>
      <c r="D25" s="9">
        <v>11.253</v>
      </c>
      <c r="E25" s="9">
        <v>12.384</v>
      </c>
      <c r="F25" s="9">
        <v>5.046</v>
      </c>
      <c r="G25" s="9">
        <v>8.13</v>
      </c>
      <c r="H25" s="9">
        <v>13.634</v>
      </c>
      <c r="I25" s="9">
        <v>18.295</v>
      </c>
      <c r="J25" s="9">
        <v>19.317</v>
      </c>
      <c r="K25" s="9">
        <v>25.545</v>
      </c>
    </row>
    <row r="26" ht="18.0" customHeight="1">
      <c r="A26" s="27" t="s">
        <v>128</v>
      </c>
      <c r="B26" s="30">
        <f t="shared" ref="B26:K26" si="10">B24-B25</f>
        <v>-11.237</v>
      </c>
      <c r="C26" s="30">
        <f t="shared" si="10"/>
        <v>3.325</v>
      </c>
      <c r="D26" s="30">
        <f t="shared" si="10"/>
        <v>-1.57</v>
      </c>
      <c r="E26" s="30">
        <f t="shared" si="10"/>
        <v>9.225</v>
      </c>
      <c r="F26" s="30">
        <f t="shared" si="10"/>
        <v>8.34</v>
      </c>
      <c r="G26" s="30">
        <f t="shared" si="10"/>
        <v>19.947</v>
      </c>
      <c r="H26" s="30">
        <f t="shared" si="10"/>
        <v>33.642</v>
      </c>
      <c r="I26" s="30">
        <f t="shared" si="10"/>
        <v>46.015</v>
      </c>
      <c r="J26" s="30">
        <f t="shared" si="10"/>
        <v>27.77</v>
      </c>
      <c r="K26" s="30">
        <f t="shared" si="10"/>
        <v>39.507</v>
      </c>
    </row>
    <row r="27" ht="18.0" customHeight="1">
      <c r="A27" s="27" t="s">
        <v>129</v>
      </c>
      <c r="B27" s="28">
        <f t="shared" ref="B27:K27" si="11">B26/B6</f>
        <v>-0.03085358755</v>
      </c>
      <c r="C27" s="28">
        <f t="shared" si="11"/>
        <v>0.009291187204</v>
      </c>
      <c r="D27" s="28">
        <f t="shared" si="11"/>
        <v>-0.004664497824</v>
      </c>
      <c r="E27" s="28">
        <f t="shared" si="11"/>
        <v>0.02724912345</v>
      </c>
      <c r="F27" s="28">
        <f t="shared" si="11"/>
        <v>0.03266617054</v>
      </c>
      <c r="G27" s="28">
        <f t="shared" si="11"/>
        <v>0.04847128465</v>
      </c>
      <c r="H27" s="28">
        <f t="shared" si="11"/>
        <v>0.07189429346</v>
      </c>
      <c r="I27" s="28">
        <f t="shared" si="11"/>
        <v>0.09465886603</v>
      </c>
      <c r="J27" s="28">
        <f t="shared" si="11"/>
        <v>0.05594233729</v>
      </c>
      <c r="K27" s="28">
        <f t="shared" si="11"/>
        <v>0.07456514518</v>
      </c>
    </row>
    <row r="28" ht="18.0" customHeight="1">
      <c r="A28" s="7"/>
      <c r="B28" s="7"/>
      <c r="C28" s="7"/>
      <c r="D28" s="7"/>
      <c r="E28" s="7"/>
      <c r="F28" s="7"/>
      <c r="G28" s="7"/>
      <c r="H28" s="7"/>
      <c r="I28" s="7"/>
      <c r="J28" s="7"/>
      <c r="K28" s="7"/>
    </row>
    <row r="29" ht="18.0" customHeight="1">
      <c r="A29" s="7"/>
      <c r="B29" s="7"/>
      <c r="C29" s="7"/>
      <c r="D29" s="7"/>
      <c r="E29" s="7"/>
      <c r="F29" s="7"/>
      <c r="G29" s="7"/>
      <c r="H29" s="7"/>
      <c r="I29" s="7"/>
      <c r="J29" s="7"/>
      <c r="K29" s="7"/>
    </row>
    <row r="30" ht="18.0" customHeight="1">
      <c r="A30" s="4" t="s">
        <v>130</v>
      </c>
    </row>
    <row r="31" ht="18.0" customHeight="1">
      <c r="A31" s="27" t="s">
        <v>17</v>
      </c>
      <c r="B31" s="9">
        <v>32.483</v>
      </c>
      <c r="C31" s="9">
        <v>30.445</v>
      </c>
      <c r="D31" s="9">
        <v>17.894</v>
      </c>
      <c r="E31" s="9">
        <v>26.726</v>
      </c>
      <c r="F31" s="9">
        <v>34.84</v>
      </c>
      <c r="G31" s="9">
        <v>32.845</v>
      </c>
      <c r="H31" s="9">
        <v>42.198</v>
      </c>
      <c r="I31" s="9">
        <v>44.327</v>
      </c>
      <c r="J31" s="9">
        <v>27.758</v>
      </c>
      <c r="K31" s="9">
        <v>26.755</v>
      </c>
    </row>
    <row r="32" ht="18.0" customHeight="1">
      <c r="A32" s="27" t="s">
        <v>19</v>
      </c>
      <c r="B32" s="9">
        <v>0.0</v>
      </c>
      <c r="C32" s="9">
        <v>0.0</v>
      </c>
      <c r="D32" s="9">
        <v>0.0</v>
      </c>
      <c r="E32" s="9">
        <v>0.0</v>
      </c>
      <c r="F32" s="9">
        <v>0.0</v>
      </c>
      <c r="G32" s="9">
        <v>0.0</v>
      </c>
      <c r="H32" s="9">
        <v>0.0</v>
      </c>
      <c r="I32" s="9">
        <v>0.0</v>
      </c>
      <c r="J32" s="9">
        <v>0.0</v>
      </c>
      <c r="K32" s="9">
        <v>0.0</v>
      </c>
    </row>
    <row r="33" ht="18.0" customHeight="1">
      <c r="A33" s="27" t="s">
        <v>20</v>
      </c>
      <c r="B33" s="9">
        <v>220.0</v>
      </c>
      <c r="C33" s="9">
        <v>233.9</v>
      </c>
      <c r="D33" s="9">
        <v>212.9</v>
      </c>
      <c r="E33" s="9">
        <v>150.5</v>
      </c>
      <c r="F33" s="9">
        <v>133.9</v>
      </c>
      <c r="G33" s="9">
        <v>98.6</v>
      </c>
      <c r="H33" s="9">
        <v>86.5</v>
      </c>
      <c r="I33" s="9">
        <v>83.6</v>
      </c>
      <c r="J33" s="9">
        <v>97.0</v>
      </c>
      <c r="K33" s="9">
        <v>127.3</v>
      </c>
    </row>
    <row r="34" ht="18.0" customHeight="1">
      <c r="A34" s="27" t="s">
        <v>131</v>
      </c>
      <c r="B34" s="9">
        <v>99.112</v>
      </c>
      <c r="C34" s="9">
        <v>107.315</v>
      </c>
      <c r="D34" s="9">
        <v>94.314</v>
      </c>
      <c r="E34" s="9">
        <v>88.631</v>
      </c>
      <c r="F34" s="9">
        <v>67.308</v>
      </c>
      <c r="G34" s="9">
        <v>93.683</v>
      </c>
      <c r="H34" s="9">
        <v>119.117</v>
      </c>
      <c r="I34" s="9">
        <v>129.662</v>
      </c>
      <c r="J34" s="9">
        <v>139.082</v>
      </c>
      <c r="K34" s="9">
        <v>155.028</v>
      </c>
    </row>
    <row r="35" ht="18.0" customHeight="1">
      <c r="A35" s="27" t="s">
        <v>15</v>
      </c>
      <c r="B35" s="9">
        <v>15.622</v>
      </c>
      <c r="C35" s="9">
        <v>15.757</v>
      </c>
      <c r="D35" s="9">
        <v>14.591</v>
      </c>
      <c r="E35" s="9">
        <v>14.759</v>
      </c>
      <c r="F35" s="9">
        <v>14.923</v>
      </c>
      <c r="G35" s="9">
        <v>16.122</v>
      </c>
      <c r="H35" s="9">
        <v>15.249</v>
      </c>
      <c r="I35" s="9">
        <v>14.471</v>
      </c>
      <c r="J35" s="9">
        <v>13.621</v>
      </c>
      <c r="K35" s="9">
        <v>13.083</v>
      </c>
    </row>
    <row r="36" ht="18.0" customHeight="1">
      <c r="A36" s="27" t="s">
        <v>132</v>
      </c>
      <c r="B36" s="35">
        <f t="shared" ref="B36:K36" si="12">B22/B35</f>
        <v>0.08814492383</v>
      </c>
      <c r="C36" s="35">
        <f t="shared" si="12"/>
        <v>0.5023798946</v>
      </c>
      <c r="D36" s="35">
        <f t="shared" si="12"/>
        <v>-1.229045302</v>
      </c>
      <c r="E36" s="35">
        <f t="shared" si="12"/>
        <v>0.01361880886</v>
      </c>
      <c r="F36" s="35">
        <f t="shared" si="12"/>
        <v>-1.58037928</v>
      </c>
      <c r="G36" s="35">
        <f t="shared" si="12"/>
        <v>2.940702146</v>
      </c>
      <c r="H36" s="35">
        <f t="shared" si="12"/>
        <v>3.159617024</v>
      </c>
      <c r="I36" s="35">
        <f t="shared" si="12"/>
        <v>3.649022182</v>
      </c>
      <c r="J36" s="35">
        <f t="shared" si="12"/>
        <v>3.801850084</v>
      </c>
      <c r="K36" s="35">
        <f t="shared" si="12"/>
        <v>3.990139876</v>
      </c>
    </row>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K1"/>
    <mergeCell ref="A2:K2"/>
    <mergeCell ref="A5:K5"/>
    <mergeCell ref="A30:K30"/>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133</v>
      </c>
    </row>
    <row r="2" ht="24.0" customHeight="1">
      <c r="A2" s="3" t="s">
        <v>134</v>
      </c>
    </row>
    <row r="4" ht="18.0" customHeight="1">
      <c r="A4" s="7"/>
      <c r="B4" s="26">
        <v>2016.0</v>
      </c>
      <c r="C4" s="26">
        <v>2017.0</v>
      </c>
      <c r="D4" s="26">
        <v>2018.0</v>
      </c>
      <c r="E4" s="26">
        <v>2019.0</v>
      </c>
      <c r="F4" s="26">
        <v>2020.0</v>
      </c>
      <c r="G4" s="26">
        <v>2021.0</v>
      </c>
      <c r="H4" s="26">
        <v>2022.0</v>
      </c>
      <c r="I4" s="26">
        <v>2023.0</v>
      </c>
      <c r="J4" s="26">
        <v>2024.0</v>
      </c>
      <c r="K4" s="26">
        <v>2025.0</v>
      </c>
    </row>
    <row r="5" ht="18.0" customHeight="1">
      <c r="A5" s="4" t="s">
        <v>135</v>
      </c>
    </row>
    <row r="6" ht="18.0" customHeight="1">
      <c r="A6" s="27" t="s">
        <v>136</v>
      </c>
      <c r="B6" s="15">
        <v>329.0</v>
      </c>
      <c r="C6" s="21">
        <f t="shared" ref="C6:K6" si="1">B9</f>
        <v>346</v>
      </c>
      <c r="D6" s="21">
        <f t="shared" si="1"/>
        <v>361</v>
      </c>
      <c r="E6" s="21">
        <f t="shared" si="1"/>
        <v>373</v>
      </c>
      <c r="F6" s="21">
        <f t="shared" si="1"/>
        <v>372</v>
      </c>
      <c r="G6" s="21">
        <f t="shared" si="1"/>
        <v>354</v>
      </c>
      <c r="H6" s="21">
        <f t="shared" si="1"/>
        <v>346</v>
      </c>
      <c r="I6" s="21">
        <f t="shared" si="1"/>
        <v>350</v>
      </c>
      <c r="J6" s="21">
        <f t="shared" si="1"/>
        <v>359</v>
      </c>
      <c r="K6" s="21">
        <f t="shared" si="1"/>
        <v>368</v>
      </c>
    </row>
    <row r="7" ht="18.0" customHeight="1">
      <c r="A7" s="27" t="s">
        <v>137</v>
      </c>
      <c r="B7" s="15">
        <v>35.0</v>
      </c>
      <c r="C7" s="15">
        <v>41.0</v>
      </c>
      <c r="D7" s="15">
        <v>45.0</v>
      </c>
      <c r="E7" s="15">
        <v>19.0</v>
      </c>
      <c r="F7" s="15">
        <v>3.0</v>
      </c>
      <c r="G7" s="15">
        <v>5.0</v>
      </c>
      <c r="H7" s="15">
        <v>12.0</v>
      </c>
      <c r="I7" s="15">
        <v>11.0</v>
      </c>
      <c r="J7" s="15">
        <v>17.0</v>
      </c>
      <c r="K7" s="15">
        <v>9.0</v>
      </c>
    </row>
    <row r="8" ht="18.0" customHeight="1">
      <c r="A8" s="27" t="s">
        <v>138</v>
      </c>
      <c r="B8" s="15">
        <v>18.0</v>
      </c>
      <c r="C8" s="15">
        <v>26.0</v>
      </c>
      <c r="D8" s="15">
        <v>33.0</v>
      </c>
      <c r="E8" s="15">
        <v>20.0</v>
      </c>
      <c r="F8" s="15">
        <v>21.0</v>
      </c>
      <c r="G8" s="15">
        <v>13.0</v>
      </c>
      <c r="H8" s="15">
        <v>8.0</v>
      </c>
      <c r="I8" s="15">
        <v>2.0</v>
      </c>
      <c r="J8" s="15">
        <v>8.0</v>
      </c>
      <c r="K8" s="15">
        <v>2.0</v>
      </c>
    </row>
    <row r="9" ht="18.0" customHeight="1">
      <c r="A9" s="27" t="s">
        <v>139</v>
      </c>
      <c r="B9" s="36">
        <f t="shared" ref="B9:K9" si="2">B6+B7-B8</f>
        <v>346</v>
      </c>
      <c r="C9" s="36">
        <f t="shared" si="2"/>
        <v>361</v>
      </c>
      <c r="D9" s="36">
        <f t="shared" si="2"/>
        <v>373</v>
      </c>
      <c r="E9" s="36">
        <f t="shared" si="2"/>
        <v>372</v>
      </c>
      <c r="F9" s="36">
        <f t="shared" si="2"/>
        <v>354</v>
      </c>
      <c r="G9" s="36">
        <f t="shared" si="2"/>
        <v>346</v>
      </c>
      <c r="H9" s="36">
        <f t="shared" si="2"/>
        <v>350</v>
      </c>
      <c r="I9" s="36">
        <f t="shared" si="2"/>
        <v>359</v>
      </c>
      <c r="J9" s="36">
        <f t="shared" si="2"/>
        <v>368</v>
      </c>
      <c r="K9" s="36">
        <f t="shared" si="2"/>
        <v>375</v>
      </c>
    </row>
    <row r="10" ht="18.0" customHeight="1">
      <c r="A10" s="27" t="s">
        <v>140</v>
      </c>
      <c r="B10" s="30">
        <f t="shared" ref="B10:K10" si="3">AVERAGE(B6,B9)</f>
        <v>337.5</v>
      </c>
      <c r="C10" s="30">
        <f t="shared" si="3"/>
        <v>353.5</v>
      </c>
      <c r="D10" s="30">
        <f t="shared" si="3"/>
        <v>367</v>
      </c>
      <c r="E10" s="30">
        <f t="shared" si="3"/>
        <v>372.5</v>
      </c>
      <c r="F10" s="30">
        <f t="shared" si="3"/>
        <v>363</v>
      </c>
      <c r="G10" s="30">
        <f t="shared" si="3"/>
        <v>350</v>
      </c>
      <c r="H10" s="30">
        <f t="shared" si="3"/>
        <v>348</v>
      </c>
      <c r="I10" s="30">
        <f t="shared" si="3"/>
        <v>354.5</v>
      </c>
      <c r="J10" s="30">
        <f t="shared" si="3"/>
        <v>363.5</v>
      </c>
      <c r="K10" s="30">
        <f t="shared" si="3"/>
        <v>371.5</v>
      </c>
    </row>
    <row r="11" ht="18.0" customHeight="1">
      <c r="A11" s="27" t="s">
        <v>141</v>
      </c>
      <c r="B11" s="36">
        <f t="shared" ref="B11:K11" si="4">B7-B8</f>
        <v>17</v>
      </c>
      <c r="C11" s="36">
        <f t="shared" si="4"/>
        <v>15</v>
      </c>
      <c r="D11" s="36">
        <f t="shared" si="4"/>
        <v>12</v>
      </c>
      <c r="E11" s="36">
        <f t="shared" si="4"/>
        <v>-1</v>
      </c>
      <c r="F11" s="36">
        <f t="shared" si="4"/>
        <v>-18</v>
      </c>
      <c r="G11" s="36">
        <f t="shared" si="4"/>
        <v>-8</v>
      </c>
      <c r="H11" s="36">
        <f t="shared" si="4"/>
        <v>4</v>
      </c>
      <c r="I11" s="36">
        <f t="shared" si="4"/>
        <v>9</v>
      </c>
      <c r="J11" s="36">
        <f t="shared" si="4"/>
        <v>9</v>
      </c>
      <c r="K11" s="36">
        <f t="shared" si="4"/>
        <v>7</v>
      </c>
    </row>
    <row r="12" ht="18.0" customHeight="1">
      <c r="A12" s="27" t="s">
        <v>142</v>
      </c>
      <c r="B12" s="28">
        <f t="shared" ref="B12:K12" si="5">B11/B6</f>
        <v>0.05167173252</v>
      </c>
      <c r="C12" s="28">
        <f t="shared" si="5"/>
        <v>0.04335260116</v>
      </c>
      <c r="D12" s="28">
        <f t="shared" si="5"/>
        <v>0.03324099723</v>
      </c>
      <c r="E12" s="28">
        <f t="shared" si="5"/>
        <v>-0.002680965147</v>
      </c>
      <c r="F12" s="28">
        <f t="shared" si="5"/>
        <v>-0.04838709677</v>
      </c>
      <c r="G12" s="28">
        <f t="shared" si="5"/>
        <v>-0.02259887006</v>
      </c>
      <c r="H12" s="28">
        <f t="shared" si="5"/>
        <v>0.01156069364</v>
      </c>
      <c r="I12" s="28">
        <f t="shared" si="5"/>
        <v>0.02571428571</v>
      </c>
      <c r="J12" s="28">
        <f t="shared" si="5"/>
        <v>0.02506963788</v>
      </c>
      <c r="K12" s="28">
        <f t="shared" si="5"/>
        <v>0.01902173913</v>
      </c>
    </row>
    <row r="13" ht="18.0" customHeight="1">
      <c r="A13" s="27" t="s">
        <v>143</v>
      </c>
      <c r="B13" s="28">
        <f t="shared" ref="B13:K13" si="6">B7/B6</f>
        <v>0.1063829787</v>
      </c>
      <c r="C13" s="28">
        <f t="shared" si="6"/>
        <v>0.1184971098</v>
      </c>
      <c r="D13" s="28">
        <f t="shared" si="6"/>
        <v>0.1246537396</v>
      </c>
      <c r="E13" s="28">
        <f t="shared" si="6"/>
        <v>0.0509383378</v>
      </c>
      <c r="F13" s="28">
        <f t="shared" si="6"/>
        <v>0.008064516129</v>
      </c>
      <c r="G13" s="28">
        <f t="shared" si="6"/>
        <v>0.01412429379</v>
      </c>
      <c r="H13" s="28">
        <f t="shared" si="6"/>
        <v>0.03468208092</v>
      </c>
      <c r="I13" s="28">
        <f t="shared" si="6"/>
        <v>0.03142857143</v>
      </c>
      <c r="J13" s="28">
        <f t="shared" si="6"/>
        <v>0.04735376045</v>
      </c>
      <c r="K13" s="28">
        <f t="shared" si="6"/>
        <v>0.02445652174</v>
      </c>
    </row>
    <row r="14" ht="18.0" customHeight="1">
      <c r="A14" s="27" t="s">
        <v>144</v>
      </c>
      <c r="B14" s="28">
        <f t="shared" ref="B14:K14" si="7">B8/B6</f>
        <v>0.0547112462</v>
      </c>
      <c r="C14" s="28">
        <f t="shared" si="7"/>
        <v>0.07514450867</v>
      </c>
      <c r="D14" s="28">
        <f t="shared" si="7"/>
        <v>0.09141274238</v>
      </c>
      <c r="E14" s="28">
        <f t="shared" si="7"/>
        <v>0.05361930295</v>
      </c>
      <c r="F14" s="28">
        <f t="shared" si="7"/>
        <v>0.0564516129</v>
      </c>
      <c r="G14" s="28">
        <f t="shared" si="7"/>
        <v>0.03672316384</v>
      </c>
      <c r="H14" s="28">
        <f t="shared" si="7"/>
        <v>0.02312138728</v>
      </c>
      <c r="I14" s="28">
        <f t="shared" si="7"/>
        <v>0.005714285714</v>
      </c>
      <c r="J14" s="28">
        <f t="shared" si="7"/>
        <v>0.02228412256</v>
      </c>
      <c r="K14" s="28">
        <f t="shared" si="7"/>
        <v>0.005434782609</v>
      </c>
    </row>
    <row r="15" ht="18.0" customHeight="1">
      <c r="A15" s="27" t="s">
        <v>145</v>
      </c>
      <c r="B15" s="36">
        <f>MAX(0,B9-B7)</f>
        <v>311</v>
      </c>
      <c r="C15" s="36">
        <f>MAX(0,C9-C7-B7)</f>
        <v>285</v>
      </c>
      <c r="D15" s="36">
        <f t="shared" ref="D15:K15" si="8">MAX(0,D9-D7-C7-B7)</f>
        <v>252</v>
      </c>
      <c r="E15" s="36">
        <f t="shared" si="8"/>
        <v>267</v>
      </c>
      <c r="F15" s="36">
        <f t="shared" si="8"/>
        <v>287</v>
      </c>
      <c r="G15" s="36">
        <f t="shared" si="8"/>
        <v>319</v>
      </c>
      <c r="H15" s="36">
        <f t="shared" si="8"/>
        <v>330</v>
      </c>
      <c r="I15" s="36">
        <f t="shared" si="8"/>
        <v>331</v>
      </c>
      <c r="J15" s="36">
        <f t="shared" si="8"/>
        <v>328</v>
      </c>
      <c r="K15" s="36">
        <f t="shared" si="8"/>
        <v>338</v>
      </c>
    </row>
    <row r="16" ht="18.0" customHeight="1">
      <c r="A16" s="27" t="s">
        <v>146</v>
      </c>
      <c r="B16" s="36">
        <f t="shared" ref="B16:K16" si="9">B9-B15</f>
        <v>35</v>
      </c>
      <c r="C16" s="36">
        <f t="shared" si="9"/>
        <v>76</v>
      </c>
      <c r="D16" s="36">
        <f t="shared" si="9"/>
        <v>121</v>
      </c>
      <c r="E16" s="36">
        <f t="shared" si="9"/>
        <v>105</v>
      </c>
      <c r="F16" s="36">
        <f t="shared" si="9"/>
        <v>67</v>
      </c>
      <c r="G16" s="36">
        <f t="shared" si="9"/>
        <v>27</v>
      </c>
      <c r="H16" s="36">
        <f t="shared" si="9"/>
        <v>20</v>
      </c>
      <c r="I16" s="36">
        <f t="shared" si="9"/>
        <v>28</v>
      </c>
      <c r="J16" s="36">
        <f t="shared" si="9"/>
        <v>40</v>
      </c>
      <c r="K16" s="36">
        <f t="shared" si="9"/>
        <v>37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5:K5"/>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147</v>
      </c>
    </row>
    <row r="2" ht="24.0" customHeight="1">
      <c r="A2" s="3" t="s">
        <v>148</v>
      </c>
    </row>
    <row r="4" ht="18.0" customHeight="1">
      <c r="A4" s="7"/>
      <c r="B4" s="26">
        <v>2016.0</v>
      </c>
      <c r="C4" s="26">
        <v>2017.0</v>
      </c>
      <c r="D4" s="26">
        <v>2018.0</v>
      </c>
      <c r="E4" s="26">
        <v>2019.0</v>
      </c>
      <c r="F4" s="26">
        <v>2020.0</v>
      </c>
      <c r="G4" s="26">
        <v>2021.0</v>
      </c>
      <c r="H4" s="26">
        <v>2022.0</v>
      </c>
      <c r="I4" s="26">
        <v>2023.0</v>
      </c>
      <c r="J4" s="26">
        <v>2024.0</v>
      </c>
      <c r="K4" s="26">
        <v>2025.0</v>
      </c>
    </row>
    <row r="5" ht="18.0" customHeight="1">
      <c r="A5" s="4" t="s">
        <v>149</v>
      </c>
    </row>
    <row r="6" ht="18.0" customHeight="1">
      <c r="A6" s="27" t="s">
        <v>150</v>
      </c>
      <c r="B6" s="13">
        <v>-0.044</v>
      </c>
      <c r="C6" s="13">
        <v>-0.065</v>
      </c>
      <c r="D6" s="13">
        <v>-0.054</v>
      </c>
      <c r="E6" s="13">
        <v>-0.013</v>
      </c>
      <c r="F6" s="13">
        <v>-0.207</v>
      </c>
      <c r="G6" s="13">
        <v>0.577</v>
      </c>
      <c r="H6" s="13">
        <v>0.141</v>
      </c>
      <c r="I6" s="13">
        <v>-0.007</v>
      </c>
      <c r="J6" s="13">
        <v>-0.017</v>
      </c>
      <c r="K6" s="13">
        <v>0.025</v>
      </c>
    </row>
    <row r="7" ht="18.0" customHeight="1">
      <c r="A7" s="27" t="s">
        <v>151</v>
      </c>
      <c r="B7" s="10">
        <v>-0.06</v>
      </c>
      <c r="C7" s="10">
        <v>-0.07</v>
      </c>
      <c r="D7" s="10">
        <v>-0.07</v>
      </c>
      <c r="E7" s="10">
        <v>-0.03</v>
      </c>
      <c r="F7" s="10">
        <v>-0.35</v>
      </c>
      <c r="G7" s="10">
        <v>0.45</v>
      </c>
      <c r="H7" s="10">
        <v>0.08</v>
      </c>
      <c r="I7" s="10">
        <v>-0.01</v>
      </c>
      <c r="J7" s="10">
        <v>0.01</v>
      </c>
      <c r="K7" s="10">
        <v>0.04</v>
      </c>
    </row>
    <row r="8" ht="18.0" customHeight="1">
      <c r="A8" s="27" t="s">
        <v>152</v>
      </c>
      <c r="B8" s="13">
        <v>0.016</v>
      </c>
      <c r="C8" s="13">
        <v>0.005</v>
      </c>
      <c r="D8" s="13">
        <v>0.016</v>
      </c>
      <c r="E8" s="13">
        <v>0.017</v>
      </c>
      <c r="F8" s="13">
        <v>0.143</v>
      </c>
      <c r="G8" s="13">
        <v>0.127</v>
      </c>
      <c r="H8" s="13">
        <v>0.061</v>
      </c>
      <c r="I8" s="13">
        <v>0.003</v>
      </c>
      <c r="J8" s="13">
        <v>-0.027</v>
      </c>
      <c r="K8" s="13">
        <v>-0.015</v>
      </c>
    </row>
    <row r="9" ht="18.0" customHeight="1">
      <c r="A9" s="27" t="s">
        <v>153</v>
      </c>
      <c r="B9" s="13">
        <v>0.005</v>
      </c>
      <c r="C9" s="13">
        <v>0.005</v>
      </c>
      <c r="D9" s="10">
        <v>0.01</v>
      </c>
      <c r="E9" s="10">
        <v>0.01</v>
      </c>
      <c r="F9" s="16">
        <v>0.03</v>
      </c>
      <c r="G9" s="10">
        <v>0.04</v>
      </c>
      <c r="H9" s="10">
        <v>0.04</v>
      </c>
      <c r="I9" s="13">
        <v>0.015</v>
      </c>
      <c r="J9" s="10">
        <v>0.01</v>
      </c>
      <c r="K9" s="10">
        <v>0.01</v>
      </c>
    </row>
    <row r="10" ht="18.0" customHeight="1">
      <c r="A10" s="27" t="s">
        <v>154</v>
      </c>
      <c r="B10" s="13">
        <v>0.011</v>
      </c>
      <c r="C10" s="10">
        <v>0.0</v>
      </c>
      <c r="D10" s="13">
        <v>0.006</v>
      </c>
      <c r="E10" s="13">
        <v>0.007</v>
      </c>
      <c r="F10" s="13">
        <v>0.113</v>
      </c>
      <c r="G10" s="13">
        <v>0.087</v>
      </c>
      <c r="H10" s="13">
        <v>0.021</v>
      </c>
      <c r="I10" s="13">
        <v>-0.012</v>
      </c>
      <c r="J10" s="13">
        <v>-0.037</v>
      </c>
      <c r="K10" s="13">
        <v>-0.025</v>
      </c>
    </row>
    <row r="11" ht="18.0" customHeight="1">
      <c r="A11" s="27" t="s">
        <v>155</v>
      </c>
      <c r="B11" s="28"/>
      <c r="C11" s="28">
        <f t="shared" ref="C11:K11" si="1">C6+B6</f>
        <v>-0.109</v>
      </c>
      <c r="D11" s="28">
        <f t="shared" si="1"/>
        <v>-0.119</v>
      </c>
      <c r="E11" s="28">
        <f t="shared" si="1"/>
        <v>-0.067</v>
      </c>
      <c r="F11" s="28">
        <f t="shared" si="1"/>
        <v>-0.22</v>
      </c>
      <c r="G11" s="28">
        <f t="shared" si="1"/>
        <v>0.37</v>
      </c>
      <c r="H11" s="28">
        <f t="shared" si="1"/>
        <v>0.718</v>
      </c>
      <c r="I11" s="28">
        <f t="shared" si="1"/>
        <v>0.134</v>
      </c>
      <c r="J11" s="28">
        <f t="shared" si="1"/>
        <v>-0.024</v>
      </c>
      <c r="K11" s="28">
        <f t="shared" si="1"/>
        <v>0.008</v>
      </c>
    </row>
    <row r="12" ht="18.0" customHeight="1">
      <c r="A12" s="27" t="s">
        <v>156</v>
      </c>
      <c r="B12" s="37" t="s">
        <v>157</v>
      </c>
      <c r="C12" s="37" t="s">
        <v>157</v>
      </c>
      <c r="D12" s="37" t="s">
        <v>158</v>
      </c>
      <c r="E12" s="37" t="s">
        <v>159</v>
      </c>
      <c r="F12" s="38" t="s">
        <v>160</v>
      </c>
      <c r="G12" s="38" t="s">
        <v>161</v>
      </c>
      <c r="H12" s="37" t="s">
        <v>162</v>
      </c>
      <c r="I12" s="37" t="s">
        <v>163</v>
      </c>
      <c r="J12" s="37" t="s">
        <v>164</v>
      </c>
      <c r="K12" s="37" t="s">
        <v>159</v>
      </c>
    </row>
    <row r="13" ht="18.0" customHeight="1">
      <c r="A13" s="7"/>
      <c r="B13" s="7"/>
      <c r="C13" s="7"/>
      <c r="D13" s="7"/>
      <c r="E13" s="7"/>
      <c r="F13" s="7"/>
      <c r="G13" s="7"/>
      <c r="H13" s="7"/>
      <c r="I13" s="7"/>
      <c r="J13" s="7"/>
      <c r="K13" s="7"/>
    </row>
    <row r="14" ht="18.0" customHeight="1">
      <c r="A14" s="7"/>
      <c r="B14" s="7"/>
      <c r="C14" s="7"/>
      <c r="D14" s="7"/>
      <c r="E14" s="7"/>
      <c r="F14" s="7"/>
      <c r="G14" s="7"/>
      <c r="H14" s="7"/>
      <c r="I14" s="7"/>
      <c r="J14" s="7"/>
      <c r="K14" s="7"/>
    </row>
    <row r="15" ht="18.0" customHeight="1">
      <c r="A15" s="4" t="s">
        <v>165</v>
      </c>
    </row>
    <row r="16" ht="18.0" customHeight="1">
      <c r="A16" s="5" t="s">
        <v>166</v>
      </c>
      <c r="B16" s="28">
        <f>MAX(B6:K6)</f>
        <v>0.577</v>
      </c>
      <c r="C16" s="7"/>
      <c r="D16" s="7"/>
      <c r="E16" s="7"/>
      <c r="F16" s="7"/>
      <c r="G16" s="7"/>
      <c r="H16" s="7"/>
      <c r="I16" s="7"/>
      <c r="J16" s="7"/>
      <c r="K16" s="7"/>
    </row>
    <row r="17" ht="18.0" customHeight="1">
      <c r="A17" s="5" t="s">
        <v>167</v>
      </c>
      <c r="B17" s="28">
        <f>MIN(B6:K6)</f>
        <v>-0.207</v>
      </c>
      <c r="C17" s="7"/>
      <c r="D17" s="7"/>
      <c r="E17" s="7"/>
      <c r="F17" s="7"/>
      <c r="G17" s="7"/>
      <c r="H17" s="7"/>
      <c r="I17" s="7"/>
      <c r="J17" s="7"/>
      <c r="K17" s="7"/>
    </row>
    <row r="18" ht="18.0" customHeight="1">
      <c r="A18" s="5" t="s">
        <v>168</v>
      </c>
      <c r="B18" s="28">
        <f>MEDIAN(B6:K6)</f>
        <v>-0.015</v>
      </c>
      <c r="C18" s="7"/>
      <c r="D18" s="7"/>
      <c r="E18" s="7"/>
      <c r="F18" s="7"/>
      <c r="G18" s="7"/>
      <c r="H18" s="7"/>
      <c r="I18" s="7"/>
      <c r="J18" s="7"/>
      <c r="K18" s="7"/>
    </row>
    <row r="19" ht="18.0" customHeight="1">
      <c r="A19" s="5" t="s">
        <v>169</v>
      </c>
      <c r="B19" s="28">
        <f>K6</f>
        <v>0.025</v>
      </c>
      <c r="C19" s="7"/>
      <c r="D19" s="7"/>
      <c r="E19" s="7"/>
      <c r="F19" s="7"/>
      <c r="G19" s="7"/>
      <c r="H19" s="7"/>
      <c r="I19" s="7"/>
      <c r="J19" s="7"/>
      <c r="K19" s="7"/>
    </row>
    <row r="20" ht="18.0" customHeight="1">
      <c r="A20" s="5" t="s">
        <v>170</v>
      </c>
      <c r="B20" s="28">
        <f>K6-MEDIAN(B6:K6)</f>
        <v>0.04</v>
      </c>
      <c r="C20" s="7"/>
      <c r="D20" s="7"/>
      <c r="E20" s="7"/>
      <c r="F20" s="7"/>
      <c r="G20" s="7"/>
      <c r="H20" s="7"/>
      <c r="I20" s="7"/>
      <c r="J20" s="7"/>
      <c r="K20" s="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K1"/>
    <mergeCell ref="A2:K2"/>
    <mergeCell ref="A5:K5"/>
    <mergeCell ref="A15:K15"/>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171</v>
      </c>
    </row>
    <row r="2" ht="24.0" customHeight="1">
      <c r="A2" s="3" t="s">
        <v>172</v>
      </c>
    </row>
    <row r="4" ht="18.0" customHeight="1">
      <c r="A4" s="7"/>
      <c r="B4" s="26">
        <v>2016.0</v>
      </c>
      <c r="C4" s="26">
        <v>2017.0</v>
      </c>
      <c r="D4" s="26">
        <v>2018.0</v>
      </c>
      <c r="E4" s="26">
        <v>2019.0</v>
      </c>
      <c r="F4" s="26">
        <v>2020.0</v>
      </c>
      <c r="G4" s="26">
        <v>2021.0</v>
      </c>
      <c r="H4" s="26">
        <v>2022.0</v>
      </c>
      <c r="I4" s="26">
        <v>2023.0</v>
      </c>
      <c r="J4" s="26">
        <v>2024.0</v>
      </c>
      <c r="K4" s="26">
        <v>2025.0</v>
      </c>
    </row>
    <row r="5" ht="18.0" customHeight="1">
      <c r="A5" s="4" t="s">
        <v>173</v>
      </c>
    </row>
    <row r="6" ht="18.0" customHeight="1">
      <c r="A6" s="11" t="s">
        <v>174</v>
      </c>
      <c r="B6" s="39">
        <v>357.6</v>
      </c>
      <c r="C6" s="39">
        <v>349.4</v>
      </c>
      <c r="D6" s="39">
        <v>326.3</v>
      </c>
      <c r="E6" s="39">
        <v>323.5</v>
      </c>
      <c r="F6" s="39">
        <v>249.2</v>
      </c>
      <c r="G6" s="39">
        <v>397.7</v>
      </c>
      <c r="H6" s="39">
        <v>446.2</v>
      </c>
      <c r="I6" s="39">
        <v>456.2</v>
      </c>
      <c r="J6" s="39">
        <v>460.3</v>
      </c>
      <c r="K6" s="39">
        <v>486.0</v>
      </c>
    </row>
    <row r="7" ht="18.0" customHeight="1">
      <c r="A7" s="27" t="s">
        <v>140</v>
      </c>
      <c r="B7" s="25">
        <f>'03 Store Count Schedule'!B10</f>
        <v>337.5</v>
      </c>
      <c r="C7" s="25">
        <f>'03 Store Count Schedule'!C10</f>
        <v>353.5</v>
      </c>
      <c r="D7" s="25">
        <f>'03 Store Count Schedule'!D10</f>
        <v>367</v>
      </c>
      <c r="E7" s="25">
        <f>'03 Store Count Schedule'!E10</f>
        <v>372.5</v>
      </c>
      <c r="F7" s="25">
        <f>'03 Store Count Schedule'!F10</f>
        <v>363</v>
      </c>
      <c r="G7" s="25">
        <f>'03 Store Count Schedule'!G10</f>
        <v>350</v>
      </c>
      <c r="H7" s="25">
        <f>'03 Store Count Schedule'!H10</f>
        <v>348</v>
      </c>
      <c r="I7" s="25">
        <f>'03 Store Count Schedule'!I10</f>
        <v>354.5</v>
      </c>
      <c r="J7" s="25">
        <f>'03 Store Count Schedule'!J10</f>
        <v>363.5</v>
      </c>
      <c r="K7" s="25">
        <f>'03 Store Count Schedule'!K10</f>
        <v>371.5</v>
      </c>
    </row>
    <row r="8" ht="18.0" customHeight="1">
      <c r="A8" s="27" t="s">
        <v>175</v>
      </c>
      <c r="B8" s="40">
        <f t="shared" ref="B8:K8" si="1">B6/B7</f>
        <v>1.059555556</v>
      </c>
      <c r="C8" s="40">
        <f t="shared" si="1"/>
        <v>0.9884016973</v>
      </c>
      <c r="D8" s="40">
        <f t="shared" si="1"/>
        <v>0.8891008174</v>
      </c>
      <c r="E8" s="40">
        <f t="shared" si="1"/>
        <v>0.8684563758</v>
      </c>
      <c r="F8" s="40">
        <f t="shared" si="1"/>
        <v>0.6865013774</v>
      </c>
      <c r="G8" s="40">
        <f t="shared" si="1"/>
        <v>1.136285714</v>
      </c>
      <c r="H8" s="40">
        <f t="shared" si="1"/>
        <v>1.282183908</v>
      </c>
      <c r="I8" s="40">
        <f t="shared" si="1"/>
        <v>1.286882934</v>
      </c>
      <c r="J8" s="40">
        <f t="shared" si="1"/>
        <v>1.266299862</v>
      </c>
      <c r="K8" s="40">
        <f t="shared" si="1"/>
        <v>1.30820996</v>
      </c>
    </row>
    <row r="9" ht="18.0" customHeight="1">
      <c r="A9" s="27" t="s">
        <v>112</v>
      </c>
      <c r="B9" s="25">
        <f>'02 Historical Financials'!B10</f>
        <v>50</v>
      </c>
      <c r="C9" s="25">
        <f>'02 Historical Financials'!C10</f>
        <v>48.1</v>
      </c>
      <c r="D9" s="25">
        <f>'02 Historical Financials'!D10</f>
        <v>29.9</v>
      </c>
      <c r="E9" s="25">
        <f>'02 Historical Financials'!E10</f>
        <v>43.1</v>
      </c>
      <c r="F9" s="25">
        <f>'02 Historical Financials'!F10</f>
        <v>15.7</v>
      </c>
      <c r="G9" s="25">
        <f>'02 Historical Financials'!G10</f>
        <v>91.7</v>
      </c>
      <c r="H9" s="25">
        <f>'02 Historical Financials'!H10</f>
        <v>116.1</v>
      </c>
      <c r="I9" s="25">
        <f>'02 Historical Financials'!I10</f>
        <v>121.6</v>
      </c>
      <c r="J9" s="25">
        <f>'02 Historical Financials'!J10</f>
        <v>119</v>
      </c>
      <c r="K9" s="25">
        <f>'02 Historical Financials'!K10</f>
        <v>126</v>
      </c>
    </row>
    <row r="10" ht="18.0" customHeight="1">
      <c r="A10" s="27" t="s">
        <v>113</v>
      </c>
      <c r="B10" s="28">
        <f t="shared" ref="B10:K10" si="2">B9/B6</f>
        <v>0.1398210291</v>
      </c>
      <c r="C10" s="28">
        <f t="shared" si="2"/>
        <v>0.1376645678</v>
      </c>
      <c r="D10" s="28">
        <f t="shared" si="2"/>
        <v>0.09163346614</v>
      </c>
      <c r="E10" s="28">
        <f t="shared" si="2"/>
        <v>0.1332302937</v>
      </c>
      <c r="F10" s="28">
        <f t="shared" si="2"/>
        <v>0.06300160514</v>
      </c>
      <c r="G10" s="28">
        <f t="shared" si="2"/>
        <v>0.2305758109</v>
      </c>
      <c r="H10" s="28">
        <f t="shared" si="2"/>
        <v>0.260197221</v>
      </c>
      <c r="I10" s="28">
        <f t="shared" si="2"/>
        <v>0.2665497589</v>
      </c>
      <c r="J10" s="28">
        <f t="shared" si="2"/>
        <v>0.2585270476</v>
      </c>
      <c r="K10" s="28">
        <f t="shared" si="2"/>
        <v>0.2592592593</v>
      </c>
    </row>
    <row r="11" ht="18.0" customHeight="1">
      <c r="A11" s="27" t="s">
        <v>176</v>
      </c>
      <c r="B11" s="30">
        <f t="shared" ref="B11:K11" si="3">B8*B10</f>
        <v>0.1481481481</v>
      </c>
      <c r="C11" s="30">
        <f t="shared" si="3"/>
        <v>0.1360678925</v>
      </c>
      <c r="D11" s="30">
        <f t="shared" si="3"/>
        <v>0.08147138965</v>
      </c>
      <c r="E11" s="30">
        <f t="shared" si="3"/>
        <v>0.115704698</v>
      </c>
      <c r="F11" s="30">
        <f t="shared" si="3"/>
        <v>0.04325068871</v>
      </c>
      <c r="G11" s="30">
        <f t="shared" si="3"/>
        <v>0.262</v>
      </c>
      <c r="H11" s="30">
        <f t="shared" si="3"/>
        <v>0.3336206897</v>
      </c>
      <c r="I11" s="30">
        <f t="shared" si="3"/>
        <v>0.3430183357</v>
      </c>
      <c r="J11" s="30">
        <f t="shared" si="3"/>
        <v>0.3273727648</v>
      </c>
      <c r="K11" s="30">
        <f t="shared" si="3"/>
        <v>0.3391655451</v>
      </c>
    </row>
    <row r="12" ht="18.0" customHeight="1">
      <c r="A12" s="7"/>
      <c r="B12" s="7"/>
      <c r="C12" s="7"/>
      <c r="D12" s="7"/>
      <c r="E12" s="7"/>
      <c r="F12" s="7"/>
      <c r="G12" s="7"/>
      <c r="H12" s="7"/>
      <c r="I12" s="7"/>
      <c r="J12" s="7"/>
      <c r="K12" s="7"/>
    </row>
    <row r="13" ht="18.0" customHeight="1">
      <c r="A13" s="7"/>
      <c r="B13" s="7"/>
      <c r="C13" s="7"/>
      <c r="D13" s="7"/>
      <c r="E13" s="7"/>
      <c r="F13" s="7"/>
      <c r="G13" s="7"/>
      <c r="H13" s="7"/>
      <c r="I13" s="7"/>
      <c r="J13" s="7"/>
      <c r="K13" s="7"/>
    </row>
    <row r="14" ht="18.0" customHeight="1">
      <c r="A14" s="4" t="s">
        <v>177</v>
      </c>
    </row>
    <row r="15" ht="18.0" customHeight="1">
      <c r="A15" s="41" t="s">
        <v>178</v>
      </c>
      <c r="B15" s="13">
        <v>0.548</v>
      </c>
      <c r="C15" s="13">
        <v>0.531</v>
      </c>
      <c r="D15" s="13">
        <v>0.573</v>
      </c>
      <c r="E15" s="13">
        <v>0.546</v>
      </c>
      <c r="F15" s="13">
        <v>0.593</v>
      </c>
      <c r="G15" s="13">
        <v>0.469</v>
      </c>
      <c r="H15" s="13">
        <v>0.474</v>
      </c>
      <c r="I15" s="10">
        <v>0.453</v>
      </c>
      <c r="J15" s="13">
        <v>0.45</v>
      </c>
      <c r="K15" s="13">
        <v>0.439</v>
      </c>
    </row>
    <row r="16" ht="18.0" customHeight="1">
      <c r="A16" s="11" t="s">
        <v>179</v>
      </c>
      <c r="B16" s="10">
        <v>0.0</v>
      </c>
      <c r="C16" s="10">
        <v>0.0</v>
      </c>
      <c r="D16" s="10">
        <v>0.0</v>
      </c>
      <c r="E16" s="10">
        <v>0.0</v>
      </c>
      <c r="F16" s="10">
        <v>0.0</v>
      </c>
      <c r="G16" s="10">
        <v>0.0</v>
      </c>
      <c r="H16" s="10">
        <v>0.0</v>
      </c>
      <c r="I16" s="10">
        <v>0.0</v>
      </c>
      <c r="J16" s="10">
        <v>0.0</v>
      </c>
      <c r="K16" s="10">
        <v>0.0</v>
      </c>
    </row>
    <row r="17" ht="18.0" customHeight="1">
      <c r="A17" s="11" t="s">
        <v>179</v>
      </c>
      <c r="B17" s="10">
        <v>0.0</v>
      </c>
      <c r="C17" s="10">
        <v>0.0</v>
      </c>
      <c r="D17" s="10">
        <v>0.0</v>
      </c>
      <c r="E17" s="10">
        <v>0.0</v>
      </c>
      <c r="F17" s="10">
        <v>0.0</v>
      </c>
      <c r="G17" s="10">
        <v>0.0</v>
      </c>
      <c r="H17" s="10">
        <v>0.0</v>
      </c>
      <c r="I17" s="10">
        <v>0.0</v>
      </c>
      <c r="J17" s="10">
        <v>0.0</v>
      </c>
      <c r="K17" s="10">
        <v>0.0</v>
      </c>
    </row>
    <row r="18" ht="18.0" customHeight="1">
      <c r="A18" s="11" t="s">
        <v>180</v>
      </c>
      <c r="B18" s="13">
        <v>0.312</v>
      </c>
      <c r="C18" s="13">
        <v>0.332</v>
      </c>
      <c r="D18" s="13">
        <v>0.336</v>
      </c>
      <c r="E18" s="13">
        <v>0.321</v>
      </c>
      <c r="F18" s="13">
        <v>0.344</v>
      </c>
      <c r="G18" s="13">
        <v>0.301</v>
      </c>
      <c r="H18" s="13">
        <v>0.266</v>
      </c>
      <c r="I18" s="10">
        <v>0.28</v>
      </c>
      <c r="J18" s="13">
        <v>0.291</v>
      </c>
      <c r="K18" s="13">
        <v>0.302</v>
      </c>
    </row>
    <row r="19" ht="18.0" customHeight="1">
      <c r="A19" s="27" t="s">
        <v>181</v>
      </c>
      <c r="B19" s="28">
        <f t="shared" ref="B19:K19" si="4">1-SUM(B15:B18)</f>
        <v>0.14</v>
      </c>
      <c r="C19" s="28">
        <f t="shared" si="4"/>
        <v>0.137</v>
      </c>
      <c r="D19" s="28">
        <f t="shared" si="4"/>
        <v>0.091</v>
      </c>
      <c r="E19" s="28">
        <f t="shared" si="4"/>
        <v>0.133</v>
      </c>
      <c r="F19" s="28">
        <f t="shared" si="4"/>
        <v>0.063</v>
      </c>
      <c r="G19" s="28">
        <f t="shared" si="4"/>
        <v>0.23</v>
      </c>
      <c r="H19" s="28">
        <f t="shared" si="4"/>
        <v>0.26</v>
      </c>
      <c r="I19" s="28">
        <f t="shared" si="4"/>
        <v>0.267</v>
      </c>
      <c r="J19" s="28">
        <f t="shared" si="4"/>
        <v>0.259</v>
      </c>
      <c r="K19" s="28">
        <f t="shared" si="4"/>
        <v>0.259</v>
      </c>
    </row>
    <row r="20" ht="18.0" customHeight="1">
      <c r="A20" s="7"/>
      <c r="B20" s="7"/>
      <c r="C20" s="7"/>
      <c r="D20" s="7"/>
      <c r="E20" s="7"/>
      <c r="F20" s="7"/>
      <c r="G20" s="7"/>
      <c r="H20" s="7"/>
      <c r="I20" s="7"/>
      <c r="J20" s="7"/>
      <c r="K20" s="7"/>
    </row>
    <row r="21" ht="18.0" customHeight="1">
      <c r="A21" s="7"/>
      <c r="B21" s="7"/>
      <c r="C21" s="7"/>
      <c r="D21" s="7"/>
      <c r="E21" s="7"/>
      <c r="F21" s="7"/>
      <c r="G21" s="7"/>
      <c r="H21" s="7"/>
      <c r="I21" s="7"/>
      <c r="J21" s="7"/>
      <c r="K21" s="7"/>
    </row>
    <row r="22" ht="18.0" customHeight="1">
      <c r="A22" s="4" t="s">
        <v>182</v>
      </c>
    </row>
    <row r="23" ht="18.0" customHeight="1">
      <c r="A23" s="5" t="s">
        <v>183</v>
      </c>
      <c r="B23" s="30">
        <f>MAX(B8:K8)</f>
        <v>1.30820996</v>
      </c>
      <c r="C23" s="7"/>
      <c r="D23" s="7"/>
      <c r="E23" s="7"/>
      <c r="F23" s="7"/>
      <c r="G23" s="7"/>
      <c r="H23" s="7"/>
      <c r="I23" s="7"/>
      <c r="J23" s="7"/>
      <c r="K23" s="7"/>
    </row>
    <row r="24" ht="18.0" customHeight="1">
      <c r="A24" s="5" t="s">
        <v>184</v>
      </c>
      <c r="B24" s="30">
        <f>MIN(B8:K8)</f>
        <v>0.6865013774</v>
      </c>
      <c r="C24" s="7"/>
      <c r="D24" s="7"/>
      <c r="E24" s="7"/>
      <c r="F24" s="7"/>
      <c r="G24" s="7"/>
      <c r="H24" s="7"/>
      <c r="I24" s="7"/>
      <c r="J24" s="7"/>
      <c r="K24" s="7"/>
    </row>
    <row r="25" ht="18.0" customHeight="1">
      <c r="A25" s="5" t="s">
        <v>43</v>
      </c>
      <c r="B25" s="30">
        <f>MEDIAN(B8:K8)</f>
        <v>1.097920635</v>
      </c>
      <c r="C25" s="7"/>
      <c r="D25" s="7"/>
      <c r="E25" s="7"/>
      <c r="F25" s="7"/>
      <c r="G25" s="7"/>
      <c r="H25" s="7"/>
      <c r="I25" s="7"/>
      <c r="J25" s="7"/>
      <c r="K25" s="7"/>
    </row>
    <row r="26" ht="18.0" customHeight="1">
      <c r="A26" s="5" t="s">
        <v>185</v>
      </c>
      <c r="B26" s="30">
        <f>K8</f>
        <v>1.30820996</v>
      </c>
      <c r="C26" s="7"/>
      <c r="D26" s="7"/>
      <c r="E26" s="7"/>
      <c r="F26" s="7"/>
      <c r="G26" s="7"/>
      <c r="H26" s="7"/>
      <c r="I26" s="7"/>
      <c r="J26" s="7"/>
      <c r="K26" s="7"/>
    </row>
    <row r="27" ht="18.0" customHeight="1">
      <c r="A27" s="5" t="s">
        <v>186</v>
      </c>
      <c r="B27" s="28">
        <f>MAX(B10:K10)</f>
        <v>0.2665497589</v>
      </c>
      <c r="C27" s="7"/>
      <c r="D27" s="7"/>
      <c r="E27" s="7"/>
      <c r="F27" s="7"/>
      <c r="G27" s="7"/>
      <c r="H27" s="7"/>
      <c r="I27" s="7"/>
      <c r="J27" s="7"/>
      <c r="K27" s="7"/>
    </row>
    <row r="28" ht="18.0" customHeight="1">
      <c r="A28" s="5" t="s">
        <v>187</v>
      </c>
      <c r="B28" s="28">
        <f>MIN(B10:K10)</f>
        <v>0.06300160514</v>
      </c>
      <c r="C28" s="7"/>
      <c r="D28" s="7"/>
      <c r="E28" s="7"/>
      <c r="F28" s="7"/>
      <c r="G28" s="7"/>
      <c r="H28" s="7"/>
      <c r="I28" s="7"/>
      <c r="J28" s="7"/>
      <c r="K28" s="7"/>
    </row>
    <row r="29" ht="18.0" customHeight="1">
      <c r="A29" s="5" t="s">
        <v>188</v>
      </c>
      <c r="B29" s="28">
        <f>MEDIAN(B10:K10)</f>
        <v>0.18519842</v>
      </c>
      <c r="C29" s="7"/>
      <c r="D29" s="7"/>
      <c r="E29" s="7"/>
      <c r="F29" s="7"/>
      <c r="G29" s="7"/>
      <c r="H29" s="7"/>
      <c r="I29" s="7"/>
      <c r="J29" s="7"/>
      <c r="K29" s="7"/>
    </row>
    <row r="30" ht="18.0" customHeight="1">
      <c r="A30" s="5" t="s">
        <v>189</v>
      </c>
      <c r="B30" s="28">
        <f>K10</f>
        <v>0.2592592593</v>
      </c>
      <c r="C30" s="7"/>
      <c r="D30" s="7"/>
      <c r="E30" s="7"/>
      <c r="F30" s="7"/>
      <c r="G30" s="7"/>
      <c r="H30" s="7"/>
      <c r="I30" s="7"/>
      <c r="J30" s="7"/>
      <c r="K30" s="7"/>
    </row>
    <row r="31" ht="18.0" customHeight="1">
      <c r="A31" s="7"/>
      <c r="B31" s="7"/>
      <c r="C31" s="7"/>
      <c r="D31" s="7"/>
      <c r="E31" s="7"/>
      <c r="F31" s="7"/>
      <c r="G31" s="7"/>
      <c r="H31" s="7"/>
      <c r="I31" s="7"/>
      <c r="J31" s="7"/>
      <c r="K31" s="7"/>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K1"/>
    <mergeCell ref="A2:K2"/>
    <mergeCell ref="A5:K5"/>
    <mergeCell ref="A14:K14"/>
    <mergeCell ref="A22:K22"/>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2" width="19.13"/>
    <col customWidth="1" min="3" max="11" width="14.0"/>
    <col customWidth="1" min="12" max="26" width="8.63"/>
  </cols>
  <sheetData>
    <row r="1" ht="27.75" customHeight="1">
      <c r="A1" s="1" t="s">
        <v>190</v>
      </c>
    </row>
    <row r="2" ht="24.0" customHeight="1">
      <c r="A2" s="3" t="s">
        <v>191</v>
      </c>
    </row>
    <row r="4" ht="18.0" customHeight="1">
      <c r="A4" s="7"/>
      <c r="B4" s="26">
        <v>2016.0</v>
      </c>
      <c r="C4" s="26">
        <v>2017.0</v>
      </c>
      <c r="D4" s="26">
        <v>2018.0</v>
      </c>
      <c r="E4" s="26">
        <v>2019.0</v>
      </c>
      <c r="F4" s="26">
        <v>2020.0</v>
      </c>
      <c r="G4" s="26">
        <v>2021.0</v>
      </c>
      <c r="H4" s="26">
        <v>2022.0</v>
      </c>
      <c r="I4" s="26">
        <v>2023.0</v>
      </c>
      <c r="J4" s="26">
        <v>2024.0</v>
      </c>
      <c r="K4" s="26">
        <v>2025.0</v>
      </c>
    </row>
    <row r="5" ht="18.0" customHeight="1">
      <c r="A5" s="4" t="s">
        <v>192</v>
      </c>
    </row>
    <row r="6" ht="18.0" customHeight="1">
      <c r="A6" s="27" t="s">
        <v>108</v>
      </c>
      <c r="B6" s="25">
        <f>'02 Historical Financials'!B6</f>
        <v>364.204</v>
      </c>
      <c r="C6" s="25">
        <f>'02 Historical Financials'!C6</f>
        <v>357.866</v>
      </c>
      <c r="D6" s="25">
        <f>'02 Historical Financials'!D6</f>
        <v>336.585</v>
      </c>
      <c r="E6" s="25">
        <f>'02 Historical Financials'!E6</f>
        <v>338.543</v>
      </c>
      <c r="F6" s="25">
        <f>'02 Historical Financials'!F6</f>
        <v>255.31</v>
      </c>
      <c r="G6" s="25">
        <f>'02 Historical Financials'!G6</f>
        <v>411.522</v>
      </c>
      <c r="H6" s="25">
        <f>'02 Historical Financials'!H6</f>
        <v>467.937</v>
      </c>
      <c r="I6" s="25">
        <f>'02 Historical Financials'!I6</f>
        <v>486.114</v>
      </c>
      <c r="J6" s="25">
        <f>'02 Historical Financials'!J6</f>
        <v>496.404</v>
      </c>
      <c r="K6" s="25">
        <f>'02 Historical Financials'!K6</f>
        <v>529.832</v>
      </c>
    </row>
    <row r="7" ht="18.0" customHeight="1">
      <c r="A7" s="27" t="s">
        <v>140</v>
      </c>
      <c r="B7" s="25">
        <f>'03 Store Count Schedule'!B10</f>
        <v>337.5</v>
      </c>
      <c r="C7" s="25">
        <f>'03 Store Count Schedule'!C10</f>
        <v>353.5</v>
      </c>
      <c r="D7" s="25">
        <f>'03 Store Count Schedule'!D10</f>
        <v>367</v>
      </c>
      <c r="E7" s="25">
        <f>'03 Store Count Schedule'!E10</f>
        <v>372.5</v>
      </c>
      <c r="F7" s="25">
        <f>'03 Store Count Schedule'!F10</f>
        <v>363</v>
      </c>
      <c r="G7" s="25">
        <f>'03 Store Count Schedule'!G10</f>
        <v>350</v>
      </c>
      <c r="H7" s="25">
        <f>'03 Store Count Schedule'!H10</f>
        <v>348</v>
      </c>
      <c r="I7" s="25">
        <f>'03 Store Count Schedule'!I10</f>
        <v>354.5</v>
      </c>
      <c r="J7" s="25">
        <f>'03 Store Count Schedule'!J10</f>
        <v>363.5</v>
      </c>
      <c r="K7" s="25">
        <f>'03 Store Count Schedule'!K10</f>
        <v>371.5</v>
      </c>
    </row>
    <row r="8" ht="18.0" customHeight="1">
      <c r="A8" s="27" t="s">
        <v>114</v>
      </c>
      <c r="B8" s="25">
        <f>'02 Historical Financials'!B12</f>
        <v>58.2</v>
      </c>
      <c r="C8" s="25">
        <f>'02 Historical Financials'!C12</f>
        <v>51.6</v>
      </c>
      <c r="D8" s="25">
        <f>'02 Historical Financials'!D12</f>
        <v>49.9</v>
      </c>
      <c r="E8" s="25">
        <f>'02 Historical Financials'!E12</f>
        <v>54.2</v>
      </c>
      <c r="F8" s="25">
        <f>'02 Historical Financials'!F12</f>
        <v>44.6</v>
      </c>
      <c r="G8" s="25">
        <f>'02 Historical Financials'!G12</f>
        <v>62.5</v>
      </c>
      <c r="H8" s="25">
        <f>'02 Historical Financials'!H12</f>
        <v>65.3</v>
      </c>
      <c r="I8" s="25">
        <f>'02 Historical Financials'!I12</f>
        <v>67.2</v>
      </c>
      <c r="J8" s="25">
        <f>'02 Historical Financials'!J12</f>
        <v>71</v>
      </c>
      <c r="K8" s="25">
        <f>'02 Historical Financials'!K12</f>
        <v>81.5</v>
      </c>
    </row>
    <row r="9" ht="18.0" customHeight="1">
      <c r="A9" s="27" t="s">
        <v>115</v>
      </c>
      <c r="B9" s="28">
        <f t="shared" ref="B9:K9" si="1">B8/B6</f>
        <v>0.1598005513</v>
      </c>
      <c r="C9" s="28">
        <f t="shared" si="1"/>
        <v>0.144188048</v>
      </c>
      <c r="D9" s="28">
        <f t="shared" si="1"/>
        <v>0.1482537843</v>
      </c>
      <c r="E9" s="28">
        <f t="shared" si="1"/>
        <v>0.160097831</v>
      </c>
      <c r="F9" s="28">
        <f t="shared" si="1"/>
        <v>0.174689593</v>
      </c>
      <c r="G9" s="28">
        <f t="shared" si="1"/>
        <v>0.1518752339</v>
      </c>
      <c r="H9" s="28">
        <f t="shared" si="1"/>
        <v>0.1395486999</v>
      </c>
      <c r="I9" s="28">
        <f t="shared" si="1"/>
        <v>0.1382391785</v>
      </c>
      <c r="J9" s="28">
        <f t="shared" si="1"/>
        <v>0.1430286621</v>
      </c>
      <c r="K9" s="28">
        <f t="shared" si="1"/>
        <v>0.1538223437</v>
      </c>
    </row>
    <row r="10" ht="18.0" customHeight="1">
      <c r="A10" s="27" t="s">
        <v>193</v>
      </c>
      <c r="B10" s="30">
        <f t="shared" ref="B10:K10" si="2">B8/B7</f>
        <v>0.1724444444</v>
      </c>
      <c r="C10" s="30">
        <f t="shared" si="2"/>
        <v>0.1459688826</v>
      </c>
      <c r="D10" s="30">
        <f t="shared" si="2"/>
        <v>0.1359673025</v>
      </c>
      <c r="E10" s="30">
        <f t="shared" si="2"/>
        <v>0.1455033557</v>
      </c>
      <c r="F10" s="30">
        <f t="shared" si="2"/>
        <v>0.1228650138</v>
      </c>
      <c r="G10" s="30">
        <f t="shared" si="2"/>
        <v>0.1785714286</v>
      </c>
      <c r="H10" s="30">
        <f t="shared" si="2"/>
        <v>0.1876436782</v>
      </c>
      <c r="I10" s="30">
        <f t="shared" si="2"/>
        <v>0.1895627645</v>
      </c>
      <c r="J10" s="30">
        <f t="shared" si="2"/>
        <v>0.1953232462</v>
      </c>
      <c r="K10" s="30">
        <f t="shared" si="2"/>
        <v>0.2193808883</v>
      </c>
    </row>
    <row r="11" ht="18.0" customHeight="1">
      <c r="A11" s="27" t="s">
        <v>194</v>
      </c>
      <c r="B11" s="25">
        <f>'02 Historical Financials'!B14</f>
        <v>14.874</v>
      </c>
      <c r="C11" s="25">
        <f>'02 Historical Financials'!C14</f>
        <v>29.989</v>
      </c>
      <c r="D11" s="25">
        <f>'02 Historical Financials'!D14</f>
        <v>-2.38</v>
      </c>
      <c r="E11" s="25">
        <f>'02 Historical Financials'!E14</f>
        <v>15.281</v>
      </c>
      <c r="F11" s="25">
        <f>'02 Historical Financials'!F14</f>
        <v>-6.884</v>
      </c>
      <c r="G11" s="25">
        <f>'02 Historical Financials'!G14</f>
        <v>62.981</v>
      </c>
      <c r="H11" s="25">
        <f>'02 Historical Financials'!H14</f>
        <v>74.425</v>
      </c>
      <c r="I11" s="25">
        <f>'02 Historical Financials'!I14</f>
        <v>79.057</v>
      </c>
      <c r="J11" s="25">
        <f>'02 Historical Financials'!J14</f>
        <v>81.052</v>
      </c>
      <c r="K11" s="25">
        <f>'02 Historical Financials'!K14</f>
        <v>81.378</v>
      </c>
    </row>
    <row r="12" ht="18.0" customHeight="1">
      <c r="A12" s="27" t="s">
        <v>117</v>
      </c>
      <c r="B12" s="28">
        <f t="shared" ref="B12:K12" si="3">B11/B6</f>
        <v>0.04083974915</v>
      </c>
      <c r="C12" s="28">
        <f t="shared" si="3"/>
        <v>0.08379952273</v>
      </c>
      <c r="D12" s="28">
        <f t="shared" si="3"/>
        <v>-0.007071022179</v>
      </c>
      <c r="E12" s="28">
        <f t="shared" si="3"/>
        <v>0.0451375453</v>
      </c>
      <c r="F12" s="28">
        <f t="shared" si="3"/>
        <v>-0.02696329952</v>
      </c>
      <c r="G12" s="28">
        <f t="shared" si="3"/>
        <v>0.1530440657</v>
      </c>
      <c r="H12" s="28">
        <f t="shared" si="3"/>
        <v>0.1590491882</v>
      </c>
      <c r="I12" s="28">
        <f t="shared" si="3"/>
        <v>0.1626305764</v>
      </c>
      <c r="J12" s="28">
        <f t="shared" si="3"/>
        <v>0.1632782975</v>
      </c>
      <c r="K12" s="28">
        <f t="shared" si="3"/>
        <v>0.153592082</v>
      </c>
    </row>
    <row r="13" ht="18.0" customHeight="1">
      <c r="A13" s="7"/>
      <c r="B13" s="7"/>
      <c r="C13" s="7"/>
      <c r="D13" s="7"/>
      <c r="E13" s="7"/>
      <c r="F13" s="7"/>
      <c r="G13" s="7"/>
      <c r="H13" s="7"/>
      <c r="I13" s="7"/>
      <c r="J13" s="7"/>
      <c r="K13" s="7"/>
    </row>
    <row r="14" ht="18.0" customHeight="1">
      <c r="A14" s="7"/>
      <c r="B14" s="7"/>
      <c r="C14" s="7"/>
      <c r="D14" s="7"/>
      <c r="E14" s="7"/>
      <c r="F14" s="7"/>
      <c r="G14" s="7"/>
      <c r="H14" s="7"/>
      <c r="I14" s="7"/>
      <c r="J14" s="7"/>
      <c r="K14" s="7"/>
    </row>
    <row r="15" ht="18.0" customHeight="1">
      <c r="A15" s="4" t="s">
        <v>195</v>
      </c>
    </row>
    <row r="16" ht="18.0" customHeight="1">
      <c r="A16" s="5" t="s">
        <v>196</v>
      </c>
      <c r="B16" s="25">
        <f>'10 Mature Store Earnings'!B9</f>
        <v>422.5</v>
      </c>
      <c r="C16" s="7"/>
      <c r="D16" s="7"/>
      <c r="E16" s="7"/>
      <c r="F16" s="7"/>
      <c r="G16" s="7"/>
      <c r="H16" s="7"/>
      <c r="I16" s="7"/>
      <c r="J16" s="7"/>
      <c r="K16" s="7"/>
    </row>
    <row r="17" ht="18.0" customHeight="1">
      <c r="A17" s="5" t="s">
        <v>197</v>
      </c>
      <c r="B17" s="24">
        <f>'00 Control'!$B$32</f>
        <v>0.145</v>
      </c>
      <c r="C17" s="7"/>
      <c r="D17" s="7"/>
      <c r="E17" s="7"/>
      <c r="F17" s="7"/>
      <c r="G17" s="7"/>
      <c r="H17" s="7"/>
      <c r="I17" s="7"/>
      <c r="J17" s="7"/>
      <c r="K17" s="7"/>
    </row>
    <row r="18" ht="18.0" customHeight="1">
      <c r="A18" s="5" t="s">
        <v>198</v>
      </c>
      <c r="B18" s="30">
        <f>B16*B17</f>
        <v>61.2625</v>
      </c>
      <c r="C18" s="7"/>
      <c r="D18" s="7"/>
      <c r="E18" s="7"/>
      <c r="F18" s="7"/>
      <c r="G18" s="7"/>
      <c r="H18" s="7"/>
      <c r="I18" s="7"/>
      <c r="J18" s="7"/>
      <c r="K18" s="7"/>
    </row>
    <row r="19" ht="18.0" customHeight="1">
      <c r="A19" s="5" t="s">
        <v>199</v>
      </c>
      <c r="B19" s="28">
        <f>MEDIAN(B9:K9)</f>
        <v>0.1500645091</v>
      </c>
      <c r="C19" s="7"/>
      <c r="D19" s="7"/>
      <c r="E19" s="7"/>
      <c r="F19" s="7"/>
      <c r="G19" s="7"/>
      <c r="H19" s="7"/>
      <c r="I19" s="7"/>
      <c r="J19" s="7"/>
      <c r="K19" s="7"/>
    </row>
    <row r="20" ht="18.0" customHeight="1">
      <c r="A20" s="5" t="s">
        <v>200</v>
      </c>
      <c r="B20" s="28">
        <f>K9</f>
        <v>0.1538223437</v>
      </c>
      <c r="C20" s="7"/>
      <c r="D20" s="7"/>
      <c r="E20" s="7"/>
      <c r="F20" s="7"/>
      <c r="G20" s="7"/>
      <c r="H20" s="7"/>
      <c r="I20" s="7"/>
      <c r="J20" s="7"/>
      <c r="K20" s="7"/>
    </row>
    <row r="21" ht="33.0" customHeight="1">
      <c r="A21" s="5" t="s">
        <v>201</v>
      </c>
      <c r="B21" s="42" t="str">
        <f>IF(B20&gt;18%,"High Overhead Burden",IF(B20&gt;13%,"Moderate / Watch Closely","Scales Well"))</f>
        <v>Moderate / Watch Closely</v>
      </c>
      <c r="C21" s="7"/>
      <c r="D21" s="7"/>
      <c r="E21" s="7"/>
      <c r="F21" s="7"/>
      <c r="G21" s="7"/>
      <c r="H21" s="7"/>
      <c r="I21" s="7"/>
      <c r="J21" s="7"/>
      <c r="K21" s="7"/>
    </row>
    <row r="22" ht="18.0" customHeight="1">
      <c r="A22" s="7"/>
      <c r="B22" s="7"/>
      <c r="C22" s="7"/>
      <c r="D22" s="7"/>
      <c r="E22" s="7"/>
      <c r="F22" s="7"/>
      <c r="G22" s="7"/>
      <c r="H22" s="7"/>
      <c r="I22" s="7"/>
      <c r="J22" s="7"/>
      <c r="K22" s="7"/>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K1"/>
    <mergeCell ref="A2:K2"/>
    <mergeCell ref="A5:K5"/>
    <mergeCell ref="A15:K15"/>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2" width="22.75"/>
    <col customWidth="1" min="3" max="11" width="14.0"/>
    <col customWidth="1" min="12" max="26" width="8.63"/>
  </cols>
  <sheetData>
    <row r="1" ht="27.75" customHeight="1">
      <c r="A1" s="1" t="s">
        <v>202</v>
      </c>
    </row>
    <row r="2" ht="24.0" customHeight="1">
      <c r="A2" s="3" t="s">
        <v>203</v>
      </c>
    </row>
    <row r="4" ht="18.0" customHeight="1">
      <c r="A4" s="7"/>
      <c r="B4" s="26">
        <v>2016.0</v>
      </c>
      <c r="C4" s="26">
        <v>2017.0</v>
      </c>
      <c r="D4" s="26">
        <v>2018.0</v>
      </c>
      <c r="E4" s="26">
        <v>2019.0</v>
      </c>
      <c r="F4" s="26">
        <v>2020.0</v>
      </c>
      <c r="G4" s="26">
        <v>2021.0</v>
      </c>
      <c r="H4" s="26">
        <v>2022.0</v>
      </c>
      <c r="I4" s="26">
        <v>2023.0</v>
      </c>
      <c r="J4" s="26">
        <v>2024.0</v>
      </c>
      <c r="K4" s="26">
        <v>2025.0</v>
      </c>
    </row>
    <row r="5" ht="18.0" customHeight="1">
      <c r="A5" s="4" t="s">
        <v>204</v>
      </c>
    </row>
    <row r="6" ht="18.0" customHeight="1">
      <c r="A6" s="27" t="s">
        <v>108</v>
      </c>
      <c r="B6" s="25">
        <f>'02 Historical Financials'!B6</f>
        <v>364.204</v>
      </c>
      <c r="C6" s="25">
        <f>'02 Historical Financials'!C6</f>
        <v>357.866</v>
      </c>
      <c r="D6" s="25">
        <f>'02 Historical Financials'!D6</f>
        <v>336.585</v>
      </c>
      <c r="E6" s="25">
        <f>'02 Historical Financials'!E6</f>
        <v>338.543</v>
      </c>
      <c r="F6" s="25">
        <f>'02 Historical Financials'!F6</f>
        <v>255.31</v>
      </c>
      <c r="G6" s="25">
        <f>'02 Historical Financials'!G6</f>
        <v>411.522</v>
      </c>
      <c r="H6" s="25">
        <f>'02 Historical Financials'!H6</f>
        <v>467.937</v>
      </c>
      <c r="I6" s="25">
        <f>'02 Historical Financials'!I6</f>
        <v>486.114</v>
      </c>
      <c r="J6" s="25">
        <f>'02 Historical Financials'!J6</f>
        <v>496.404</v>
      </c>
      <c r="K6" s="25">
        <f>'02 Historical Financials'!K6</f>
        <v>529.832</v>
      </c>
    </row>
    <row r="7" ht="18.0" customHeight="1">
      <c r="A7" s="27" t="s">
        <v>205</v>
      </c>
      <c r="B7" s="9">
        <v>45.6</v>
      </c>
      <c r="C7" s="9">
        <v>46.2</v>
      </c>
      <c r="D7" s="9">
        <v>47.4</v>
      </c>
      <c r="E7" s="9">
        <v>45.2</v>
      </c>
      <c r="F7" s="9">
        <v>38.8</v>
      </c>
      <c r="G7" s="9">
        <v>41.0</v>
      </c>
      <c r="H7" s="9">
        <v>44.9</v>
      </c>
      <c r="I7" s="9">
        <v>47.7</v>
      </c>
      <c r="J7" s="9">
        <v>51.0</v>
      </c>
      <c r="K7" s="9">
        <v>55.4</v>
      </c>
    </row>
    <row r="8" ht="18.0" customHeight="1">
      <c r="A8" s="27" t="s">
        <v>206</v>
      </c>
      <c r="B8" s="28">
        <f t="shared" ref="B8:K8" si="1">B7/B6</f>
        <v>0.1252045557</v>
      </c>
      <c r="C8" s="28">
        <f t="shared" si="1"/>
        <v>0.1290986012</v>
      </c>
      <c r="D8" s="28">
        <f t="shared" si="1"/>
        <v>0.14082624</v>
      </c>
      <c r="E8" s="28">
        <f t="shared" si="1"/>
        <v>0.1335133203</v>
      </c>
      <c r="F8" s="28">
        <f t="shared" si="1"/>
        <v>0.1519721123</v>
      </c>
      <c r="G8" s="28">
        <f t="shared" si="1"/>
        <v>0.09963015343</v>
      </c>
      <c r="H8" s="28">
        <f t="shared" si="1"/>
        <v>0.0959530877</v>
      </c>
      <c r="I8" s="28">
        <f t="shared" si="1"/>
        <v>0.09812513114</v>
      </c>
      <c r="J8" s="28">
        <f t="shared" si="1"/>
        <v>0.1027388982</v>
      </c>
      <c r="K8" s="28">
        <f t="shared" si="1"/>
        <v>0.1045614459</v>
      </c>
    </row>
    <row r="9" ht="18.0" customHeight="1">
      <c r="A9" s="27" t="s">
        <v>20</v>
      </c>
      <c r="B9" s="25">
        <f>'02 Historical Financials'!B33</f>
        <v>220</v>
      </c>
      <c r="C9" s="25">
        <f>'02 Historical Financials'!C33</f>
        <v>233.9</v>
      </c>
      <c r="D9" s="25">
        <f>'02 Historical Financials'!D33</f>
        <v>212.9</v>
      </c>
      <c r="E9" s="25">
        <f>'02 Historical Financials'!E33</f>
        <v>150.5</v>
      </c>
      <c r="F9" s="25">
        <f>'02 Historical Financials'!F33</f>
        <v>133.9</v>
      </c>
      <c r="G9" s="25">
        <f>'02 Historical Financials'!G33</f>
        <v>98.6</v>
      </c>
      <c r="H9" s="25">
        <f>'02 Historical Financials'!H33</f>
        <v>86.5</v>
      </c>
      <c r="I9" s="25">
        <f>'02 Historical Financials'!I33</f>
        <v>83.6</v>
      </c>
      <c r="J9" s="25">
        <f>'02 Historical Financials'!J33</f>
        <v>97</v>
      </c>
      <c r="K9" s="25">
        <f>'02 Historical Financials'!K33</f>
        <v>127.3</v>
      </c>
    </row>
    <row r="10" ht="18.0" customHeight="1">
      <c r="A10" s="27" t="s">
        <v>207</v>
      </c>
      <c r="B10" s="25">
        <f>'02 Historical Financials'!B32</f>
        <v>0</v>
      </c>
      <c r="C10" s="25">
        <f>'02 Historical Financials'!C32</f>
        <v>0</v>
      </c>
      <c r="D10" s="25">
        <f>'02 Historical Financials'!D32</f>
        <v>0</v>
      </c>
      <c r="E10" s="25">
        <f>'02 Historical Financials'!E32</f>
        <v>0</v>
      </c>
      <c r="F10" s="25">
        <f>'02 Historical Financials'!F32</f>
        <v>0</v>
      </c>
      <c r="G10" s="25">
        <f>'02 Historical Financials'!G32</f>
        <v>0</v>
      </c>
      <c r="H10" s="25">
        <f>'02 Historical Financials'!H32</f>
        <v>0</v>
      </c>
      <c r="I10" s="25">
        <f>'02 Historical Financials'!I32</f>
        <v>0</v>
      </c>
      <c r="J10" s="25">
        <f>'02 Historical Financials'!J32</f>
        <v>0</v>
      </c>
      <c r="K10" s="25">
        <f>'02 Historical Financials'!K32</f>
        <v>0</v>
      </c>
    </row>
    <row r="11" ht="18.0" customHeight="1">
      <c r="A11" s="27" t="s">
        <v>208</v>
      </c>
      <c r="B11" s="30">
        <f t="shared" ref="B11:K11" si="2">B10+B9</f>
        <v>220</v>
      </c>
      <c r="C11" s="30">
        <f t="shared" si="2"/>
        <v>233.9</v>
      </c>
      <c r="D11" s="30">
        <f t="shared" si="2"/>
        <v>212.9</v>
      </c>
      <c r="E11" s="30">
        <f t="shared" si="2"/>
        <v>150.5</v>
      </c>
      <c r="F11" s="30">
        <f t="shared" si="2"/>
        <v>133.9</v>
      </c>
      <c r="G11" s="30">
        <f t="shared" si="2"/>
        <v>98.6</v>
      </c>
      <c r="H11" s="30">
        <f t="shared" si="2"/>
        <v>86.5</v>
      </c>
      <c r="I11" s="30">
        <f t="shared" si="2"/>
        <v>83.6</v>
      </c>
      <c r="J11" s="30">
        <f t="shared" si="2"/>
        <v>97</v>
      </c>
      <c r="K11" s="30">
        <f t="shared" si="2"/>
        <v>127.3</v>
      </c>
    </row>
    <row r="12" ht="18.0" customHeight="1">
      <c r="A12" s="27" t="s">
        <v>116</v>
      </c>
      <c r="B12" s="25">
        <f>'02 Historical Financials'!B14</f>
        <v>14.874</v>
      </c>
      <c r="C12" s="25">
        <f>'02 Historical Financials'!C14</f>
        <v>29.989</v>
      </c>
      <c r="D12" s="25">
        <f>'02 Historical Financials'!D14</f>
        <v>-2.38</v>
      </c>
      <c r="E12" s="25">
        <f>'02 Historical Financials'!E14</f>
        <v>15.281</v>
      </c>
      <c r="F12" s="25">
        <f>'02 Historical Financials'!F14</f>
        <v>-6.884</v>
      </c>
      <c r="G12" s="25">
        <f>'02 Historical Financials'!G14</f>
        <v>62.981</v>
      </c>
      <c r="H12" s="25">
        <f>'02 Historical Financials'!H14</f>
        <v>74.425</v>
      </c>
      <c r="I12" s="25">
        <f>'02 Historical Financials'!I14</f>
        <v>79.057</v>
      </c>
      <c r="J12" s="25">
        <f>'02 Historical Financials'!J14</f>
        <v>81.052</v>
      </c>
      <c r="K12" s="25">
        <f>'02 Historical Financials'!K14</f>
        <v>81.378</v>
      </c>
    </row>
    <row r="13" ht="18.0" customHeight="1">
      <c r="A13" s="27" t="s">
        <v>209</v>
      </c>
      <c r="B13" s="43">
        <f t="shared" ref="B13:K13" si="3">IF(B12&gt;0,B11/B12,"NM")</f>
        <v>14.79091031</v>
      </c>
      <c r="C13" s="43">
        <f t="shared" si="3"/>
        <v>7.799526493</v>
      </c>
      <c r="D13" s="43" t="str">
        <f t="shared" si="3"/>
        <v>NM</v>
      </c>
      <c r="E13" s="43">
        <f t="shared" si="3"/>
        <v>9.848831883</v>
      </c>
      <c r="F13" s="43" t="str">
        <f t="shared" si="3"/>
        <v>NM</v>
      </c>
      <c r="G13" s="43">
        <f t="shared" si="3"/>
        <v>1.565551516</v>
      </c>
      <c r="H13" s="43">
        <f t="shared" si="3"/>
        <v>1.16224387</v>
      </c>
      <c r="I13" s="43">
        <f t="shared" si="3"/>
        <v>1.057464867</v>
      </c>
      <c r="J13" s="43">
        <f t="shared" si="3"/>
        <v>1.196762572</v>
      </c>
      <c r="K13" s="43">
        <f t="shared" si="3"/>
        <v>1.564304849</v>
      </c>
    </row>
    <row r="14" ht="18.0" customHeight="1">
      <c r="A14" s="27" t="s">
        <v>210</v>
      </c>
      <c r="B14" s="30">
        <f t="shared" ref="B14:K14" si="4">B12+B7</f>
        <v>60.474</v>
      </c>
      <c r="C14" s="30">
        <f t="shared" si="4"/>
        <v>76.189</v>
      </c>
      <c r="D14" s="30">
        <f t="shared" si="4"/>
        <v>45.02</v>
      </c>
      <c r="E14" s="30">
        <f t="shared" si="4"/>
        <v>60.481</v>
      </c>
      <c r="F14" s="30">
        <f t="shared" si="4"/>
        <v>31.916</v>
      </c>
      <c r="G14" s="30">
        <f t="shared" si="4"/>
        <v>103.981</v>
      </c>
      <c r="H14" s="30">
        <f t="shared" si="4"/>
        <v>119.325</v>
      </c>
      <c r="I14" s="30">
        <f t="shared" si="4"/>
        <v>126.757</v>
      </c>
      <c r="J14" s="30">
        <f t="shared" si="4"/>
        <v>132.052</v>
      </c>
      <c r="K14" s="30">
        <f t="shared" si="4"/>
        <v>136.778</v>
      </c>
    </row>
    <row r="15" ht="18.0" customHeight="1">
      <c r="A15" s="27" t="s">
        <v>211</v>
      </c>
      <c r="B15" s="43">
        <f t="shared" ref="B15:K15" si="5">B14/B7</f>
        <v>1.326184211</v>
      </c>
      <c r="C15" s="43">
        <f t="shared" si="5"/>
        <v>1.649112554</v>
      </c>
      <c r="D15" s="43">
        <f t="shared" si="5"/>
        <v>0.9497890295</v>
      </c>
      <c r="E15" s="43">
        <f t="shared" si="5"/>
        <v>1.338075221</v>
      </c>
      <c r="F15" s="43">
        <f t="shared" si="5"/>
        <v>0.8225773196</v>
      </c>
      <c r="G15" s="43">
        <f t="shared" si="5"/>
        <v>2.536121951</v>
      </c>
      <c r="H15" s="43">
        <f t="shared" si="5"/>
        <v>2.657572383</v>
      </c>
      <c r="I15" s="43">
        <f t="shared" si="5"/>
        <v>2.657379455</v>
      </c>
      <c r="J15" s="43">
        <f t="shared" si="5"/>
        <v>2.589254902</v>
      </c>
      <c r="K15" s="43">
        <f t="shared" si="5"/>
        <v>2.468916968</v>
      </c>
    </row>
    <row r="16" ht="18.0" customHeight="1">
      <c r="A16" s="7"/>
      <c r="B16" s="7"/>
      <c r="C16" s="7"/>
      <c r="D16" s="7"/>
      <c r="E16" s="7"/>
      <c r="F16" s="7"/>
      <c r="G16" s="7"/>
      <c r="H16" s="7"/>
      <c r="I16" s="7"/>
      <c r="J16" s="7"/>
      <c r="K16" s="7"/>
    </row>
    <row r="17" ht="18.0" customHeight="1">
      <c r="A17" s="7"/>
      <c r="B17" s="7"/>
      <c r="C17" s="7"/>
      <c r="D17" s="7"/>
      <c r="E17" s="7"/>
      <c r="F17" s="7"/>
      <c r="G17" s="7"/>
      <c r="H17" s="7"/>
      <c r="I17" s="7"/>
      <c r="J17" s="7"/>
      <c r="K17" s="7"/>
    </row>
    <row r="18" ht="18.0" customHeight="1">
      <c r="A18" s="4" t="s">
        <v>212</v>
      </c>
    </row>
    <row r="19" ht="18.0" customHeight="1">
      <c r="A19" s="5" t="s">
        <v>213</v>
      </c>
      <c r="B19" s="28">
        <f>K8</f>
        <v>0.1045614459</v>
      </c>
      <c r="C19" s="7"/>
      <c r="D19" s="7"/>
      <c r="E19" s="7"/>
      <c r="F19" s="7"/>
      <c r="G19" s="7"/>
      <c r="H19" s="7"/>
      <c r="I19" s="7"/>
      <c r="J19" s="7"/>
      <c r="K19" s="7"/>
    </row>
    <row r="20" ht="18.0" customHeight="1">
      <c r="A20" s="5" t="s">
        <v>214</v>
      </c>
      <c r="B20" s="43">
        <f>K13</f>
        <v>1.564304849</v>
      </c>
      <c r="C20" s="7"/>
      <c r="D20" s="7"/>
      <c r="E20" s="7"/>
      <c r="F20" s="7"/>
      <c r="G20" s="7"/>
      <c r="H20" s="7"/>
      <c r="I20" s="7"/>
      <c r="J20" s="7"/>
      <c r="K20" s="7"/>
    </row>
    <row r="21" ht="18.0" customHeight="1">
      <c r="A21" s="5" t="s">
        <v>215</v>
      </c>
      <c r="B21" s="43">
        <f>K15</f>
        <v>2.468916968</v>
      </c>
      <c r="C21" s="7"/>
      <c r="D21" s="7"/>
      <c r="E21" s="7"/>
      <c r="F21" s="7"/>
      <c r="G21" s="7"/>
      <c r="H21" s="7"/>
      <c r="I21" s="7"/>
      <c r="J21" s="7"/>
      <c r="K21" s="7"/>
    </row>
    <row r="22" ht="18.0" customHeight="1">
      <c r="A22" s="5" t="s">
        <v>216</v>
      </c>
      <c r="B22" s="42" t="str">
        <f>IF(OR(B19&gt;15%,B20&gt;3,B21&lt;1.5),"High Lease Risk",IF(OR(B19&gt;10%,B20&gt;2,B21&lt;2),"Moderate Lease Risk","Manageable"))</f>
        <v>Moderate Lease Risk</v>
      </c>
      <c r="C22" s="7"/>
      <c r="D22" s="7"/>
      <c r="E22" s="7"/>
      <c r="F22" s="7"/>
      <c r="G22" s="7"/>
      <c r="H22" s="7"/>
      <c r="I22" s="7"/>
      <c r="J22" s="7"/>
      <c r="K22" s="7"/>
    </row>
    <row r="23" ht="18.0" customHeight="1">
      <c r="A23" s="7"/>
      <c r="B23" s="7"/>
      <c r="C23" s="7"/>
      <c r="D23" s="7"/>
      <c r="E23" s="7"/>
      <c r="F23" s="7"/>
      <c r="G23" s="7"/>
      <c r="H23" s="7"/>
      <c r="I23" s="7"/>
      <c r="J23" s="7"/>
      <c r="K23" s="7"/>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K1"/>
    <mergeCell ref="A2:K2"/>
    <mergeCell ref="A5:K5"/>
    <mergeCell ref="A18:K18"/>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217</v>
      </c>
    </row>
    <row r="2" ht="24.0" customHeight="1">
      <c r="A2" s="3" t="s">
        <v>218</v>
      </c>
    </row>
    <row r="4" ht="18.0" customHeight="1">
      <c r="A4" s="7"/>
      <c r="B4" s="26">
        <v>2016.0</v>
      </c>
      <c r="C4" s="26">
        <v>2017.0</v>
      </c>
      <c r="D4" s="26">
        <v>2018.0</v>
      </c>
      <c r="E4" s="26">
        <v>2019.0</v>
      </c>
      <c r="F4" s="26">
        <v>2020.0</v>
      </c>
      <c r="G4" s="26">
        <v>2021.0</v>
      </c>
      <c r="H4" s="26">
        <v>2022.0</v>
      </c>
      <c r="I4" s="26">
        <v>2023.0</v>
      </c>
      <c r="J4" s="26">
        <v>2024.0</v>
      </c>
      <c r="K4" s="26">
        <v>2025.0</v>
      </c>
    </row>
    <row r="5" ht="18.0" customHeight="1">
      <c r="A5" s="4" t="s">
        <v>219</v>
      </c>
    </row>
    <row r="6" ht="18.0" customHeight="1">
      <c r="A6" s="27" t="s">
        <v>220</v>
      </c>
      <c r="B6" s="25">
        <f>'02 Historical Financials'!B25</f>
        <v>27.251</v>
      </c>
      <c r="C6" s="25">
        <f>'02 Historical Financials'!C25</f>
        <v>17.763</v>
      </c>
      <c r="D6" s="25">
        <f>'02 Historical Financials'!D25</f>
        <v>11.253</v>
      </c>
      <c r="E6" s="25">
        <f>'02 Historical Financials'!E25</f>
        <v>12.384</v>
      </c>
      <c r="F6" s="25">
        <f>'02 Historical Financials'!F25</f>
        <v>5.046</v>
      </c>
      <c r="G6" s="25">
        <f>'02 Historical Financials'!G25</f>
        <v>8.13</v>
      </c>
      <c r="H6" s="25">
        <f>'02 Historical Financials'!H25</f>
        <v>13.634</v>
      </c>
      <c r="I6" s="25">
        <f>'02 Historical Financials'!I25</f>
        <v>18.295</v>
      </c>
      <c r="J6" s="25">
        <f>'02 Historical Financials'!J25</f>
        <v>19.317</v>
      </c>
      <c r="K6" s="25">
        <f>'02 Historical Financials'!K25</f>
        <v>25.545</v>
      </c>
    </row>
    <row r="7" ht="18.0" customHeight="1">
      <c r="A7" s="27" t="s">
        <v>140</v>
      </c>
      <c r="B7" s="25">
        <f>'03 Store Count Schedule'!B10</f>
        <v>337.5</v>
      </c>
      <c r="C7" s="25">
        <f>'03 Store Count Schedule'!C10</f>
        <v>353.5</v>
      </c>
      <c r="D7" s="25">
        <f>'03 Store Count Schedule'!D10</f>
        <v>367</v>
      </c>
      <c r="E7" s="25">
        <f>'03 Store Count Schedule'!E10</f>
        <v>372.5</v>
      </c>
      <c r="F7" s="25">
        <f>'03 Store Count Schedule'!F10</f>
        <v>363</v>
      </c>
      <c r="G7" s="25">
        <f>'03 Store Count Schedule'!G10</f>
        <v>350</v>
      </c>
      <c r="H7" s="25">
        <f>'03 Store Count Schedule'!H10</f>
        <v>348</v>
      </c>
      <c r="I7" s="25">
        <f>'03 Store Count Schedule'!I10</f>
        <v>354.5</v>
      </c>
      <c r="J7" s="25">
        <f>'03 Store Count Schedule'!J10</f>
        <v>363.5</v>
      </c>
      <c r="K7" s="25">
        <f>'03 Store Count Schedule'!K10</f>
        <v>371.5</v>
      </c>
    </row>
    <row r="8" ht="18.0" customHeight="1">
      <c r="A8" s="27" t="s">
        <v>137</v>
      </c>
      <c r="B8" s="21">
        <f>'03 Store Count Schedule'!B7</f>
        <v>35</v>
      </c>
      <c r="C8" s="21">
        <f>'03 Store Count Schedule'!C7</f>
        <v>41</v>
      </c>
      <c r="D8" s="21">
        <f>'03 Store Count Schedule'!D7</f>
        <v>45</v>
      </c>
      <c r="E8" s="21">
        <f>'03 Store Count Schedule'!E7</f>
        <v>19</v>
      </c>
      <c r="F8" s="21">
        <f>'03 Store Count Schedule'!F7</f>
        <v>3</v>
      </c>
      <c r="G8" s="21">
        <f>'03 Store Count Schedule'!G7</f>
        <v>5</v>
      </c>
      <c r="H8" s="21">
        <f>'03 Store Count Schedule'!H7</f>
        <v>12</v>
      </c>
      <c r="I8" s="21">
        <f>'03 Store Count Schedule'!I7</f>
        <v>11</v>
      </c>
      <c r="J8" s="21">
        <f>'03 Store Count Schedule'!J7</f>
        <v>17</v>
      </c>
      <c r="K8" s="21">
        <f>'03 Store Count Schedule'!K7</f>
        <v>9</v>
      </c>
    </row>
    <row r="9" ht="18.0" customHeight="1">
      <c r="A9" s="27" t="s">
        <v>52</v>
      </c>
      <c r="B9" s="25">
        <f>'00 Control'!$B$33</f>
        <v>0.04</v>
      </c>
      <c r="C9" s="25">
        <f>'00 Control'!$B$33</f>
        <v>0.04</v>
      </c>
      <c r="D9" s="25">
        <f>'00 Control'!$B$33</f>
        <v>0.04</v>
      </c>
      <c r="E9" s="25">
        <f>'00 Control'!$B$33</f>
        <v>0.04</v>
      </c>
      <c r="F9" s="25">
        <f>'00 Control'!$B$33</f>
        <v>0.04</v>
      </c>
      <c r="G9" s="25">
        <f>'00 Control'!$B$33</f>
        <v>0.04</v>
      </c>
      <c r="H9" s="25">
        <f>'00 Control'!$B$33</f>
        <v>0.04</v>
      </c>
      <c r="I9" s="25">
        <f>'00 Control'!$B$33</f>
        <v>0.04</v>
      </c>
      <c r="J9" s="25">
        <f>'00 Control'!$B$33</f>
        <v>0.04</v>
      </c>
      <c r="K9" s="25">
        <f>'00 Control'!$B$33</f>
        <v>0.04</v>
      </c>
    </row>
    <row r="10" ht="18.0" customHeight="1">
      <c r="A10" s="27" t="s">
        <v>221</v>
      </c>
      <c r="B10" s="30">
        <f t="shared" ref="B10:K10" si="1">MIN(B6,B7*B9)</f>
        <v>13.5</v>
      </c>
      <c r="C10" s="30">
        <f t="shared" si="1"/>
        <v>14.14</v>
      </c>
      <c r="D10" s="30">
        <f t="shared" si="1"/>
        <v>11.253</v>
      </c>
      <c r="E10" s="30">
        <f t="shared" si="1"/>
        <v>12.384</v>
      </c>
      <c r="F10" s="30">
        <f t="shared" si="1"/>
        <v>5.046</v>
      </c>
      <c r="G10" s="30">
        <f t="shared" si="1"/>
        <v>8.13</v>
      </c>
      <c r="H10" s="30">
        <f t="shared" si="1"/>
        <v>13.634</v>
      </c>
      <c r="I10" s="30">
        <f t="shared" si="1"/>
        <v>14.18</v>
      </c>
      <c r="J10" s="30">
        <f t="shared" si="1"/>
        <v>14.54</v>
      </c>
      <c r="K10" s="30">
        <f t="shared" si="1"/>
        <v>14.86</v>
      </c>
    </row>
    <row r="11" ht="18.0" customHeight="1">
      <c r="A11" s="27" t="s">
        <v>222</v>
      </c>
      <c r="B11" s="30">
        <f t="shared" ref="B11:K11" si="2">MAX(B6-B10,0)</f>
        <v>13.751</v>
      </c>
      <c r="C11" s="30">
        <f t="shared" si="2"/>
        <v>3.623</v>
      </c>
      <c r="D11" s="30">
        <f t="shared" si="2"/>
        <v>0</v>
      </c>
      <c r="E11" s="30">
        <f t="shared" si="2"/>
        <v>0</v>
      </c>
      <c r="F11" s="30">
        <f t="shared" si="2"/>
        <v>0</v>
      </c>
      <c r="G11" s="30">
        <f t="shared" si="2"/>
        <v>0</v>
      </c>
      <c r="H11" s="30">
        <f t="shared" si="2"/>
        <v>0</v>
      </c>
      <c r="I11" s="30">
        <f t="shared" si="2"/>
        <v>4.115</v>
      </c>
      <c r="J11" s="30">
        <f t="shared" si="2"/>
        <v>4.777</v>
      </c>
      <c r="K11" s="30">
        <f t="shared" si="2"/>
        <v>10.685</v>
      </c>
    </row>
    <row r="12" ht="18.0" customHeight="1">
      <c r="A12" s="27" t="s">
        <v>223</v>
      </c>
      <c r="B12" s="30">
        <f t="shared" ref="B12:K12" si="3">IFERROR(B11/B8,0)</f>
        <v>0.3928857143</v>
      </c>
      <c r="C12" s="30">
        <f t="shared" si="3"/>
        <v>0.08836585366</v>
      </c>
      <c r="D12" s="30">
        <f t="shared" si="3"/>
        <v>0</v>
      </c>
      <c r="E12" s="30">
        <f t="shared" si="3"/>
        <v>0</v>
      </c>
      <c r="F12" s="30">
        <f t="shared" si="3"/>
        <v>0</v>
      </c>
      <c r="G12" s="30">
        <f t="shared" si="3"/>
        <v>0</v>
      </c>
      <c r="H12" s="30">
        <f t="shared" si="3"/>
        <v>0</v>
      </c>
      <c r="I12" s="30">
        <f t="shared" si="3"/>
        <v>0.3740909091</v>
      </c>
      <c r="J12" s="30">
        <f t="shared" si="3"/>
        <v>0.281</v>
      </c>
      <c r="K12" s="30">
        <f t="shared" si="3"/>
        <v>1.187222222</v>
      </c>
    </row>
    <row r="13" ht="18.0" customHeight="1">
      <c r="A13" s="27" t="s">
        <v>224</v>
      </c>
      <c r="B13" s="28">
        <f t="shared" ref="B13:K13" si="4">IFERROR(B10/B6,0)</f>
        <v>0.4953946644</v>
      </c>
      <c r="C13" s="28">
        <f t="shared" si="4"/>
        <v>0.7960367055</v>
      </c>
      <c r="D13" s="28">
        <f t="shared" si="4"/>
        <v>1</v>
      </c>
      <c r="E13" s="28">
        <f t="shared" si="4"/>
        <v>1</v>
      </c>
      <c r="F13" s="28">
        <f t="shared" si="4"/>
        <v>1</v>
      </c>
      <c r="G13" s="28">
        <f t="shared" si="4"/>
        <v>1</v>
      </c>
      <c r="H13" s="28">
        <f t="shared" si="4"/>
        <v>1</v>
      </c>
      <c r="I13" s="28">
        <f t="shared" si="4"/>
        <v>0.7750751571</v>
      </c>
      <c r="J13" s="28">
        <f t="shared" si="4"/>
        <v>0.7527048714</v>
      </c>
      <c r="K13" s="28">
        <f t="shared" si="4"/>
        <v>0.5817185359</v>
      </c>
    </row>
    <row r="14" ht="18.0" customHeight="1">
      <c r="A14" s="27" t="s">
        <v>225</v>
      </c>
      <c r="B14" s="28">
        <f t="shared" ref="B14:K14" si="5">IFERROR(B11/B6,0)</f>
        <v>0.5046053356</v>
      </c>
      <c r="C14" s="28">
        <f t="shared" si="5"/>
        <v>0.2039632945</v>
      </c>
      <c r="D14" s="28">
        <f t="shared" si="5"/>
        <v>0</v>
      </c>
      <c r="E14" s="28">
        <f t="shared" si="5"/>
        <v>0</v>
      </c>
      <c r="F14" s="28">
        <f t="shared" si="5"/>
        <v>0</v>
      </c>
      <c r="G14" s="28">
        <f t="shared" si="5"/>
        <v>0</v>
      </c>
      <c r="H14" s="28">
        <f t="shared" si="5"/>
        <v>0</v>
      </c>
      <c r="I14" s="28">
        <f t="shared" si="5"/>
        <v>0.2249248429</v>
      </c>
      <c r="J14" s="28">
        <f t="shared" si="5"/>
        <v>0.2472951286</v>
      </c>
      <c r="K14" s="28">
        <f t="shared" si="5"/>
        <v>0.4182814641</v>
      </c>
    </row>
    <row r="15" ht="18.0" customHeight="1">
      <c r="A15" s="27" t="s">
        <v>226</v>
      </c>
      <c r="B15" s="28">
        <f>B6/'02 Historical Financials'!B6</f>
        <v>0.07482345059</v>
      </c>
      <c r="C15" s="28">
        <f>C6/'02 Historical Financials'!C6</f>
        <v>0.04963589724</v>
      </c>
      <c r="D15" s="28">
        <f>D6/'02 Historical Financials'!D6</f>
        <v>0.03343286243</v>
      </c>
      <c r="E15" s="28">
        <f>E6/'02 Historical Financials'!E6</f>
        <v>0.0365802867</v>
      </c>
      <c r="F15" s="28">
        <f>F6/'02 Historical Financials'!F6</f>
        <v>0.01976420822</v>
      </c>
      <c r="G15" s="28">
        <f>G6/'02 Historical Financials'!G6</f>
        <v>0.01975593042</v>
      </c>
      <c r="H15" s="28">
        <f>H6/'02 Historical Financials'!H6</f>
        <v>0.02913640084</v>
      </c>
      <c r="I15" s="28">
        <f>I6/'02 Historical Financials'!I6</f>
        <v>0.03763520491</v>
      </c>
      <c r="J15" s="28">
        <f>J6/'02 Historical Financials'!J6</f>
        <v>0.03891386854</v>
      </c>
      <c r="K15" s="28">
        <f>K6/'02 Historical Financials'!K6</f>
        <v>0.04821339594</v>
      </c>
    </row>
    <row r="16" ht="18.0" customHeight="1">
      <c r="A16" s="7"/>
      <c r="B16" s="7"/>
      <c r="C16" s="7"/>
      <c r="D16" s="7"/>
      <c r="E16" s="7"/>
      <c r="F16" s="7"/>
      <c r="G16" s="7"/>
      <c r="H16" s="7"/>
      <c r="I16" s="7"/>
      <c r="J16" s="7"/>
      <c r="K16" s="7"/>
    </row>
    <row r="17" ht="18.0" customHeight="1">
      <c r="A17" s="7"/>
      <c r="B17" s="7"/>
      <c r="C17" s="7"/>
      <c r="D17" s="7"/>
      <c r="E17" s="7"/>
      <c r="F17" s="7"/>
      <c r="G17" s="7"/>
      <c r="H17" s="7"/>
      <c r="I17" s="7"/>
      <c r="J17" s="7"/>
      <c r="K17" s="7"/>
    </row>
    <row r="18" ht="18.0" customHeight="1">
      <c r="A18" s="4" t="s">
        <v>227</v>
      </c>
    </row>
    <row r="19" ht="18.0" customHeight="1">
      <c r="A19" s="5" t="s">
        <v>228</v>
      </c>
      <c r="B19" s="30">
        <f>MEDIAN(B6:K6)</f>
        <v>15.6985</v>
      </c>
      <c r="C19" s="7"/>
      <c r="D19" s="7"/>
      <c r="E19" s="7"/>
      <c r="F19" s="7"/>
      <c r="G19" s="7"/>
      <c r="H19" s="7"/>
      <c r="I19" s="7"/>
      <c r="J19" s="7"/>
      <c r="K19" s="7"/>
    </row>
    <row r="20" ht="18.0" customHeight="1">
      <c r="A20" s="5" t="s">
        <v>229</v>
      </c>
      <c r="B20" s="30">
        <f>MEDIAN(B10:K10)</f>
        <v>13.567</v>
      </c>
      <c r="C20" s="7"/>
      <c r="D20" s="7"/>
      <c r="E20" s="7"/>
      <c r="F20" s="7"/>
      <c r="G20" s="7"/>
      <c r="H20" s="7"/>
      <c r="I20" s="7"/>
      <c r="J20" s="7"/>
      <c r="K20" s="7"/>
    </row>
    <row r="21" ht="18.0" customHeight="1">
      <c r="A21" s="5" t="s">
        <v>230</v>
      </c>
      <c r="B21" s="30">
        <f>MEDIAN(B12:K12)</f>
        <v>0.04418292683</v>
      </c>
      <c r="C21" s="7"/>
      <c r="D21" s="7"/>
      <c r="E21" s="7"/>
      <c r="F21" s="7"/>
      <c r="G21" s="7"/>
      <c r="H21" s="7"/>
      <c r="I21" s="7"/>
      <c r="J21" s="7"/>
      <c r="K21" s="7"/>
    </row>
    <row r="22" ht="18.0" customHeight="1">
      <c r="A22" s="5" t="s">
        <v>231</v>
      </c>
      <c r="B22" s="25">
        <f>'00 Control'!$B$34</f>
        <v>0.55</v>
      </c>
      <c r="C22" s="7"/>
      <c r="D22" s="7"/>
      <c r="E22" s="7"/>
      <c r="F22" s="7"/>
      <c r="G22" s="7"/>
      <c r="H22" s="7"/>
      <c r="I22" s="7"/>
      <c r="J22" s="7"/>
      <c r="K22" s="7"/>
    </row>
    <row r="23" ht="18.0" customHeight="1">
      <c r="A23" s="7"/>
      <c r="B23" s="7"/>
      <c r="C23" s="7"/>
      <c r="D23" s="7"/>
      <c r="E23" s="7"/>
      <c r="F23" s="7"/>
      <c r="G23" s="7"/>
      <c r="H23" s="7"/>
      <c r="I23" s="7"/>
      <c r="J23" s="7"/>
      <c r="K23" s="7"/>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K1"/>
    <mergeCell ref="A2:K2"/>
    <mergeCell ref="A5:K5"/>
    <mergeCell ref="A18:K18"/>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41.25"/>
    <col customWidth="1" min="2" max="2" width="21.13"/>
    <col customWidth="1" min="3" max="11" width="14.0"/>
    <col customWidth="1" min="12" max="26" width="8.63"/>
  </cols>
  <sheetData>
    <row r="1" ht="27.75" customHeight="1">
      <c r="A1" s="1" t="s">
        <v>92</v>
      </c>
    </row>
    <row r="2" ht="24.0" customHeight="1">
      <c r="A2" s="3" t="s">
        <v>232</v>
      </c>
    </row>
    <row r="4" ht="18.0" customHeight="1">
      <c r="A4" s="4" t="s">
        <v>233</v>
      </c>
    </row>
    <row r="5" ht="18.0" customHeight="1">
      <c r="A5" s="7"/>
      <c r="B5" s="7"/>
      <c r="C5" s="7"/>
      <c r="D5" s="7"/>
      <c r="E5" s="7"/>
      <c r="F5" s="7"/>
      <c r="G5" s="7"/>
      <c r="H5" s="7"/>
      <c r="I5" s="7"/>
      <c r="J5" s="7"/>
      <c r="K5" s="7"/>
    </row>
    <row r="6" ht="18.0" customHeight="1">
      <c r="A6" s="44" t="s">
        <v>234</v>
      </c>
      <c r="B6" s="45" t="s">
        <v>235</v>
      </c>
      <c r="C6" s="7"/>
      <c r="D6" s="7"/>
      <c r="E6" s="7"/>
      <c r="F6" s="7"/>
      <c r="G6" s="7"/>
      <c r="H6" s="7"/>
      <c r="I6" s="7"/>
      <c r="J6" s="7"/>
      <c r="K6" s="7"/>
    </row>
    <row r="7" ht="18.0" customHeight="1">
      <c r="A7" s="11" t="s">
        <v>236</v>
      </c>
      <c r="B7" s="9">
        <v>1.25</v>
      </c>
      <c r="C7" s="7"/>
      <c r="D7" s="7"/>
      <c r="E7" s="7"/>
      <c r="F7" s="7"/>
      <c r="G7" s="7"/>
      <c r="H7" s="7"/>
      <c r="I7" s="7"/>
      <c r="J7" s="7"/>
      <c r="K7" s="7"/>
    </row>
    <row r="8" ht="18.0" customHeight="1">
      <c r="A8" s="11" t="s">
        <v>46</v>
      </c>
      <c r="B8" s="10">
        <v>0.2</v>
      </c>
      <c r="C8" s="7"/>
      <c r="D8" s="7"/>
      <c r="E8" s="7"/>
      <c r="F8" s="7"/>
      <c r="G8" s="7"/>
      <c r="H8" s="7"/>
      <c r="I8" s="7"/>
      <c r="J8" s="7"/>
      <c r="K8" s="7"/>
    </row>
    <row r="9" ht="18.0" customHeight="1">
      <c r="A9" s="11" t="s">
        <v>176</v>
      </c>
      <c r="B9" s="46">
        <f>B7*B8</f>
        <v>0.25</v>
      </c>
      <c r="C9" s="7"/>
      <c r="D9" s="7"/>
      <c r="E9" s="7"/>
      <c r="F9" s="7"/>
      <c r="G9" s="7"/>
      <c r="H9" s="7"/>
      <c r="I9" s="7"/>
      <c r="J9" s="7"/>
      <c r="K9" s="7"/>
    </row>
    <row r="10" ht="18.0" customHeight="1">
      <c r="A10" s="11" t="s">
        <v>54</v>
      </c>
      <c r="B10" s="47">
        <v>0.55</v>
      </c>
      <c r="C10" s="7"/>
      <c r="D10" s="7"/>
      <c r="E10" s="7"/>
      <c r="F10" s="48"/>
      <c r="G10" s="44"/>
      <c r="H10" s="44"/>
      <c r="I10" s="7"/>
      <c r="J10" s="7"/>
      <c r="K10" s="7"/>
    </row>
    <row r="11" ht="18.0" customHeight="1">
      <c r="A11" s="11" t="s">
        <v>52</v>
      </c>
      <c r="B11" s="47">
        <v>0.04</v>
      </c>
      <c r="C11" s="7"/>
      <c r="D11" s="7"/>
      <c r="E11" s="7"/>
      <c r="F11" s="49"/>
      <c r="H11" s="50"/>
      <c r="I11" s="7"/>
      <c r="J11" s="7"/>
      <c r="K11" s="7"/>
    </row>
    <row r="12" ht="18.0" customHeight="1">
      <c r="A12" s="11" t="s">
        <v>237</v>
      </c>
      <c r="B12" s="10">
        <v>0.06</v>
      </c>
      <c r="C12" s="7"/>
      <c r="D12" s="7"/>
      <c r="E12" s="7"/>
      <c r="F12" s="49"/>
      <c r="H12" s="50"/>
      <c r="I12" s="7"/>
      <c r="J12" s="7"/>
      <c r="K12" s="7"/>
    </row>
    <row r="13" ht="18.0" customHeight="1">
      <c r="A13" s="11" t="s">
        <v>238</v>
      </c>
      <c r="B13" s="51">
        <f>B7*B12</f>
        <v>0.075</v>
      </c>
      <c r="C13" s="7"/>
      <c r="D13" s="7"/>
      <c r="E13" s="7"/>
      <c r="F13" s="49"/>
      <c r="H13" s="50"/>
      <c r="I13" s="7"/>
      <c r="J13" s="7"/>
      <c r="K13" s="7"/>
    </row>
    <row r="14" ht="18.0" customHeight="1">
      <c r="A14" s="11" t="s">
        <v>239</v>
      </c>
      <c r="B14" s="52">
        <v>0.145</v>
      </c>
      <c r="C14" s="7"/>
      <c r="D14" s="7"/>
      <c r="E14" s="7"/>
      <c r="F14" s="49"/>
      <c r="H14" s="50"/>
      <c r="I14" s="7"/>
      <c r="J14" s="7"/>
      <c r="K14" s="7"/>
    </row>
    <row r="15" ht="18.0" customHeight="1">
      <c r="A15" s="11" t="s">
        <v>240</v>
      </c>
      <c r="B15" s="46">
        <f>B7*B14</f>
        <v>0.18125</v>
      </c>
      <c r="C15" s="7"/>
      <c r="D15" s="7"/>
      <c r="E15" s="7"/>
      <c r="F15" s="49"/>
      <c r="H15" s="50"/>
      <c r="I15" s="7"/>
      <c r="J15" s="7"/>
      <c r="K15" s="7"/>
    </row>
    <row r="16" ht="18.0" customHeight="1">
      <c r="A16" s="53"/>
      <c r="B16" s="7"/>
      <c r="C16" s="7"/>
      <c r="D16" s="7"/>
      <c r="E16" s="7"/>
      <c r="F16" s="49"/>
      <c r="H16" s="50"/>
      <c r="I16" s="7"/>
      <c r="J16" s="7"/>
      <c r="K16" s="7"/>
    </row>
    <row r="17" ht="18.0" customHeight="1">
      <c r="A17" s="53" t="s">
        <v>241</v>
      </c>
      <c r="B17" s="54">
        <f>B9-B11</f>
        <v>0.21</v>
      </c>
      <c r="C17" s="7"/>
      <c r="D17" s="7"/>
      <c r="E17" s="7"/>
      <c r="F17" s="49"/>
      <c r="H17" s="50"/>
      <c r="I17" s="7"/>
      <c r="J17" s="7"/>
      <c r="K17" s="7"/>
    </row>
    <row r="18" ht="18.0" customHeight="1">
      <c r="A18" s="53" t="s">
        <v>242</v>
      </c>
      <c r="B18" s="55">
        <f>B17/B10</f>
        <v>0.3818181818</v>
      </c>
      <c r="C18" s="7"/>
      <c r="D18" s="7"/>
      <c r="E18" s="7"/>
      <c r="F18" s="7"/>
      <c r="G18" s="7"/>
      <c r="H18" s="7"/>
      <c r="I18" s="7"/>
      <c r="J18" s="7"/>
      <c r="K18" s="7"/>
    </row>
    <row r="19" ht="18.0" customHeight="1">
      <c r="A19" s="53" t="s">
        <v>243</v>
      </c>
      <c r="B19" s="56">
        <f>B9-B13-B11</f>
        <v>0.135</v>
      </c>
      <c r="C19" s="7"/>
      <c r="D19" s="7"/>
      <c r="E19" s="7"/>
      <c r="F19" s="7"/>
      <c r="G19" s="7"/>
      <c r="H19" s="7"/>
      <c r="I19" s="7"/>
      <c r="J19" s="7"/>
      <c r="K19" s="7"/>
    </row>
    <row r="20" ht="18.0" customHeight="1">
      <c r="A20" s="53" t="s">
        <v>244</v>
      </c>
      <c r="B20" s="55">
        <f>B19/B10</f>
        <v>0.2454545455</v>
      </c>
      <c r="C20" s="7"/>
      <c r="D20" s="7"/>
      <c r="E20" s="7"/>
      <c r="F20" s="7"/>
      <c r="G20" s="7"/>
      <c r="H20" s="7"/>
      <c r="I20" s="7"/>
      <c r="J20" s="7"/>
      <c r="K20" s="7"/>
    </row>
    <row r="21" ht="18.0" customHeight="1">
      <c r="A21" s="53" t="s">
        <v>245</v>
      </c>
      <c r="B21" s="56">
        <f>B9-B15-B11</f>
        <v>0.02875</v>
      </c>
      <c r="C21" s="7"/>
      <c r="D21" s="7"/>
      <c r="E21" s="7"/>
      <c r="F21" s="7"/>
      <c r="G21" s="7"/>
      <c r="H21" s="7"/>
      <c r="I21" s="7"/>
      <c r="J21" s="7"/>
      <c r="K21" s="7"/>
    </row>
    <row r="22" ht="18.0" customHeight="1">
      <c r="A22" s="53" t="s">
        <v>246</v>
      </c>
      <c r="B22" s="55">
        <f>B21/B10</f>
        <v>0.05227272727</v>
      </c>
      <c r="C22" s="7"/>
      <c r="D22" s="7"/>
      <c r="E22" s="7"/>
      <c r="F22" s="7"/>
      <c r="G22" s="7"/>
      <c r="H22" s="7"/>
      <c r="I22" s="7"/>
      <c r="J22" s="7"/>
      <c r="K22" s="7"/>
    </row>
    <row r="23" ht="18.0" customHeight="1">
      <c r="A23" s="7"/>
      <c r="B23" s="7"/>
      <c r="C23" s="7"/>
      <c r="D23" s="7"/>
      <c r="E23" s="7"/>
      <c r="F23" s="7"/>
      <c r="G23" s="7"/>
      <c r="H23" s="7"/>
      <c r="I23" s="7"/>
      <c r="J23" s="7"/>
      <c r="K23" s="7"/>
    </row>
    <row r="24" ht="18.0" customHeight="1">
      <c r="A24" s="4" t="s">
        <v>247</v>
      </c>
    </row>
    <row r="25" ht="18.0" customHeight="1">
      <c r="A25" s="57" t="s">
        <v>248</v>
      </c>
    </row>
    <row r="26" ht="18.0" customHeight="1"/>
    <row r="27" ht="18.0" customHeight="1"/>
    <row r="28" ht="18.0" customHeight="1"/>
    <row r="29" ht="18.0" customHeight="1"/>
    <row r="30" ht="18.0"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5">
    <mergeCell ref="A1:K1"/>
    <mergeCell ref="A2:K2"/>
    <mergeCell ref="A4:K4"/>
    <mergeCell ref="A25:K30"/>
    <mergeCell ref="A24:K24"/>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2" width="14.0"/>
    <col customWidth="1" min="3" max="3" width="160.38"/>
    <col customWidth="1" min="4" max="11" width="14.0"/>
    <col customWidth="1" min="12" max="26" width="8.63"/>
  </cols>
  <sheetData>
    <row r="1" ht="27.75" customHeight="1">
      <c r="A1" s="1" t="s">
        <v>249</v>
      </c>
    </row>
    <row r="2" ht="24.0" customHeight="1">
      <c r="A2" s="3" t="s">
        <v>250</v>
      </c>
    </row>
    <row r="4" ht="18.0" customHeight="1">
      <c r="A4" s="4" t="s">
        <v>251</v>
      </c>
    </row>
    <row r="5" ht="18.0" customHeight="1">
      <c r="A5" s="7"/>
      <c r="B5" s="7"/>
      <c r="C5" s="7"/>
      <c r="D5" s="7"/>
      <c r="E5" s="7"/>
      <c r="F5" s="7"/>
      <c r="G5" s="7"/>
      <c r="H5" s="7"/>
      <c r="I5" s="7"/>
      <c r="J5" s="7"/>
      <c r="K5" s="7"/>
    </row>
    <row r="6" ht="18.0" customHeight="1">
      <c r="A6" s="5" t="s">
        <v>252</v>
      </c>
      <c r="B6" s="21">
        <f>'03 Store Count Schedule'!K9</f>
        <v>375</v>
      </c>
      <c r="C6" s="7"/>
      <c r="D6" s="7"/>
      <c r="E6" s="7"/>
      <c r="F6" s="7"/>
      <c r="G6" s="7"/>
      <c r="H6" s="7"/>
      <c r="I6" s="7"/>
      <c r="J6" s="7"/>
      <c r="K6" s="7"/>
    </row>
    <row r="7" ht="18.0" customHeight="1">
      <c r="A7" s="5" t="s">
        <v>145</v>
      </c>
      <c r="B7" s="21">
        <f>'03 Store Count Schedule'!K15</f>
        <v>338</v>
      </c>
      <c r="C7" s="7"/>
      <c r="D7" s="7"/>
      <c r="E7" s="7"/>
      <c r="F7" s="7"/>
      <c r="G7" s="7"/>
      <c r="H7" s="7"/>
      <c r="I7" s="7"/>
      <c r="J7" s="7"/>
      <c r="K7" s="7"/>
    </row>
    <row r="8" ht="18.0" customHeight="1">
      <c r="A8" s="5" t="s">
        <v>43</v>
      </c>
      <c r="B8" s="58">
        <f>'00 Control'!$B$30</f>
        <v>1.25</v>
      </c>
      <c r="C8" s="7"/>
      <c r="D8" s="7"/>
      <c r="E8" s="7"/>
      <c r="F8" s="7"/>
      <c r="G8" s="7"/>
      <c r="H8" s="7"/>
      <c r="I8" s="7"/>
      <c r="J8" s="7"/>
      <c r="K8" s="7"/>
    </row>
    <row r="9" ht="18.0" customHeight="1">
      <c r="A9" s="59" t="s">
        <v>253</v>
      </c>
      <c r="B9" s="30">
        <f>B7*B8</f>
        <v>422.5</v>
      </c>
      <c r="C9" s="7"/>
      <c r="D9" s="7"/>
      <c r="E9" s="7"/>
      <c r="F9" s="7"/>
      <c r="G9" s="7"/>
      <c r="H9" s="7"/>
      <c r="I9" s="7"/>
      <c r="J9" s="7"/>
      <c r="K9" s="7"/>
    </row>
    <row r="10" ht="18.0" customHeight="1">
      <c r="A10" s="5" t="s">
        <v>46</v>
      </c>
      <c r="B10" s="24">
        <f>'00 Control'!$B$31</f>
        <v>0.2</v>
      </c>
      <c r="C10" s="7"/>
      <c r="D10" s="7"/>
      <c r="E10" s="7"/>
      <c r="F10" s="7"/>
      <c r="G10" s="7"/>
      <c r="H10" s="7"/>
      <c r="I10" s="7"/>
      <c r="J10" s="7"/>
      <c r="K10" s="7"/>
    </row>
    <row r="11" ht="18.0" customHeight="1">
      <c r="A11" s="59" t="s">
        <v>254</v>
      </c>
      <c r="B11" s="30">
        <f>B9*B10</f>
        <v>84.5</v>
      </c>
      <c r="C11" s="7"/>
      <c r="D11" s="7"/>
      <c r="E11" s="7"/>
      <c r="F11" s="7"/>
      <c r="G11" s="7"/>
      <c r="H11" s="7"/>
      <c r="I11" s="7"/>
      <c r="J11" s="7"/>
      <c r="K11" s="7"/>
    </row>
    <row r="12" ht="36.0" customHeight="1">
      <c r="A12" s="11" t="s">
        <v>255</v>
      </c>
      <c r="B12" s="9">
        <v>15.0</v>
      </c>
      <c r="C12" s="60" t="s">
        <v>256</v>
      </c>
      <c r="D12" s="7"/>
      <c r="E12" s="7"/>
      <c r="F12" s="7"/>
      <c r="G12" s="7"/>
      <c r="H12" s="7"/>
      <c r="I12" s="7"/>
      <c r="J12" s="7"/>
      <c r="K12" s="7"/>
    </row>
    <row r="13" ht="36.0" customHeight="1">
      <c r="A13" s="11" t="s">
        <v>257</v>
      </c>
      <c r="B13" s="9">
        <v>7.5</v>
      </c>
      <c r="C13" s="60" t="s">
        <v>258</v>
      </c>
      <c r="D13" s="7"/>
      <c r="E13" s="7"/>
      <c r="F13" s="7"/>
      <c r="G13" s="7"/>
      <c r="H13" s="7"/>
      <c r="I13" s="7"/>
      <c r="J13" s="7"/>
      <c r="K13" s="7"/>
    </row>
    <row r="14" ht="18.0" customHeight="1">
      <c r="A14" s="11" t="s">
        <v>259</v>
      </c>
      <c r="B14" s="61">
        <f>B12+B11+B13</f>
        <v>107</v>
      </c>
      <c r="C14" s="7"/>
      <c r="D14" s="7"/>
      <c r="E14" s="7"/>
      <c r="F14" s="7"/>
      <c r="G14" s="7"/>
      <c r="H14" s="7"/>
      <c r="I14" s="7"/>
      <c r="J14" s="7"/>
      <c r="K14" s="7"/>
    </row>
    <row r="15" ht="18.0" customHeight="1">
      <c r="A15" s="5" t="s">
        <v>198</v>
      </c>
      <c r="B15" s="9">
        <v>70.0</v>
      </c>
      <c r="C15" s="7"/>
      <c r="D15" s="7"/>
      <c r="E15" s="7"/>
      <c r="F15" s="7"/>
      <c r="G15" s="7"/>
      <c r="H15" s="7"/>
      <c r="I15" s="7"/>
      <c r="J15" s="7"/>
      <c r="K15" s="7"/>
    </row>
    <row r="16" ht="18.0" customHeight="1">
      <c r="A16" s="5" t="s">
        <v>94</v>
      </c>
      <c r="B16" s="30">
        <f>B14-B15</f>
        <v>37</v>
      </c>
      <c r="C16" s="7"/>
      <c r="D16" s="7"/>
      <c r="E16" s="7"/>
      <c r="F16" s="7"/>
      <c r="G16" s="7"/>
      <c r="H16" s="7"/>
      <c r="I16" s="7"/>
      <c r="J16" s="7"/>
      <c r="K16" s="7"/>
    </row>
    <row r="17" ht="18.0" customHeight="1">
      <c r="A17" s="5" t="s">
        <v>260</v>
      </c>
      <c r="B17" s="28">
        <f>MEDIAN('02 Historical Financials'!B16:K16)/MEDIAN('02 Historical Financials'!B6:K6)</f>
        <v>0.03671012703</v>
      </c>
      <c r="C17" s="7"/>
      <c r="D17" s="7"/>
      <c r="E17" s="7"/>
      <c r="F17" s="7"/>
      <c r="G17" s="7"/>
      <c r="H17" s="7"/>
      <c r="I17" s="7"/>
      <c r="J17" s="7"/>
      <c r="K17" s="7"/>
    </row>
    <row r="18" ht="18.0" customHeight="1">
      <c r="A18" s="5" t="s">
        <v>261</v>
      </c>
      <c r="B18" s="30">
        <f>B9*B17</f>
        <v>15.51002867</v>
      </c>
      <c r="C18" s="7"/>
      <c r="D18" s="7"/>
      <c r="E18" s="7"/>
      <c r="F18" s="7"/>
      <c r="G18" s="7"/>
      <c r="H18" s="7"/>
      <c r="I18" s="7"/>
      <c r="J18" s="7"/>
      <c r="K18" s="7"/>
    </row>
    <row r="19" ht="18.0" customHeight="1">
      <c r="A19" s="5" t="s">
        <v>262</v>
      </c>
      <c r="B19" s="30">
        <f>B16-B18</f>
        <v>21.48997133</v>
      </c>
      <c r="C19" s="7"/>
      <c r="D19" s="7"/>
      <c r="E19" s="7"/>
      <c r="F19" s="7"/>
      <c r="G19" s="7"/>
      <c r="H19" s="7"/>
      <c r="I19" s="7"/>
      <c r="J19" s="7"/>
      <c r="K19" s="7"/>
    </row>
    <row r="20" ht="18.0" customHeight="1">
      <c r="A20" s="5" t="s">
        <v>23</v>
      </c>
      <c r="B20" s="24">
        <f>'00 Control'!$B$19</f>
        <v>0.24</v>
      </c>
      <c r="C20" s="7"/>
      <c r="D20" s="7"/>
      <c r="E20" s="7"/>
      <c r="F20" s="7"/>
      <c r="G20" s="7"/>
      <c r="H20" s="7"/>
      <c r="I20" s="7"/>
      <c r="J20" s="7"/>
      <c r="K20" s="7"/>
    </row>
    <row r="21" ht="18.0" customHeight="1">
      <c r="A21" s="5" t="s">
        <v>263</v>
      </c>
      <c r="B21" s="30">
        <f>B19*(1-B20)</f>
        <v>16.33237821</v>
      </c>
      <c r="C21" s="7"/>
      <c r="D21" s="7"/>
      <c r="E21" s="7"/>
      <c r="F21" s="7"/>
      <c r="G21" s="7"/>
      <c r="H21" s="7"/>
      <c r="I21" s="7"/>
      <c r="J21" s="7"/>
      <c r="K21" s="7"/>
    </row>
    <row r="22" ht="18.0" customHeight="1">
      <c r="A22" s="5" t="s">
        <v>52</v>
      </c>
      <c r="B22" s="58">
        <f>'00 Control'!$B$33</f>
        <v>0.04</v>
      </c>
      <c r="C22" s="7"/>
      <c r="D22" s="7"/>
      <c r="E22" s="7"/>
      <c r="F22" s="7"/>
      <c r="G22" s="7"/>
      <c r="H22" s="7"/>
      <c r="I22" s="7"/>
      <c r="J22" s="7"/>
      <c r="K22" s="7"/>
    </row>
    <row r="23" ht="18.0" customHeight="1">
      <c r="A23" s="5" t="s">
        <v>264</v>
      </c>
      <c r="B23" s="30">
        <f>B7*B22</f>
        <v>13.52</v>
      </c>
      <c r="C23" s="7"/>
      <c r="D23" s="7"/>
      <c r="E23" s="7"/>
      <c r="F23" s="7"/>
      <c r="G23" s="7"/>
      <c r="H23" s="7"/>
      <c r="I23" s="7"/>
      <c r="J23" s="7"/>
      <c r="K23" s="7"/>
    </row>
    <row r="24" ht="18.0" customHeight="1">
      <c r="A24" s="5" t="s">
        <v>265</v>
      </c>
      <c r="B24" s="30">
        <f>B21+B18-B23</f>
        <v>18.32240688</v>
      </c>
      <c r="C24" s="7"/>
      <c r="D24" s="7"/>
      <c r="E24" s="7"/>
      <c r="F24" s="7"/>
      <c r="G24" s="7"/>
      <c r="H24" s="7"/>
      <c r="I24" s="7"/>
      <c r="J24" s="7"/>
      <c r="K24" s="7"/>
    </row>
    <row r="25" ht="18.0" customHeight="1">
      <c r="A25" s="7"/>
      <c r="B25" s="7"/>
      <c r="C25" s="7"/>
      <c r="D25" s="7"/>
      <c r="E25" s="7"/>
      <c r="F25" s="7"/>
      <c r="G25" s="7"/>
      <c r="H25" s="7"/>
      <c r="I25" s="7"/>
      <c r="J25" s="7"/>
      <c r="K25" s="7"/>
    </row>
    <row r="26" ht="18.0" customHeight="1">
      <c r="A26" s="7"/>
      <c r="B26" s="7"/>
      <c r="C26" s="7"/>
      <c r="D26" s="7"/>
      <c r="E26" s="7"/>
      <c r="F26" s="7"/>
      <c r="G26" s="7"/>
      <c r="H26" s="7"/>
      <c r="I26" s="7"/>
      <c r="J26" s="7"/>
      <c r="K26" s="7"/>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3">
    <mergeCell ref="A1:K1"/>
    <mergeCell ref="A2:K2"/>
    <mergeCell ref="A4:K4"/>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266</v>
      </c>
    </row>
    <row r="2" ht="24.0" customHeight="1">
      <c r="A2" s="3" t="s">
        <v>267</v>
      </c>
    </row>
    <row r="4" ht="18.0" customHeight="1">
      <c r="A4" s="4" t="s">
        <v>266</v>
      </c>
    </row>
    <row r="5" ht="18.0" customHeight="1">
      <c r="A5" s="7"/>
      <c r="B5" s="7"/>
      <c r="C5" s="7"/>
      <c r="D5" s="7"/>
      <c r="E5" s="7"/>
      <c r="F5" s="7"/>
      <c r="G5" s="7"/>
      <c r="H5" s="7"/>
      <c r="I5" s="7"/>
      <c r="J5" s="7"/>
      <c r="K5" s="7"/>
    </row>
    <row r="6" ht="18.0" customHeight="1">
      <c r="A6" s="5" t="s">
        <v>268</v>
      </c>
      <c r="B6" s="21">
        <f>'10 Mature Store Earnings'!B7</f>
        <v>338</v>
      </c>
      <c r="C6" s="7"/>
      <c r="D6" s="7"/>
      <c r="E6" s="7"/>
      <c r="F6" s="7"/>
      <c r="G6" s="7"/>
      <c r="H6" s="7"/>
      <c r="I6" s="7"/>
      <c r="J6" s="7"/>
      <c r="K6" s="7"/>
    </row>
    <row r="7" ht="18.0" customHeight="1">
      <c r="A7" s="5" t="s">
        <v>176</v>
      </c>
      <c r="B7" s="25">
        <f>'09 New Unit ROI'!B9</f>
        <v>0.25</v>
      </c>
      <c r="C7" s="7"/>
      <c r="D7" s="7"/>
      <c r="E7" s="7"/>
      <c r="F7" s="7"/>
      <c r="G7" s="7"/>
      <c r="H7" s="7"/>
      <c r="I7" s="7"/>
      <c r="J7" s="7"/>
      <c r="K7" s="7"/>
    </row>
    <row r="8" ht="18.0" customHeight="1">
      <c r="A8" s="5" t="s">
        <v>38</v>
      </c>
      <c r="B8" s="62">
        <f>'00 Control'!$B$25</f>
        <v>6</v>
      </c>
      <c r="C8" s="7"/>
      <c r="D8" s="7"/>
      <c r="E8" s="7"/>
      <c r="F8" s="7"/>
      <c r="G8" s="7"/>
      <c r="H8" s="7"/>
      <c r="I8" s="7"/>
      <c r="J8" s="7"/>
      <c r="K8" s="7"/>
    </row>
    <row r="9" ht="18.0" customHeight="1">
      <c r="A9" s="5" t="s">
        <v>269</v>
      </c>
      <c r="B9" s="30">
        <f>B7*B8</f>
        <v>1.5</v>
      </c>
      <c r="C9" s="7"/>
      <c r="D9" s="7"/>
      <c r="E9" s="7"/>
      <c r="F9" s="7"/>
      <c r="G9" s="7"/>
      <c r="H9" s="7"/>
      <c r="I9" s="7"/>
      <c r="J9" s="7"/>
      <c r="K9" s="7"/>
    </row>
    <row r="10" ht="18.0" customHeight="1">
      <c r="A10" s="5" t="s">
        <v>270</v>
      </c>
      <c r="B10" s="25">
        <f>'09 New Unit ROI'!B13</f>
        <v>0.075</v>
      </c>
      <c r="C10" s="7"/>
      <c r="D10" s="7"/>
      <c r="E10" s="7"/>
      <c r="F10" s="7"/>
      <c r="G10" s="7"/>
      <c r="H10" s="7"/>
      <c r="I10" s="7"/>
      <c r="J10" s="7"/>
      <c r="K10" s="7"/>
    </row>
    <row r="11" ht="18.0" customHeight="1">
      <c r="A11" s="5" t="s">
        <v>271</v>
      </c>
      <c r="B11" s="25">
        <f>B10/'00 Control'!$B$20</f>
        <v>0.6818181818</v>
      </c>
      <c r="C11" s="7"/>
      <c r="D11" s="7"/>
      <c r="E11" s="7"/>
      <c r="F11" s="7"/>
      <c r="G11" s="7"/>
      <c r="H11" s="7"/>
      <c r="I11" s="7"/>
      <c r="J11" s="7"/>
      <c r="K11" s="7"/>
    </row>
    <row r="12" ht="18.0" customHeight="1">
      <c r="A12" s="5" t="s">
        <v>272</v>
      </c>
      <c r="B12" s="30">
        <f>MAX(0,B9-B11)</f>
        <v>0.8181818182</v>
      </c>
      <c r="C12" s="7"/>
      <c r="D12" s="7"/>
      <c r="E12" s="7"/>
      <c r="F12" s="7"/>
      <c r="G12" s="7"/>
      <c r="H12" s="7"/>
      <c r="I12" s="7"/>
      <c r="J12" s="7"/>
      <c r="K12" s="7"/>
    </row>
    <row r="13" ht="18.0" customHeight="1">
      <c r="A13" s="5" t="s">
        <v>273</v>
      </c>
      <c r="B13" s="30">
        <f>B6*B12</f>
        <v>276.5454545</v>
      </c>
      <c r="C13" s="7"/>
      <c r="D13" s="7"/>
      <c r="E13" s="7"/>
      <c r="F13" s="7"/>
      <c r="G13" s="7"/>
      <c r="H13" s="7"/>
      <c r="I13" s="7"/>
      <c r="J13" s="7"/>
      <c r="K13" s="7"/>
    </row>
    <row r="14" ht="18.0" customHeight="1">
      <c r="A14" s="5" t="s">
        <v>274</v>
      </c>
      <c r="B14" s="21">
        <f>'00 Control'!$B$36</f>
        <v>7</v>
      </c>
      <c r="C14" s="7"/>
      <c r="D14" s="7"/>
      <c r="E14" s="7"/>
      <c r="F14" s="7"/>
      <c r="G14" s="7"/>
      <c r="H14" s="7"/>
      <c r="I14" s="7"/>
      <c r="J14" s="7"/>
      <c r="K14" s="7"/>
    </row>
    <row r="15" ht="18.0" customHeight="1">
      <c r="A15" s="5" t="s">
        <v>54</v>
      </c>
      <c r="B15" s="25">
        <f>'00 Control'!$B$34</f>
        <v>0.55</v>
      </c>
      <c r="C15" s="7"/>
      <c r="D15" s="7"/>
      <c r="E15" s="7"/>
      <c r="F15" s="7"/>
      <c r="G15" s="7"/>
      <c r="H15" s="7"/>
      <c r="I15" s="7"/>
      <c r="J15" s="7"/>
      <c r="K15" s="7"/>
    </row>
    <row r="16" ht="18.0" customHeight="1">
      <c r="A16" s="5" t="s">
        <v>275</v>
      </c>
      <c r="B16" s="30">
        <f>B12-B15</f>
        <v>0.2681818182</v>
      </c>
      <c r="C16" s="7"/>
      <c r="D16" s="7"/>
      <c r="E16" s="7"/>
      <c r="F16" s="7"/>
      <c r="G16" s="7"/>
      <c r="H16" s="7"/>
      <c r="I16" s="7"/>
      <c r="J16" s="7"/>
      <c r="K16" s="7"/>
    </row>
    <row r="17" ht="18.0" customHeight="1">
      <c r="A17" s="5" t="s">
        <v>276</v>
      </c>
      <c r="B17" s="30">
        <f>B14*B16</f>
        <v>1.877272727</v>
      </c>
      <c r="C17" s="7"/>
      <c r="D17" s="7"/>
      <c r="E17" s="7"/>
      <c r="F17" s="7"/>
      <c r="G17" s="7"/>
      <c r="H17" s="7"/>
      <c r="I17" s="7"/>
      <c r="J17" s="7"/>
      <c r="K17" s="7"/>
    </row>
    <row r="18" ht="18.0" customHeight="1">
      <c r="A18" s="5" t="s">
        <v>277</v>
      </c>
      <c r="B18" s="25">
        <f>MAX(0,('03 Store Count Schedule'!K8*B15))</f>
        <v>1.1</v>
      </c>
      <c r="C18" s="7"/>
      <c r="D18" s="7"/>
      <c r="E18" s="7"/>
      <c r="F18" s="7"/>
      <c r="G18" s="7"/>
      <c r="H18" s="7"/>
      <c r="I18" s="7"/>
      <c r="J18" s="7"/>
      <c r="K18" s="7"/>
    </row>
    <row r="19" ht="18.0" customHeight="1">
      <c r="A19" s="5" t="s">
        <v>278</v>
      </c>
      <c r="B19" s="30">
        <f>B13+B17-B18</f>
        <v>277.3227273</v>
      </c>
      <c r="C19" s="7"/>
      <c r="D19" s="7"/>
      <c r="E19" s="7"/>
      <c r="F19" s="7"/>
      <c r="G19" s="7"/>
      <c r="H19" s="7"/>
      <c r="I19" s="7"/>
      <c r="J19" s="7"/>
      <c r="K19" s="7"/>
    </row>
    <row r="20" ht="18.0" customHeight="1">
      <c r="A20" s="7"/>
      <c r="B20" s="7"/>
      <c r="C20" s="7"/>
      <c r="D20" s="7"/>
      <c r="E20" s="7"/>
      <c r="F20" s="7"/>
      <c r="G20" s="7"/>
      <c r="H20" s="7"/>
      <c r="I20" s="7"/>
      <c r="J20" s="7"/>
      <c r="K20" s="7"/>
    </row>
    <row r="21" ht="18.0" customHeight="1">
      <c r="A21" s="7"/>
      <c r="B21" s="7"/>
      <c r="C21" s="7"/>
      <c r="D21" s="7"/>
      <c r="E21" s="7"/>
      <c r="F21" s="7"/>
      <c r="G21" s="7"/>
      <c r="H21" s="7"/>
      <c r="I21" s="7"/>
      <c r="J21" s="7"/>
      <c r="K21" s="7"/>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4:K4"/>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279</v>
      </c>
    </row>
    <row r="2" ht="24.0" customHeight="1">
      <c r="A2" s="3" t="s">
        <v>280</v>
      </c>
    </row>
    <row r="4" ht="18.0" customHeight="1">
      <c r="A4" s="4" t="s">
        <v>281</v>
      </c>
    </row>
    <row r="5" ht="18.0" customHeight="1">
      <c r="A5" s="7"/>
      <c r="B5" s="7"/>
      <c r="C5" s="7"/>
      <c r="D5" s="7"/>
      <c r="E5" s="7"/>
      <c r="F5" s="7"/>
      <c r="G5" s="7"/>
      <c r="H5" s="7"/>
      <c r="I5" s="7"/>
      <c r="J5" s="7"/>
      <c r="K5" s="7"/>
    </row>
    <row r="6" ht="18.0" customHeight="1">
      <c r="A6" s="5" t="s">
        <v>94</v>
      </c>
      <c r="B6" s="25">
        <f>'10 Mature Store Earnings'!B16</f>
        <v>37</v>
      </c>
      <c r="C6" s="7"/>
      <c r="D6" s="7"/>
      <c r="E6" s="7"/>
      <c r="F6" s="7"/>
      <c r="G6" s="7"/>
      <c r="H6" s="7"/>
      <c r="I6" s="7"/>
      <c r="J6" s="7"/>
      <c r="K6" s="7"/>
    </row>
    <row r="7" ht="18.0" customHeight="1">
      <c r="A7" s="5" t="s">
        <v>31</v>
      </c>
      <c r="B7" s="62">
        <f>'00 Control'!$B$22</f>
        <v>6.5</v>
      </c>
      <c r="C7" s="7"/>
      <c r="D7" s="7"/>
      <c r="E7" s="7"/>
      <c r="F7" s="7"/>
      <c r="G7" s="7"/>
      <c r="H7" s="7"/>
      <c r="I7" s="7"/>
      <c r="J7" s="7"/>
      <c r="K7" s="7"/>
    </row>
    <row r="8" ht="18.0" customHeight="1">
      <c r="A8" s="5" t="s">
        <v>282</v>
      </c>
      <c r="B8" s="30">
        <f>B6*B7</f>
        <v>240.5</v>
      </c>
      <c r="C8" s="7"/>
      <c r="D8" s="7"/>
      <c r="E8" s="7"/>
      <c r="F8" s="7"/>
      <c r="G8" s="7"/>
      <c r="H8" s="7"/>
      <c r="I8" s="7"/>
      <c r="J8" s="7"/>
      <c r="K8" s="7"/>
    </row>
    <row r="9" ht="18.0" customHeight="1">
      <c r="A9" s="5" t="s">
        <v>283</v>
      </c>
      <c r="B9" s="25">
        <f>'10 Mature Store Earnings'!B21-'02 Historical Financials'!K19*(1-'00 Control'!$B$19)</f>
        <v>16.94113821</v>
      </c>
      <c r="C9" s="7"/>
      <c r="D9" s="7"/>
      <c r="E9" s="7"/>
      <c r="F9" s="7"/>
      <c r="G9" s="7"/>
      <c r="H9" s="7"/>
      <c r="I9" s="7"/>
      <c r="J9" s="7"/>
      <c r="K9" s="7"/>
    </row>
    <row r="10" ht="18.0" customHeight="1">
      <c r="A10" s="5" t="s">
        <v>34</v>
      </c>
      <c r="B10" s="62">
        <f>'00 Control'!$B$23</f>
        <v>9</v>
      </c>
      <c r="C10" s="7"/>
      <c r="D10" s="7"/>
      <c r="E10" s="7"/>
      <c r="F10" s="7"/>
      <c r="G10" s="7"/>
      <c r="H10" s="7"/>
      <c r="I10" s="7"/>
      <c r="J10" s="7"/>
      <c r="K10" s="7"/>
    </row>
    <row r="11" ht="18.0" customHeight="1">
      <c r="A11" s="5" t="s">
        <v>284</v>
      </c>
      <c r="B11" s="30">
        <f>B9*B10</f>
        <v>152.4702439</v>
      </c>
      <c r="C11" s="7"/>
      <c r="D11" s="7"/>
      <c r="E11" s="7"/>
      <c r="F11" s="7"/>
      <c r="G11" s="7"/>
      <c r="H11" s="7"/>
      <c r="I11" s="7"/>
      <c r="J11" s="7"/>
      <c r="K11" s="7"/>
    </row>
    <row r="12" ht="18.0" customHeight="1">
      <c r="A12" s="5" t="s">
        <v>265</v>
      </c>
      <c r="B12" s="25">
        <f>'10 Mature Store Earnings'!B24</f>
        <v>18.32240688</v>
      </c>
      <c r="C12" s="7"/>
      <c r="D12" s="7"/>
      <c r="E12" s="7"/>
      <c r="F12" s="7"/>
      <c r="G12" s="7"/>
      <c r="H12" s="7"/>
      <c r="I12" s="7"/>
      <c r="J12" s="7"/>
      <c r="K12" s="7"/>
    </row>
    <row r="13" ht="18.0" customHeight="1">
      <c r="A13" s="5" t="s">
        <v>36</v>
      </c>
      <c r="B13" s="24">
        <f>'00 Control'!$B$24</f>
        <v>0.12</v>
      </c>
      <c r="C13" s="7"/>
      <c r="D13" s="7"/>
      <c r="E13" s="7"/>
      <c r="F13" s="7"/>
      <c r="G13" s="7"/>
      <c r="H13" s="7"/>
      <c r="I13" s="7"/>
      <c r="J13" s="7"/>
      <c r="K13" s="7"/>
    </row>
    <row r="14" ht="18.0" customHeight="1">
      <c r="A14" s="5" t="s">
        <v>285</v>
      </c>
      <c r="B14" s="30">
        <f>B12/B13</f>
        <v>152.686724</v>
      </c>
      <c r="C14" s="7"/>
      <c r="D14" s="7"/>
      <c r="E14" s="7"/>
      <c r="F14" s="7"/>
      <c r="G14" s="7"/>
      <c r="H14" s="7"/>
      <c r="I14" s="7"/>
      <c r="J14" s="7"/>
      <c r="K14" s="7"/>
    </row>
    <row r="15" ht="18.0" customHeight="1">
      <c r="A15" s="5" t="s">
        <v>278</v>
      </c>
      <c r="B15" s="25">
        <f>'11 Unit-Level Valuation'!B19</f>
        <v>277.3227273</v>
      </c>
      <c r="C15" s="7"/>
      <c r="D15" s="7"/>
      <c r="E15" s="7"/>
      <c r="F15" s="7"/>
      <c r="G15" s="7"/>
      <c r="H15" s="7"/>
      <c r="I15" s="7"/>
      <c r="J15" s="7"/>
      <c r="K15" s="7"/>
    </row>
    <row r="16" ht="18.0" customHeight="1">
      <c r="A16" s="5" t="s">
        <v>286</v>
      </c>
      <c r="B16" s="30">
        <f>B8</f>
        <v>240.5</v>
      </c>
      <c r="C16" s="7"/>
      <c r="D16" s="7"/>
      <c r="E16" s="7"/>
      <c r="F16" s="7"/>
      <c r="G16" s="7"/>
      <c r="H16" s="7"/>
      <c r="I16" s="7"/>
      <c r="J16" s="7"/>
      <c r="K16" s="7"/>
    </row>
    <row r="17" ht="18.0" customHeight="1">
      <c r="A17" s="5" t="s">
        <v>287</v>
      </c>
      <c r="B17" s="25">
        <f>'00 Control'!$B$12</f>
        <v>26.755</v>
      </c>
      <c r="C17" s="7"/>
      <c r="D17" s="7"/>
      <c r="E17" s="7"/>
      <c r="F17" s="7"/>
      <c r="G17" s="7"/>
      <c r="H17" s="7"/>
      <c r="I17" s="7"/>
      <c r="J17" s="7"/>
      <c r="K17" s="7"/>
    </row>
    <row r="18" ht="18.0" customHeight="1">
      <c r="A18" s="5" t="s">
        <v>207</v>
      </c>
      <c r="B18" s="25">
        <f>'00 Control'!$B$13</f>
        <v>0</v>
      </c>
      <c r="C18" s="7"/>
      <c r="D18" s="7"/>
      <c r="E18" s="7"/>
      <c r="F18" s="7"/>
      <c r="G18" s="7"/>
      <c r="H18" s="7"/>
      <c r="I18" s="7"/>
      <c r="J18" s="7"/>
      <c r="K18" s="7"/>
    </row>
    <row r="19" ht="18.0" customHeight="1">
      <c r="A19" s="5" t="s">
        <v>20</v>
      </c>
      <c r="B19" s="25">
        <f>'00 Control'!$B$14</f>
        <v>127.298</v>
      </c>
      <c r="C19" s="7"/>
      <c r="D19" s="7"/>
      <c r="E19" s="7"/>
      <c r="F19" s="7"/>
      <c r="G19" s="7"/>
      <c r="H19" s="7"/>
      <c r="I19" s="7"/>
      <c r="J19" s="7"/>
      <c r="K19" s="7"/>
    </row>
    <row r="20" ht="18.0" customHeight="1">
      <c r="A20" s="5" t="s">
        <v>21</v>
      </c>
      <c r="B20" s="25">
        <f>'00 Control'!$B$15</f>
        <v>7.37</v>
      </c>
      <c r="C20" s="7"/>
      <c r="D20" s="7"/>
      <c r="E20" s="7"/>
      <c r="F20" s="7"/>
      <c r="G20" s="7"/>
      <c r="H20" s="7"/>
      <c r="I20" s="7"/>
      <c r="J20" s="7"/>
      <c r="K20" s="7"/>
    </row>
    <row r="21" ht="18.0" customHeight="1">
      <c r="A21" s="5" t="s">
        <v>288</v>
      </c>
      <c r="B21" s="30">
        <f>B16+B17+B20-B18</f>
        <v>274.625</v>
      </c>
      <c r="C21" s="7"/>
      <c r="D21" s="7"/>
      <c r="E21" s="7"/>
      <c r="F21" s="7"/>
      <c r="G21" s="7"/>
      <c r="H21" s="7"/>
      <c r="I21" s="7"/>
      <c r="J21" s="7"/>
      <c r="K21" s="7"/>
    </row>
    <row r="22" ht="18.0" customHeight="1">
      <c r="A22" s="5" t="s">
        <v>15</v>
      </c>
      <c r="B22" s="25">
        <f>'00 Control'!$B$11</f>
        <v>13.083</v>
      </c>
      <c r="C22" s="7"/>
      <c r="D22" s="7"/>
      <c r="E22" s="7"/>
      <c r="F22" s="7"/>
      <c r="G22" s="7"/>
      <c r="H22" s="7"/>
      <c r="I22" s="7"/>
      <c r="J22" s="7"/>
      <c r="K22" s="7"/>
    </row>
    <row r="23" ht="18.0" customHeight="1">
      <c r="A23" s="5" t="s">
        <v>89</v>
      </c>
      <c r="B23" s="35">
        <f>B21/B22</f>
        <v>20.99098066</v>
      </c>
      <c r="C23" s="7"/>
      <c r="D23" s="7"/>
      <c r="E23" s="7"/>
      <c r="F23" s="7"/>
      <c r="G23" s="7"/>
      <c r="H23" s="7"/>
      <c r="I23" s="7"/>
      <c r="J23" s="7"/>
      <c r="K23" s="7"/>
    </row>
    <row r="24" ht="18.0" customHeight="1">
      <c r="A24" s="5" t="s">
        <v>28</v>
      </c>
      <c r="B24" s="24">
        <f>'00 Control'!$B$21</f>
        <v>0.2</v>
      </c>
      <c r="C24" s="7"/>
      <c r="D24" s="7"/>
      <c r="E24" s="7"/>
      <c r="F24" s="7"/>
      <c r="G24" s="7"/>
      <c r="H24" s="7"/>
      <c r="I24" s="7"/>
      <c r="J24" s="7"/>
      <c r="K24" s="7"/>
    </row>
    <row r="25" ht="18.0" customHeight="1">
      <c r="A25" s="5" t="s">
        <v>90</v>
      </c>
      <c r="B25" s="35">
        <f>B23*(1-B24)</f>
        <v>16.79278453</v>
      </c>
      <c r="C25" s="7"/>
      <c r="D25" s="7"/>
      <c r="E25" s="7"/>
      <c r="F25" s="7"/>
      <c r="G25" s="7"/>
      <c r="H25" s="7"/>
      <c r="I25" s="7"/>
      <c r="J25" s="7"/>
      <c r="K25" s="7"/>
    </row>
    <row r="26" ht="18.0" customHeight="1">
      <c r="A26" s="5" t="s">
        <v>14</v>
      </c>
      <c r="B26" s="22">
        <f>'00 Control'!$B$10</f>
        <v>35.72</v>
      </c>
      <c r="C26" s="7"/>
      <c r="D26" s="7"/>
      <c r="E26" s="7"/>
      <c r="F26" s="7"/>
      <c r="G26" s="7"/>
      <c r="H26" s="7"/>
      <c r="I26" s="7"/>
      <c r="J26" s="7"/>
      <c r="K26" s="7"/>
    </row>
    <row r="27" ht="18.0" customHeight="1">
      <c r="A27" s="5" t="s">
        <v>289</v>
      </c>
      <c r="B27" s="28">
        <f>B23/B26-1</f>
        <v>-0.412346566</v>
      </c>
      <c r="C27" s="7"/>
      <c r="D27" s="7"/>
      <c r="E27" s="7"/>
      <c r="F27" s="7"/>
      <c r="G27" s="7"/>
      <c r="H27" s="7"/>
      <c r="I27" s="7"/>
      <c r="J27" s="7"/>
      <c r="K27" s="7"/>
    </row>
    <row r="28" ht="18.0" customHeight="1">
      <c r="A28" s="5" t="s">
        <v>290</v>
      </c>
      <c r="B28" s="28">
        <f>B25/B26-1</f>
        <v>-0.5298772528</v>
      </c>
      <c r="C28" s="7"/>
      <c r="D28" s="7"/>
      <c r="E28" s="7"/>
      <c r="F28" s="7"/>
      <c r="G28" s="7"/>
      <c r="H28" s="7"/>
      <c r="I28" s="7"/>
      <c r="J28" s="7"/>
      <c r="K28" s="7"/>
    </row>
    <row r="29" ht="18.0" customHeight="1">
      <c r="A29" s="7"/>
      <c r="B29" s="7"/>
      <c r="C29" s="7"/>
      <c r="D29" s="7"/>
      <c r="E29" s="7"/>
      <c r="F29" s="7"/>
      <c r="G29" s="7"/>
      <c r="H29" s="7"/>
      <c r="I29" s="7"/>
      <c r="J29" s="7"/>
      <c r="K29" s="7"/>
    </row>
    <row r="30" ht="18.0" customHeight="1">
      <c r="A30" s="7"/>
      <c r="B30" s="7"/>
      <c r="C30" s="7"/>
      <c r="D30" s="7"/>
      <c r="E30" s="7"/>
      <c r="F30" s="7"/>
      <c r="G30" s="7"/>
      <c r="H30" s="7"/>
      <c r="I30" s="7"/>
      <c r="J30" s="7"/>
      <c r="K30" s="7"/>
    </row>
    <row r="31" ht="18.0" customHeight="1">
      <c r="A31" s="7"/>
      <c r="B31" s="7"/>
      <c r="C31" s="7"/>
      <c r="D31" s="7"/>
      <c r="E31" s="7"/>
      <c r="F31" s="7"/>
      <c r="G31" s="7"/>
      <c r="H31" s="7"/>
      <c r="I31" s="7"/>
      <c r="J31" s="7"/>
      <c r="K31" s="7"/>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4:K4"/>
  </mergeCell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2" width="23.0"/>
    <col customWidth="1" min="3" max="11" width="14.0"/>
    <col customWidth="1" min="12" max="26" width="8.63"/>
  </cols>
  <sheetData>
    <row r="1" ht="27.75" customHeight="1">
      <c r="A1" s="1" t="s">
        <v>291</v>
      </c>
    </row>
    <row r="2" ht="24.0" customHeight="1">
      <c r="A2" s="3" t="s">
        <v>292</v>
      </c>
    </row>
    <row r="4" ht="18.0" customHeight="1">
      <c r="A4" s="4" t="s">
        <v>293</v>
      </c>
    </row>
    <row r="5" ht="18.0" customHeight="1">
      <c r="A5" s="63" t="s">
        <v>294</v>
      </c>
      <c r="B5" s="63" t="s">
        <v>295</v>
      </c>
      <c r="C5" s="63" t="s">
        <v>296</v>
      </c>
      <c r="D5" s="63" t="s">
        <v>297</v>
      </c>
      <c r="E5" s="63" t="s">
        <v>298</v>
      </c>
      <c r="F5" s="63"/>
    </row>
    <row r="6" ht="18.0" customHeight="1">
      <c r="A6" s="5" t="s">
        <v>139</v>
      </c>
      <c r="B6" s="36">
        <f>MAX(0,'03 Store Count Schedule'!K9*(1-'00 Control'!$B$37))</f>
        <v>367.5</v>
      </c>
      <c r="C6" s="36">
        <f>'03 Store Count Schedule'!K9</f>
        <v>375</v>
      </c>
      <c r="D6" s="36">
        <f>'03 Store Count Schedule'!K9+'00 Control'!$B$36</f>
        <v>382</v>
      </c>
      <c r="E6" s="7" t="s">
        <v>299</v>
      </c>
      <c r="F6" s="7"/>
    </row>
    <row r="7" ht="18.0" customHeight="1">
      <c r="A7" s="5" t="s">
        <v>300</v>
      </c>
      <c r="B7" s="28">
        <f>'00 Control'!$B$42</f>
        <v>-0.05</v>
      </c>
      <c r="C7" s="28">
        <f>MEDIAN('04 Same-Store Sales'!B6:K6)</f>
        <v>-0.015</v>
      </c>
      <c r="D7" s="28">
        <f>'00 Control'!$B$45</f>
        <v>0.03</v>
      </c>
      <c r="E7" s="7" t="s">
        <v>301</v>
      </c>
      <c r="F7" s="7"/>
    </row>
    <row r="8" ht="18.0" customHeight="1">
      <c r="A8" s="5" t="s">
        <v>302</v>
      </c>
      <c r="B8" s="30">
        <f>'00 Control'!$B$30*(1+B7)</f>
        <v>1.1875</v>
      </c>
      <c r="C8" s="30">
        <f>'00 Control'!$B$30</f>
        <v>1.25</v>
      </c>
      <c r="D8" s="30">
        <f>'00 Control'!$B$30*(1+D7)</f>
        <v>1.2875</v>
      </c>
      <c r="E8" s="7" t="s">
        <v>303</v>
      </c>
      <c r="F8" s="7"/>
    </row>
    <row r="9" ht="18.0" customHeight="1">
      <c r="A9" s="5" t="s">
        <v>113</v>
      </c>
      <c r="B9" s="28">
        <f>'00 Control'!$B$43</f>
        <v>0.15</v>
      </c>
      <c r="C9" s="28">
        <f>'00 Control'!$B$31</f>
        <v>0.2</v>
      </c>
      <c r="D9" s="28">
        <f>'00 Control'!$B$46</f>
        <v>0.23</v>
      </c>
      <c r="E9" s="7" t="s">
        <v>47</v>
      </c>
      <c r="F9" s="7"/>
    </row>
    <row r="10" ht="18.0" customHeight="1">
      <c r="A10" s="59" t="s">
        <v>255</v>
      </c>
      <c r="B10" s="34">
        <v>10.0</v>
      </c>
      <c r="C10" s="34">
        <v>15.0</v>
      </c>
      <c r="D10" s="34">
        <v>22.0</v>
      </c>
      <c r="E10" s="7"/>
      <c r="F10" s="7"/>
    </row>
    <row r="11" ht="18.0" customHeight="1">
      <c r="A11" s="59" t="s">
        <v>257</v>
      </c>
      <c r="B11" s="34">
        <v>2.5</v>
      </c>
      <c r="C11" s="34">
        <v>7.5</v>
      </c>
      <c r="D11" s="34">
        <v>12.5</v>
      </c>
      <c r="E11" s="7"/>
      <c r="F11" s="7"/>
    </row>
    <row r="12" ht="18.0" customHeight="1">
      <c r="A12" s="5" t="s">
        <v>108</v>
      </c>
      <c r="B12" s="30">
        <f t="shared" ref="B12:D12" si="1">B6*B8</f>
        <v>436.40625</v>
      </c>
      <c r="C12" s="30">
        <f t="shared" si="1"/>
        <v>468.75</v>
      </c>
      <c r="D12" s="30">
        <f t="shared" si="1"/>
        <v>491.825</v>
      </c>
      <c r="E12" s="7" t="s">
        <v>304</v>
      </c>
      <c r="F12" s="7"/>
    </row>
    <row r="13" ht="18.0" customHeight="1">
      <c r="A13" s="5" t="s">
        <v>305</v>
      </c>
      <c r="B13" s="30">
        <f t="shared" ref="B13:D13" si="2">B12*B9</f>
        <v>65.4609375</v>
      </c>
      <c r="C13" s="30">
        <f t="shared" si="2"/>
        <v>93.75</v>
      </c>
      <c r="D13" s="30">
        <f t="shared" si="2"/>
        <v>113.11975</v>
      </c>
      <c r="E13" s="7" t="s">
        <v>306</v>
      </c>
      <c r="F13" s="7"/>
    </row>
    <row r="14" ht="18.0" customHeight="1">
      <c r="A14" s="5" t="s">
        <v>307</v>
      </c>
      <c r="B14" s="28">
        <f>'00 Control'!$B$32+1%</f>
        <v>0.155</v>
      </c>
      <c r="C14" s="28">
        <f>'00 Control'!$B$32</f>
        <v>0.145</v>
      </c>
      <c r="D14" s="28">
        <f>MAX(0,'00 Control'!$B$32-1%)</f>
        <v>0.135</v>
      </c>
      <c r="E14" s="7" t="s">
        <v>308</v>
      </c>
      <c r="F14" s="7"/>
    </row>
    <row r="15" ht="18.0" customHeight="1">
      <c r="A15" s="5" t="s">
        <v>114</v>
      </c>
      <c r="B15" s="30">
        <f t="shared" ref="B15:D15" si="3">B12*B14</f>
        <v>67.64296875</v>
      </c>
      <c r="C15" s="30">
        <f t="shared" si="3"/>
        <v>67.96875</v>
      </c>
      <c r="D15" s="30">
        <f t="shared" si="3"/>
        <v>66.396375</v>
      </c>
      <c r="E15" s="7" t="s">
        <v>309</v>
      </c>
      <c r="F15" s="7"/>
    </row>
    <row r="16" ht="18.0" customHeight="1">
      <c r="A16" s="5" t="s">
        <v>116</v>
      </c>
      <c r="B16" s="30">
        <f t="shared" ref="B16:D16" si="4">B13+B10+B11-B15</f>
        <v>10.31796875</v>
      </c>
      <c r="C16" s="30">
        <f t="shared" si="4"/>
        <v>48.28125</v>
      </c>
      <c r="D16" s="30">
        <f t="shared" si="4"/>
        <v>81.223375</v>
      </c>
      <c r="E16" s="7" t="s">
        <v>310</v>
      </c>
      <c r="F16" s="7"/>
    </row>
    <row r="17" ht="18.0" customHeight="1">
      <c r="A17" s="5" t="s">
        <v>311</v>
      </c>
      <c r="B17" s="43">
        <f>'00 Control'!$B$44</f>
        <v>4.5</v>
      </c>
      <c r="C17" s="43">
        <f>'00 Control'!$B$22</f>
        <v>6.5</v>
      </c>
      <c r="D17" s="43">
        <f>'00 Control'!$B$47</f>
        <v>8</v>
      </c>
      <c r="E17" s="7" t="s">
        <v>312</v>
      </c>
      <c r="F17" s="7"/>
    </row>
    <row r="18" ht="18.0" customHeight="1">
      <c r="A18" s="5" t="s">
        <v>313</v>
      </c>
      <c r="B18" s="30">
        <f t="shared" ref="B18:D18" si="5">B16*B17</f>
        <v>46.43085938</v>
      </c>
      <c r="C18" s="30">
        <f t="shared" si="5"/>
        <v>313.828125</v>
      </c>
      <c r="D18" s="30">
        <f t="shared" si="5"/>
        <v>649.787</v>
      </c>
      <c r="E18" s="7" t="s">
        <v>314</v>
      </c>
      <c r="F18" s="7"/>
    </row>
    <row r="19" ht="18.0" customHeight="1">
      <c r="A19" s="59" t="s">
        <v>315</v>
      </c>
      <c r="B19" s="30">
        <f>'00 Control'!$B$13</f>
        <v>0</v>
      </c>
      <c r="C19" s="30">
        <f>'00 Control'!$B$13</f>
        <v>0</v>
      </c>
      <c r="D19" s="30">
        <f>'00 Control'!$B$13</f>
        <v>0</v>
      </c>
      <c r="E19" s="7" t="s">
        <v>316</v>
      </c>
      <c r="F19" s="7"/>
    </row>
    <row r="20" ht="18.0" customHeight="1">
      <c r="A20" s="5" t="s">
        <v>317</v>
      </c>
      <c r="B20" s="30">
        <f>'00 Control'!$B$12</f>
        <v>26.755</v>
      </c>
      <c r="C20" s="30">
        <f>'00 Control'!$B$12</f>
        <v>26.755</v>
      </c>
      <c r="D20" s="30">
        <f>'00 Control'!$B$12</f>
        <v>26.755</v>
      </c>
      <c r="E20" s="7" t="s">
        <v>287</v>
      </c>
      <c r="F20" s="7"/>
    </row>
    <row r="21" ht="18.0" customHeight="1">
      <c r="A21" s="5" t="s">
        <v>288</v>
      </c>
      <c r="B21" s="30">
        <f>B18-B19+B20+'00 Control'!$B$15</f>
        <v>80.55585938</v>
      </c>
      <c r="C21" s="30">
        <f>C18-C19+C20+'00 Control'!$B$15</f>
        <v>347.953125</v>
      </c>
      <c r="D21" s="30">
        <f>D18-D19+D20+'00 Control'!$B$15</f>
        <v>683.912</v>
      </c>
      <c r="E21" s="7" t="s">
        <v>318</v>
      </c>
      <c r="F21" s="7"/>
    </row>
    <row r="22" ht="18.0" customHeight="1">
      <c r="A22" s="5" t="s">
        <v>319</v>
      </c>
      <c r="B22" s="35">
        <f>B21/'00 Control'!$B$11</f>
        <v>6.157292622</v>
      </c>
      <c r="C22" s="35">
        <f>C21/'00 Control'!$B$11</f>
        <v>26.59582091</v>
      </c>
      <c r="D22" s="35">
        <f>D21/'00 Control'!$B$11</f>
        <v>52.27486051</v>
      </c>
      <c r="E22" s="7" t="s">
        <v>320</v>
      </c>
      <c r="F22" s="7"/>
    </row>
    <row r="23" ht="18.0" customHeight="1">
      <c r="A23" s="5" t="s">
        <v>91</v>
      </c>
      <c r="B23" s="28">
        <f>B22/'00 Control'!$B$10-1</f>
        <v>-0.8276233868</v>
      </c>
      <c r="C23" s="28">
        <f>C22/'00 Control'!$B$10-1</f>
        <v>-0.2554361447</v>
      </c>
      <c r="D23" s="28">
        <f>D22/'00 Control'!$B$10-1</f>
        <v>0.4634619403</v>
      </c>
      <c r="E23" s="7" t="s">
        <v>321</v>
      </c>
      <c r="F23" s="7"/>
    </row>
    <row r="24" ht="18.0" customHeight="1">
      <c r="A24" s="7"/>
      <c r="B24" s="7"/>
      <c r="C24" s="7"/>
      <c r="D24" s="7"/>
      <c r="E24" s="7"/>
      <c r="F24" s="7"/>
    </row>
    <row r="25" ht="18.0" customHeight="1">
      <c r="A25" s="7"/>
      <c r="B25" s="7"/>
      <c r="C25" s="7"/>
      <c r="D25" s="7"/>
      <c r="E25" s="7"/>
      <c r="F25" s="7"/>
    </row>
    <row r="26" ht="18.0" customHeight="1">
      <c r="A26" s="4" t="s">
        <v>322</v>
      </c>
    </row>
    <row r="27" ht="18.0" customHeight="1">
      <c r="A27" s="5" t="s">
        <v>92</v>
      </c>
      <c r="B27" s="24">
        <f>'09 New Unit ROI'!B20</f>
        <v>0.2454545455</v>
      </c>
      <c r="C27" s="7"/>
      <c r="D27" s="7"/>
      <c r="E27" s="7"/>
      <c r="F27" s="7"/>
    </row>
    <row r="28" ht="18.0" customHeight="1">
      <c r="A28" s="5" t="s">
        <v>188</v>
      </c>
      <c r="B28" s="24">
        <f>'00 Control'!$B$31</f>
        <v>0.2</v>
      </c>
      <c r="C28" s="7"/>
      <c r="D28" s="7"/>
      <c r="E28" s="7"/>
      <c r="F28" s="7"/>
    </row>
    <row r="29" ht="18.0" customHeight="1">
      <c r="A29" s="5" t="s">
        <v>209</v>
      </c>
      <c r="B29" s="62">
        <f>'07 Lease Obligations'!B20</f>
        <v>1.564304849</v>
      </c>
      <c r="C29" s="7"/>
      <c r="D29" s="7"/>
      <c r="E29" s="7"/>
      <c r="F29" s="7"/>
    </row>
    <row r="30" ht="18.0" customHeight="1">
      <c r="A30" s="5" t="s">
        <v>95</v>
      </c>
      <c r="B30" s="42" t="str">
        <f>IF(OR(B27&lt;0.1,B28&lt;0.12,B29&gt;4),"Possible Value Trap","Unit Economics Acceptable")</f>
        <v>Unit Economics Acceptable</v>
      </c>
      <c r="C30" s="7"/>
      <c r="D30" s="7"/>
      <c r="E30" s="7"/>
      <c r="F30" s="7"/>
    </row>
    <row r="31" ht="18.0" customHeight="1">
      <c r="A31" s="7"/>
      <c r="B31" s="7"/>
      <c r="C31" s="7"/>
      <c r="D31" s="7"/>
      <c r="E31" s="7"/>
      <c r="F31" s="7"/>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4">
    <mergeCell ref="A1:K1"/>
    <mergeCell ref="A2:K2"/>
    <mergeCell ref="A4:F4"/>
    <mergeCell ref="A26:F26"/>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2" width="21.13"/>
    <col customWidth="1" min="3" max="11" width="14.0"/>
    <col customWidth="1" min="12" max="26" width="8.63"/>
  </cols>
  <sheetData>
    <row r="1" ht="27.75" customHeight="1">
      <c r="A1" s="1" t="s">
        <v>323</v>
      </c>
    </row>
    <row r="2" ht="24.0" customHeight="1">
      <c r="A2" s="3" t="s">
        <v>324</v>
      </c>
    </row>
    <row r="4" ht="18.0" customHeight="1">
      <c r="A4" s="4" t="s">
        <v>325</v>
      </c>
    </row>
    <row r="5" ht="18.0" customHeight="1">
      <c r="A5" s="5" t="s">
        <v>14</v>
      </c>
      <c r="B5" s="22">
        <f>'00 Control'!$B$10</f>
        <v>35.72</v>
      </c>
      <c r="C5" s="7"/>
      <c r="D5" s="7"/>
      <c r="E5" s="7"/>
      <c r="F5" s="7"/>
      <c r="G5" s="7"/>
      <c r="H5" s="7"/>
      <c r="I5" s="7"/>
      <c r="J5" s="7"/>
      <c r="K5" s="7"/>
    </row>
    <row r="6" ht="18.0" customHeight="1">
      <c r="A6" s="5" t="s">
        <v>89</v>
      </c>
      <c r="B6" s="22">
        <f>'12 Consolidated Valuation'!B23</f>
        <v>20.99098066</v>
      </c>
      <c r="C6" s="7"/>
      <c r="D6" s="7"/>
      <c r="E6" s="7"/>
      <c r="F6" s="7"/>
      <c r="G6" s="7"/>
      <c r="H6" s="7"/>
      <c r="I6" s="7"/>
      <c r="J6" s="7"/>
      <c r="K6" s="7"/>
    </row>
    <row r="7" ht="18.0" customHeight="1">
      <c r="A7" s="5" t="s">
        <v>90</v>
      </c>
      <c r="B7" s="22">
        <f>'12 Consolidated Valuation'!B25</f>
        <v>16.79278453</v>
      </c>
      <c r="C7" s="7"/>
      <c r="D7" s="7"/>
      <c r="E7" s="7"/>
      <c r="F7" s="7"/>
      <c r="G7" s="7"/>
      <c r="H7" s="7"/>
      <c r="I7" s="7"/>
      <c r="J7" s="7"/>
      <c r="K7" s="7"/>
    </row>
    <row r="8" ht="18.0" customHeight="1">
      <c r="A8" s="5" t="s">
        <v>289</v>
      </c>
      <c r="B8" s="24">
        <f>'12 Consolidated Valuation'!B27</f>
        <v>-0.412346566</v>
      </c>
      <c r="C8" s="7"/>
      <c r="D8" s="7"/>
      <c r="E8" s="7"/>
      <c r="F8" s="7"/>
      <c r="G8" s="7"/>
      <c r="H8" s="7"/>
      <c r="I8" s="7"/>
      <c r="J8" s="7"/>
      <c r="K8" s="7"/>
    </row>
    <row r="9" ht="18.0" customHeight="1">
      <c r="A9" s="5" t="s">
        <v>92</v>
      </c>
      <c r="B9" s="24">
        <f>'09 New Unit ROI'!B20</f>
        <v>0.2454545455</v>
      </c>
      <c r="C9" s="7"/>
      <c r="D9" s="7"/>
      <c r="E9" s="7"/>
      <c r="F9" s="7"/>
      <c r="G9" s="7"/>
      <c r="H9" s="7"/>
      <c r="I9" s="7"/>
      <c r="J9" s="7"/>
      <c r="K9" s="7"/>
    </row>
    <row r="10" ht="18.0" customHeight="1">
      <c r="A10" s="5" t="s">
        <v>93</v>
      </c>
      <c r="B10" s="24">
        <f>B9-'00 Control'!$B$20</f>
        <v>0.1354545455</v>
      </c>
      <c r="C10" s="7"/>
      <c r="D10" s="7"/>
      <c r="E10" s="7"/>
      <c r="F10" s="7"/>
      <c r="G10" s="7"/>
      <c r="H10" s="7"/>
      <c r="I10" s="7"/>
      <c r="J10" s="7"/>
      <c r="K10" s="7"/>
    </row>
    <row r="11" ht="18.0" customHeight="1">
      <c r="A11" s="5" t="s">
        <v>94</v>
      </c>
      <c r="B11" s="25">
        <f>'10 Mature Store Earnings'!B16</f>
        <v>37</v>
      </c>
      <c r="C11" s="7"/>
      <c r="D11" s="7"/>
      <c r="E11" s="7"/>
      <c r="F11" s="7"/>
      <c r="G11" s="7"/>
      <c r="H11" s="7"/>
      <c r="I11" s="7"/>
      <c r="J11" s="7"/>
      <c r="K11" s="7"/>
    </row>
    <row r="12" ht="18.0" customHeight="1">
      <c r="A12" s="5" t="s">
        <v>209</v>
      </c>
      <c r="B12" s="62">
        <f>'07 Lease Obligations'!B20</f>
        <v>1.564304849</v>
      </c>
      <c r="C12" s="7"/>
      <c r="D12" s="7"/>
      <c r="E12" s="7"/>
      <c r="F12" s="7"/>
      <c r="G12" s="7"/>
      <c r="H12" s="7"/>
      <c r="I12" s="7"/>
      <c r="J12" s="7"/>
      <c r="K12" s="7"/>
    </row>
    <row r="13" ht="18.0" customHeight="1">
      <c r="A13" s="5" t="s">
        <v>95</v>
      </c>
      <c r="B13" s="20" t="str">
        <f>'13 Downside Upside Cases'!B30</f>
        <v>Unit Economics Acceptable</v>
      </c>
      <c r="C13" s="7"/>
      <c r="D13" s="7"/>
      <c r="E13" s="7"/>
      <c r="F13" s="7"/>
      <c r="G13" s="7"/>
      <c r="H13" s="7"/>
      <c r="I13" s="7"/>
      <c r="J13" s="7"/>
      <c r="K13" s="7"/>
    </row>
    <row r="14" ht="18.0" customHeight="1">
      <c r="A14" s="5" t="s">
        <v>96</v>
      </c>
      <c r="B14" s="42" t="str">
        <f>IF(AND(B5&lt;B7,B10&gt;0,B13="Unit Economics Acceptable"),"Buy Candidate / Deep Research",IF(B5&lt;B6,"Waitlist / More Work","Reject / Too Expensive"))</f>
        <v>Reject / Too Expensive</v>
      </c>
      <c r="C14" s="7"/>
      <c r="D14" s="7"/>
      <c r="E14" s="7"/>
      <c r="F14" s="7"/>
      <c r="G14" s="7"/>
      <c r="H14" s="7"/>
      <c r="I14" s="7"/>
      <c r="J14" s="7"/>
      <c r="K14" s="7"/>
    </row>
    <row r="15" ht="18.0" customHeight="1">
      <c r="A15" s="7"/>
      <c r="B15" s="7"/>
      <c r="C15" s="7"/>
      <c r="D15" s="7"/>
      <c r="E15" s="7"/>
      <c r="F15" s="7"/>
      <c r="G15" s="7"/>
      <c r="H15" s="7"/>
      <c r="I15" s="7"/>
      <c r="J15" s="7"/>
      <c r="K15" s="7"/>
    </row>
    <row r="16" ht="18.0" customHeight="1">
      <c r="A16" s="7"/>
      <c r="B16" s="7"/>
      <c r="C16" s="7"/>
      <c r="D16" s="7"/>
      <c r="E16" s="7"/>
      <c r="F16" s="7"/>
      <c r="G16" s="7"/>
      <c r="H16" s="7"/>
      <c r="I16" s="7"/>
      <c r="J16" s="7"/>
      <c r="K16" s="7"/>
    </row>
    <row r="17" ht="18.0" customHeight="1">
      <c r="A17" s="7"/>
      <c r="B17" s="7"/>
      <c r="C17" s="7"/>
      <c r="D17" s="7"/>
      <c r="E17" s="7"/>
      <c r="F17" s="7"/>
      <c r="G17" s="7"/>
      <c r="H17" s="7"/>
      <c r="I17" s="7"/>
      <c r="J17" s="7"/>
      <c r="K17" s="7"/>
    </row>
    <row r="18" ht="18.0" customHeight="1">
      <c r="A18" s="4" t="s">
        <v>326</v>
      </c>
    </row>
    <row r="19" ht="36.75" customHeight="1">
      <c r="A19" s="64" t="s">
        <v>327</v>
      </c>
      <c r="D19" s="65" t="s">
        <v>328</v>
      </c>
    </row>
    <row r="20" ht="36.75" customHeight="1">
      <c r="A20" s="64" t="s">
        <v>329</v>
      </c>
      <c r="D20" s="65" t="s">
        <v>330</v>
      </c>
    </row>
    <row r="21" ht="36.75" customHeight="1">
      <c r="A21" s="64" t="s">
        <v>331</v>
      </c>
      <c r="D21" s="65" t="s">
        <v>332</v>
      </c>
    </row>
    <row r="22" ht="36.75" customHeight="1">
      <c r="A22" s="64" t="s">
        <v>333</v>
      </c>
      <c r="D22" s="65" t="s">
        <v>334</v>
      </c>
    </row>
    <row r="23" ht="36.75" customHeight="1">
      <c r="A23" s="64" t="s">
        <v>335</v>
      </c>
      <c r="D23" s="65" t="s">
        <v>336</v>
      </c>
    </row>
    <row r="24" ht="36.75" customHeight="1">
      <c r="A24" s="64" t="s">
        <v>337</v>
      </c>
      <c r="D24" s="65" t="s">
        <v>338</v>
      </c>
    </row>
    <row r="25" ht="36.75" customHeight="1">
      <c r="A25" s="64" t="s">
        <v>339</v>
      </c>
      <c r="D25" s="65" t="s">
        <v>340</v>
      </c>
    </row>
    <row r="26" ht="36.75" customHeight="1">
      <c r="A26" s="64" t="s">
        <v>341</v>
      </c>
      <c r="D26" s="65" t="s">
        <v>342</v>
      </c>
    </row>
    <row r="27" ht="36.75" customHeight="1">
      <c r="A27" s="64" t="s">
        <v>343</v>
      </c>
      <c r="D27" s="65" t="s">
        <v>344</v>
      </c>
    </row>
    <row r="28" ht="36.75" customHeight="1">
      <c r="A28" s="64" t="s">
        <v>345</v>
      </c>
      <c r="D28" s="65" t="s">
        <v>346</v>
      </c>
    </row>
    <row r="29" ht="18.0" customHeight="1">
      <c r="A29" s="7"/>
      <c r="B29" s="7"/>
      <c r="C29" s="7"/>
      <c r="D29" s="7"/>
      <c r="E29" s="7"/>
      <c r="F29" s="7"/>
      <c r="G29" s="7"/>
      <c r="H29" s="7"/>
      <c r="I29" s="7"/>
      <c r="J29" s="7"/>
      <c r="K29" s="7"/>
    </row>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4">
    <mergeCell ref="D21:K21"/>
    <mergeCell ref="D22:K22"/>
    <mergeCell ref="D23:K23"/>
    <mergeCell ref="D24:K24"/>
    <mergeCell ref="D25:K25"/>
    <mergeCell ref="D26:K26"/>
    <mergeCell ref="D27:K27"/>
    <mergeCell ref="D28:K28"/>
    <mergeCell ref="A1:K1"/>
    <mergeCell ref="A2:K2"/>
    <mergeCell ref="A4:K4"/>
    <mergeCell ref="A18:K18"/>
    <mergeCell ref="A19:C19"/>
    <mergeCell ref="D19:K19"/>
    <mergeCell ref="D20:K20"/>
    <mergeCell ref="A27:C27"/>
    <mergeCell ref="A28:C28"/>
    <mergeCell ref="A20:C20"/>
    <mergeCell ref="A21:C21"/>
    <mergeCell ref="A22:C22"/>
    <mergeCell ref="A23:C23"/>
    <mergeCell ref="A24:C24"/>
    <mergeCell ref="A25:C25"/>
    <mergeCell ref="A26:C26"/>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6.0"/>
    <col customWidth="1" min="2" max="11" width="14.0"/>
    <col customWidth="1" min="12" max="26" width="8.63"/>
  </cols>
  <sheetData>
    <row r="1" ht="27.75" customHeight="1">
      <c r="A1" s="1" t="s">
        <v>347</v>
      </c>
      <c r="G1" s="2"/>
      <c r="H1" s="2"/>
      <c r="I1" s="2"/>
      <c r="J1" s="2"/>
      <c r="K1" s="2"/>
    </row>
    <row r="2" ht="24.0" customHeight="1">
      <c r="A2" s="3" t="s">
        <v>348</v>
      </c>
    </row>
    <row r="4" ht="18.0" customHeight="1">
      <c r="A4" s="4" t="s">
        <v>349</v>
      </c>
    </row>
    <row r="5" ht="18.0" customHeight="1">
      <c r="A5" s="63" t="s">
        <v>350</v>
      </c>
      <c r="B5" s="63" t="s">
        <v>351</v>
      </c>
      <c r="C5" s="63" t="s">
        <v>352</v>
      </c>
      <c r="D5" s="63" t="s">
        <v>353</v>
      </c>
      <c r="E5" s="63" t="s">
        <v>354</v>
      </c>
      <c r="F5" s="63" t="s">
        <v>355</v>
      </c>
    </row>
    <row r="6" ht="18.0" customHeight="1">
      <c r="A6" s="66" t="s">
        <v>356</v>
      </c>
      <c r="B6" s="66" t="s">
        <v>357</v>
      </c>
      <c r="C6" s="67" t="s">
        <v>358</v>
      </c>
      <c r="D6" s="66" t="s">
        <v>359</v>
      </c>
      <c r="E6" s="68" t="s">
        <v>360</v>
      </c>
      <c r="F6" s="66" t="s">
        <v>361</v>
      </c>
    </row>
    <row r="7" ht="18.0" customHeight="1">
      <c r="A7" s="66" t="s">
        <v>362</v>
      </c>
      <c r="B7" s="66" t="s">
        <v>363</v>
      </c>
      <c r="C7" s="67" t="s">
        <v>358</v>
      </c>
      <c r="D7" s="66" t="s">
        <v>364</v>
      </c>
      <c r="E7" s="68" t="s">
        <v>360</v>
      </c>
      <c r="F7" s="66" t="s">
        <v>365</v>
      </c>
    </row>
    <row r="8" ht="18.0" customHeight="1">
      <c r="A8" s="66" t="s">
        <v>366</v>
      </c>
      <c r="B8" s="66" t="s">
        <v>367</v>
      </c>
      <c r="C8" s="67" t="s">
        <v>368</v>
      </c>
      <c r="D8" s="66" t="s">
        <v>369</v>
      </c>
      <c r="E8" s="68" t="s">
        <v>360</v>
      </c>
      <c r="F8" s="66" t="s">
        <v>370</v>
      </c>
    </row>
    <row r="9" ht="18.0" customHeight="1">
      <c r="A9" s="7"/>
      <c r="B9" s="7"/>
      <c r="C9" s="7"/>
      <c r="D9" s="7"/>
      <c r="E9" s="69"/>
      <c r="F9" s="7"/>
    </row>
    <row r="10" ht="18.0" customHeight="1">
      <c r="A10" s="7"/>
      <c r="B10" s="7"/>
      <c r="C10" s="7"/>
      <c r="D10" s="7"/>
      <c r="E10" s="69"/>
      <c r="F10" s="7"/>
    </row>
    <row r="11" ht="18.0" customHeight="1">
      <c r="A11" s="7"/>
      <c r="B11" s="7"/>
      <c r="C11" s="7"/>
      <c r="D11" s="7"/>
      <c r="E11" s="69"/>
      <c r="F11" s="7"/>
    </row>
    <row r="12" ht="18.0" customHeight="1">
      <c r="A12" s="7"/>
      <c r="B12" s="7"/>
      <c r="C12" s="7"/>
      <c r="D12" s="7"/>
      <c r="E12" s="69"/>
      <c r="F12" s="7"/>
    </row>
    <row r="13" ht="18.0" customHeight="1">
      <c r="A13" s="7"/>
      <c r="B13" s="7"/>
      <c r="C13" s="7"/>
      <c r="D13" s="7"/>
      <c r="E13" s="69"/>
      <c r="F13" s="7"/>
    </row>
    <row r="14" ht="18.0" customHeight="1">
      <c r="A14" s="7"/>
      <c r="B14" s="7"/>
      <c r="C14" s="7"/>
      <c r="D14" s="7"/>
      <c r="E14" s="69"/>
      <c r="F14" s="7"/>
    </row>
    <row r="15" ht="18.0" customHeight="1">
      <c r="A15" s="7"/>
      <c r="B15" s="7"/>
      <c r="C15" s="7"/>
      <c r="D15" s="7"/>
      <c r="E15" s="69"/>
      <c r="F15" s="7"/>
    </row>
    <row r="16" ht="18.0" customHeight="1">
      <c r="A16" s="7"/>
      <c r="B16" s="7"/>
      <c r="C16" s="7"/>
      <c r="D16" s="7"/>
      <c r="E16" s="69"/>
      <c r="F16" s="7"/>
    </row>
    <row r="17" ht="18.0" customHeight="1">
      <c r="A17" s="7"/>
      <c r="B17" s="7"/>
      <c r="C17" s="7"/>
      <c r="D17" s="7"/>
      <c r="E17" s="69"/>
      <c r="F17" s="7"/>
    </row>
    <row r="18" ht="18.0" customHeight="1">
      <c r="A18" s="7"/>
      <c r="B18" s="7"/>
      <c r="C18" s="7"/>
      <c r="D18" s="7"/>
      <c r="E18" s="69"/>
      <c r="F18" s="7"/>
    </row>
    <row r="19" ht="18.0" customHeight="1">
      <c r="A19" s="7"/>
      <c r="B19" s="7"/>
      <c r="C19" s="7"/>
      <c r="D19" s="7"/>
      <c r="E19" s="69"/>
      <c r="F19" s="7"/>
    </row>
    <row r="20" ht="18.0" customHeight="1">
      <c r="A20" s="7"/>
      <c r="B20" s="7"/>
      <c r="C20" s="7"/>
      <c r="D20" s="7"/>
      <c r="E20" s="69"/>
      <c r="F20" s="7"/>
    </row>
    <row r="21" ht="18.0" customHeight="1">
      <c r="A21" s="7"/>
      <c r="B21" s="7"/>
      <c r="C21" s="7"/>
      <c r="D21" s="7"/>
      <c r="E21" s="69"/>
      <c r="F21" s="7"/>
    </row>
    <row r="22" ht="18.0" customHeight="1">
      <c r="A22" s="7"/>
      <c r="B22" s="7"/>
      <c r="C22" s="7"/>
      <c r="D22" s="7"/>
      <c r="E22" s="69"/>
      <c r="F22" s="7"/>
    </row>
    <row r="23" ht="18.0" customHeight="1">
      <c r="A23" s="7"/>
      <c r="B23" s="7"/>
      <c r="C23" s="7"/>
      <c r="D23" s="7"/>
      <c r="E23" s="69"/>
      <c r="F23" s="7"/>
    </row>
    <row r="24" ht="18.0" customHeight="1">
      <c r="A24" s="7"/>
      <c r="B24" s="7"/>
      <c r="C24" s="7"/>
      <c r="D24" s="7"/>
      <c r="E24" s="69"/>
      <c r="F24" s="7"/>
    </row>
    <row r="25" ht="18.0" customHeight="1">
      <c r="A25" s="7"/>
      <c r="B25" s="7"/>
      <c r="C25" s="7"/>
      <c r="D25" s="7"/>
      <c r="E25" s="69"/>
      <c r="F25" s="7"/>
    </row>
    <row r="26" ht="18.0" customHeight="1">
      <c r="A26" s="7"/>
      <c r="B26" s="7"/>
      <c r="C26" s="7"/>
      <c r="D26" s="7"/>
      <c r="E26" s="69"/>
      <c r="F26" s="7"/>
    </row>
    <row r="27" ht="18.0" customHeight="1">
      <c r="A27" s="7"/>
      <c r="B27" s="7"/>
      <c r="C27" s="7"/>
      <c r="D27" s="7"/>
      <c r="E27" s="69"/>
      <c r="F27" s="7"/>
    </row>
    <row r="28" ht="18.0" customHeight="1">
      <c r="A28" s="7"/>
      <c r="B28" s="7"/>
      <c r="C28" s="7"/>
      <c r="D28" s="7"/>
      <c r="E28" s="69"/>
      <c r="F28" s="7"/>
    </row>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3">
    <mergeCell ref="A1:F1"/>
    <mergeCell ref="A2:F2"/>
    <mergeCell ref="A4:F4"/>
  </mergeCells>
  <hyperlinks>
    <hyperlink r:id="rId1" ref="C6"/>
    <hyperlink r:id="rId2" ref="C7"/>
    <hyperlink r:id="rId3" ref="C8"/>
  </hyperlinks>
  <printOptions/>
  <pageMargins bottom="0.75" footer="0.0" header="0.0" left="0.7" right="0.7" top="0.75"/>
  <pageSetup orientation="landscape"/>
  <drawing r:id="rId4"/>
</worksheet>
</file>