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 Control" sheetId="1" r:id="rId4"/>
    <sheet state="visible" name="01 Cover" sheetId="2" r:id="rId5"/>
    <sheet state="visible" name="02 Historical Financials" sheetId="3" r:id="rId6"/>
    <sheet state="visible" name="03 Normalized Earnings" sheetId="4" r:id="rId7"/>
    <sheet state="visible" name="04 Stability Analysis" sheetId="5" r:id="rId8"/>
    <sheet state="visible" name="05 Maintenance Capex" sheetId="6" r:id="rId9"/>
    <sheet state="visible" name="06 Owner Earnings" sheetId="7" r:id="rId10"/>
    <sheet state="visible" name="07 EPV Calculation" sheetId="8" r:id="rId11"/>
    <sheet state="visible" name="08 Asset Value" sheetId="9" r:id="rId12"/>
    <sheet state="visible" name="09 Market Expectations" sheetId="10" r:id="rId13"/>
    <sheet state="visible" name="10 Multiples Check" sheetId="11" r:id="rId14"/>
    <sheet state="visible" name="11 Sensitivity" sheetId="12" r:id="rId15"/>
    <sheet state="visible" name="12 Final Conclusion" sheetId="13" r:id="rId16"/>
    <sheet state="visible" name="13 Research Questions" sheetId="14" r:id="rId17"/>
    <sheet state="visible" name="14 Sources" sheetId="15" r:id="rId18"/>
    <sheet state="visible" name="15 Build Guide" sheetId="16" r:id="rId19"/>
  </sheets>
  <definedNames/>
  <calcPr/>
  <extLst>
    <ext uri="GoogleSheetsCustomDataVersion2">
      <go:sheetsCustomData xmlns:go="http://customooxmlschemas.google.com/" r:id="rId20" roundtripDataChecksum="Fi1283GUE5AlXQpfTCPcHFwZCqFyw9TxcaV6T1/auQg="/>
    </ext>
  </extLst>
</workbook>
</file>

<file path=xl/sharedStrings.xml><?xml version="1.0" encoding="utf-8"?>
<sst xmlns="http://schemas.openxmlformats.org/spreadsheetml/2006/main" count="1198" uniqueCount="862">
  <si>
    <t>Stable Operating Business / Earnings Power Value Template</t>
  </si>
  <si>
    <t>Control panel for company inputs, global assumptions, and scenario selections. Blue text = hardcoded input; green = linked from another sheet; black = formulas.</t>
  </si>
  <si>
    <t>Company &amp; Market Inputs</t>
  </si>
  <si>
    <t>Company Name</t>
  </si>
  <si>
    <t>John B. Sanfilippo &amp; Son, Inc.</t>
  </si>
  <si>
    <t>Input</t>
  </si>
  <si>
    <t>Used on cover and summary</t>
  </si>
  <si>
    <t>Ticker</t>
  </si>
  <si>
    <t>JBSS</t>
  </si>
  <si>
    <t>Currency</t>
  </si>
  <si>
    <t>USD</t>
  </si>
  <si>
    <t>Set to reporting currency</t>
  </si>
  <si>
    <t>Units</t>
  </si>
  <si>
    <t>$mm</t>
  </si>
  <si>
    <t>Use the same unit throughout the model</t>
  </si>
  <si>
    <t>Latest Fiscal Year</t>
  </si>
  <si>
    <t>Last completed fiscal year or LTM period</t>
  </si>
  <si>
    <t>Current Share Price</t>
  </si>
  <si>
    <t>Market price per share</t>
  </si>
  <si>
    <t>Diluted Shares Outstanding</t>
  </si>
  <si>
    <t>Latest diluted share count</t>
  </si>
  <si>
    <t>Cash &amp; Equivalents</t>
  </si>
  <si>
    <t>Latest balance sheet cash</t>
  </si>
  <si>
    <t>Debt &amp; Leases</t>
  </si>
  <si>
    <t>Latest total debt plus finance leases</t>
  </si>
  <si>
    <t>Other Non-Operating Assets</t>
  </si>
  <si>
    <t>Investments / surplus assets not required to run business</t>
  </si>
  <si>
    <t>Core Valuation Assumptions</t>
  </si>
  <si>
    <t>Statutory / Normalized Tax Rate</t>
  </si>
  <si>
    <t>Used for NOPAT / EBIAT</t>
  </si>
  <si>
    <t>Format %</t>
  </si>
  <si>
    <t>Pre-Tax Cost of Debt</t>
  </si>
  <si>
    <t>For WACC sanity check</t>
  </si>
  <si>
    <t>Cost of Equity</t>
  </si>
  <si>
    <t>Required return for equity cash flow cap</t>
  </si>
  <si>
    <t>WACC / Cost of Capital</t>
  </si>
  <si>
    <t>Primary capitalization rate for operating EPV</t>
  </si>
  <si>
    <t>Margin of Safety</t>
  </si>
  <si>
    <t>Discount to estimated intrinsic value</t>
  </si>
  <si>
    <t>Normalization Method</t>
  </si>
  <si>
    <t>Median</t>
  </si>
  <si>
    <t>Median / Average / Weighted</t>
  </si>
  <si>
    <t>Growth Credit Included?</t>
  </si>
  <si>
    <t>No</t>
  </si>
  <si>
    <t>This template should normally remain No</t>
  </si>
  <si>
    <t>Asset Value Haircuts</t>
  </si>
  <si>
    <t>Accounts Receivable Haircut</t>
  </si>
  <si>
    <t>Conservative collectability haircut</t>
  </si>
  <si>
    <t>Inventory Haircut</t>
  </si>
  <si>
    <t>Markdown / obsolescence haircut</t>
  </si>
  <si>
    <t>PP&amp;E Haircut</t>
  </si>
  <si>
    <t>Replacement value / liquidation buffer</t>
  </si>
  <si>
    <t>Goodwill Haircut</t>
  </si>
  <si>
    <t>Usually write off goodwill for downside asset value</t>
  </si>
  <si>
    <t>Other Assets Haircut</t>
  </si>
  <si>
    <t>Conservative catch-all haircut</t>
  </si>
  <si>
    <t>Model Output Links</t>
  </si>
  <si>
    <t>EPV Equity Value / Share</t>
  </si>
  <si>
    <t>EPV Strike Price / Share</t>
  </si>
  <si>
    <t>Owner Earnings Equity Value / Share</t>
  </si>
  <si>
    <t>Asset Value / Share</t>
  </si>
  <si>
    <t>Current Price / EPV</t>
  </si>
  <si>
    <t>Upside / Downside to EPV</t>
  </si>
  <si>
    <t>Stability Score</t>
  </si>
  <si>
    <t>Conclusion Rating</t>
  </si>
  <si>
    <t>Last Updated</t>
  </si>
  <si>
    <t>2026-06-02</t>
  </si>
  <si>
    <t>Cover / Company Overview</t>
  </si>
  <si>
    <t>One-page overview for the stable operating business EPV valuation.</t>
  </si>
  <si>
    <t>Company Snapshot</t>
  </si>
  <si>
    <t>Company</t>
  </si>
  <si>
    <t>Control</t>
  </si>
  <si>
    <t>Business Description</t>
  </si>
  <si>
    <t>John B. Sanfilippo &amp; Son processes, manufactures, markets, and distributes nuts, nut-related products, snack products, and nutrition bars. Demand is relatively stable because nuts and snack products are recurring food purchases used for snacking, recipes, health-oriented eating, foodservice, and packaged food ingredients.</t>
  </si>
  <si>
    <t>Analyst input</t>
  </si>
  <si>
    <t>Industry</t>
  </si>
  <si>
    <t>Packaged Foods / Consumer Staples</t>
  </si>
  <si>
    <t>Fiscal Year / Period</t>
  </si>
  <si>
    <t>Currency / Units</t>
  </si>
  <si>
    <t>Market Cap</t>
  </si>
  <si>
    <t>Market expectations</t>
  </si>
  <si>
    <t>Valuation Summary</t>
  </si>
  <si>
    <t>EPV Value / Share</t>
  </si>
  <si>
    <t>From EPV calculation</t>
  </si>
  <si>
    <t>Strike Price / Share</t>
  </si>
  <si>
    <t>EPV less margin of safety</t>
  </si>
  <si>
    <t>Franchise-Adjusted Strike Price / Share</t>
  </si>
  <si>
    <t>Market valuation vs EPV</t>
  </si>
  <si>
    <t>Upside / Downside</t>
  </si>
  <si>
    <t>EPV / current price - 1</t>
  </si>
  <si>
    <t>Adjusted asset value</t>
  </si>
  <si>
    <t>0-9</t>
  </si>
  <si>
    <t>Final Rating</t>
  </si>
  <si>
    <t>From conclusion</t>
  </si>
  <si>
    <t>Memo Status</t>
  </si>
  <si>
    <t>Complete</t>
  </si>
  <si>
    <t>Investment Question</t>
  </si>
  <si>
    <t>What is this business worth if current normalized earnings continue, without giving much credit for growth?</t>
  </si>
  <si>
    <t>Answer:</t>
  </si>
  <si>
    <t>Decision Rule:</t>
  </si>
  <si>
    <t>Buy only when price is below strike price AND normalized earnings are durable.</t>
  </si>
  <si>
    <t>Primary Risk:</t>
  </si>
  <si>
    <t>The business is less stable than the historical numbers imply.</t>
  </si>
  <si>
    <t>Next Step:</t>
  </si>
  <si>
    <t>Complete red flags and draft investment memo only if valuation and quality both pass.</t>
  </si>
  <si>
    <t>Historical Financials</t>
  </si>
  <si>
    <t>Enter 5+ years of clean historical data. Keep all figures in the units selected on the Control sheet.</t>
  </si>
  <si>
    <t>Historical Operating Data</t>
  </si>
  <si>
    <t>Line Item</t>
  </si>
  <si>
    <t>Source / Notes</t>
  </si>
  <si>
    <t>Quality Check</t>
  </si>
  <si>
    <t>Include?</t>
  </si>
  <si>
    <t>Revenue</t>
  </si>
  <si>
    <t>10-K / 10-Q / Company filings</t>
  </si>
  <si>
    <t>Yes</t>
  </si>
  <si>
    <t>Revenue Growth</t>
  </si>
  <si>
    <t>Gross Profit</t>
  </si>
  <si>
    <t>Gross Margin</t>
  </si>
  <si>
    <t>EBIT / Operating Income</t>
  </si>
  <si>
    <t>EBIT Margin</t>
  </si>
  <si>
    <t>Taxes on EBIT</t>
  </si>
  <si>
    <t>NOPAT / EBIAT</t>
  </si>
  <si>
    <t>D&amp;A</t>
  </si>
  <si>
    <t>Capital Expenditures</t>
  </si>
  <si>
    <t>Capex / Revenue</t>
  </si>
  <si>
    <t>Operating Working Capital</t>
  </si>
  <si>
    <t>Change in Operating Working Capital</t>
  </si>
  <si>
    <t>Net Income</t>
  </si>
  <si>
    <t>Diluted Shares</t>
  </si>
  <si>
    <t>Book Equity</t>
  </si>
  <si>
    <t>Invested Capital</t>
  </si>
  <si>
    <t>ROIC</t>
  </si>
  <si>
    <t>Normalized Earnings Analysis</t>
  </si>
  <si>
    <t>Normalize current earnings power before applying a capitalization rate. Use this sheet to avoid over-crediting one-time peaks.</t>
  </si>
  <si>
    <t>Normalization Engine</t>
  </si>
  <si>
    <t>Metric</t>
  </si>
  <si>
    <t>Formula / Input</t>
  </si>
  <si>
    <t>Average</t>
  </si>
  <si>
    <t>Weighted Recent</t>
  </si>
  <si>
    <t>Selected</t>
  </si>
  <si>
    <t>Source</t>
  </si>
  <si>
    <t>Analyst Note</t>
  </si>
  <si>
    <t>Linked / calculated</t>
  </si>
  <si>
    <t>Review for cyclicality, accounting changes, acquisitions, and one-time items.</t>
  </si>
  <si>
    <t>Normalized EBIT</t>
  </si>
  <si>
    <t>Normalized Tax Rate</t>
  </si>
  <si>
    <t>Normalized NOPAT / EBIAT</t>
  </si>
  <si>
    <t>D&amp;A / Revenue</t>
  </si>
  <si>
    <t>Normalized D&amp;A</t>
  </si>
  <si>
    <t>Maintenance Capex / Revenue</t>
  </si>
  <si>
    <t>Normalized Maintenance Capex</t>
  </si>
  <si>
    <t>Required WC Investment</t>
  </si>
  <si>
    <t>Adjusted Earnings Power</t>
  </si>
  <si>
    <t>Normalization Adjustments / Add-Backs</t>
  </si>
  <si>
    <t>Adjustment</t>
  </si>
  <si>
    <t>Amount</t>
  </si>
  <si>
    <t>Tax-Affected?</t>
  </si>
  <si>
    <t>Recurring?</t>
  </si>
  <si>
    <t>Add / Subtract</t>
  </si>
  <si>
    <t>After-Tax Impact</t>
  </si>
  <si>
    <t>Evidence / Source</t>
  </si>
  <si>
    <t>Decision</t>
  </si>
  <si>
    <t>Restructuring / one-time charges</t>
  </si>
  <si>
    <t>Add</t>
  </si>
  <si>
    <t>Filing note / earnings call</t>
  </si>
  <si>
    <t>No clear non-recurring restructuring charge identified.</t>
  </si>
  <si>
    <t>Litigation / settlement</t>
  </si>
  <si>
    <t>Filing note</t>
  </si>
  <si>
    <t>No material one-time litigation settlement identified.</t>
  </si>
  <si>
    <t>Acquisition integration costs</t>
  </si>
  <si>
    <t>No clear acquisition integration add-back identified.</t>
  </si>
  <si>
    <t>Stock-based compensation</t>
  </si>
  <si>
    <t>Maybe</t>
  </si>
  <si>
    <t>Subtract</t>
  </si>
  <si>
    <t>Proxy / 10-K</t>
  </si>
  <si>
    <t>Treat SBC as a real recurring shareholder cost.</t>
  </si>
  <si>
    <t>Other normalization item</t>
  </si>
  <si>
    <t>No documented other normalization adjustment.</t>
  </si>
  <si>
    <t>Total After-Tax Normalization Adjustments</t>
  </si>
  <si>
    <t>Revenue &amp; Margin Stability Analysis</t>
  </si>
  <si>
    <t>The EPV method only works when the business is stable enough that normalized current earnings power is meaningful.</t>
  </si>
  <si>
    <t>Stability Diagnostics</t>
  </si>
  <si>
    <t>Result</t>
  </si>
  <si>
    <t>Threshold / Target</t>
  </si>
  <si>
    <t>Pass?</t>
  </si>
  <si>
    <t>Interpretation</t>
  </si>
  <si>
    <t>Formula</t>
  </si>
  <si>
    <t>Notes</t>
  </si>
  <si>
    <t>Revenue CAGR</t>
  </si>
  <si>
    <t>&gt;= 0% preferred</t>
  </si>
  <si>
    <t>Pass</t>
  </si>
  <si>
    <t>Stable to slightly growing revenue supports current earnings power.</t>
  </si>
  <si>
    <t>ending revenue / beginning revenue ^ (1 / years) - 1</t>
  </si>
  <si>
    <t>Revenue Volatility (StDev Growth)</t>
  </si>
  <si>
    <t>&lt; 8% preferred</t>
  </si>
  <si>
    <t>High volatility means normalize over longer cycle or reject EPV.</t>
  </si>
  <si>
    <t>standard deviation of annual revenue growth rates</t>
  </si>
  <si>
    <t>EBIT Margin Avg</t>
  </si>
  <si>
    <t>Positive</t>
  </si>
  <si>
    <t>Average operating profitability.</t>
  </si>
  <si>
    <t>average EBIT margin</t>
  </si>
  <si>
    <t>EBIT Margin Range</t>
  </si>
  <si>
    <t>&lt; 10 pts preferred</t>
  </si>
  <si>
    <t>Wide margin range suggests cyclicality or operating leverage.</t>
  </si>
  <si>
    <t>maximum EBIT margin minus minimum EBIT margin</t>
  </si>
  <si>
    <t>NOPAT Margin Avg</t>
  </si>
  <si>
    <t>After-tax operating margin.</t>
  </si>
  <si>
    <t>average NOPAT margin</t>
  </si>
  <si>
    <t>ROIC Avg</t>
  </si>
  <si>
    <t>&gt; WACC preferred</t>
  </si>
  <si>
    <t>EPV alone does not prove competitive advantage; ROIC helps test quality.</t>
  </si>
  <si>
    <t>average ROIC</t>
  </si>
  <si>
    <t>Revenue Drawdown</t>
  </si>
  <si>
    <t>&lt; 15% preferred</t>
  </si>
  <si>
    <t>Worst revenue drop in history period.</t>
  </si>
  <si>
    <t>worst annual revenue growth</t>
  </si>
  <si>
    <t>Score: Revenue</t>
  </si>
  <si>
    <t>0-3</t>
  </si>
  <si>
    <t>Simple score for revenue stability.</t>
  </si>
  <si>
    <t>rule-based scoring</t>
  </si>
  <si>
    <t>Score: Margin</t>
  </si>
  <si>
    <t>Simple score for margin stability.</t>
  </si>
  <si>
    <t>Score: Returns</t>
  </si>
  <si>
    <t>Simple score for return stability.</t>
  </si>
  <si>
    <t>Total Stability Score</t>
  </si>
  <si>
    <t>&gt;= 7 preferred</t>
  </si>
  <si>
    <t>Reject or heavily haircut if below threshold.</t>
  </si>
  <si>
    <t>sum of scores</t>
  </si>
  <si>
    <t>Use EPV when the company has repeatable demand, stable unit economics, limited disruption risk, and margins that can be normalized with confidence.</t>
  </si>
  <si>
    <t>Do not use a clean no-growth EPV for businesses where current profits are temporarily inflated, commodity-driven, structurally declining, or dependent on aggressive acquisition accounting.</t>
  </si>
  <si>
    <t>If the score is below 7, either lengthen the historical period, haircut normalized earnings, or move the company to a different valuation template.</t>
  </si>
  <si>
    <t>For highly cyclical companies, use mid-cycle earnings instead of current/LTM earnings.</t>
  </si>
  <si>
    <t>For growth businesses, EPV can be a floor, not the full valuation.</t>
  </si>
  <si>
    <t>Maintenance Capex Estimate</t>
  </si>
  <si>
    <t>Separate maintenance reinvestment from growth capex. EPV should value earnings power after required reinvestment to sustain current operations.</t>
  </si>
  <si>
    <t>Maintenance Capex Methods</t>
  </si>
  <si>
    <t>Method</t>
  </si>
  <si>
    <t>Weight</t>
  </si>
  <si>
    <t>Weighted Result</t>
  </si>
  <si>
    <t>Evidence Needed</t>
  </si>
  <si>
    <t>Use?</t>
  </si>
  <si>
    <t>Method 1: Depreciation proxy</t>
  </si>
  <si>
    <t>Avg D&amp;A / Revenue</t>
  </si>
  <si>
    <t>D&amp;A approximates asset wear for mature company</t>
  </si>
  <si>
    <t>D&amp;A is a reasonable maintenance proxy for a mature processor, but likely slightly low given equipment upgrades.</t>
  </si>
  <si>
    <t>Method 2: Historical capex ratio</t>
  </si>
  <si>
    <t>Avg Capex / Revenue</t>
  </si>
  <si>
    <t>Long history of capex / revenue</t>
  </si>
  <si>
    <t>Recent historical capex includes elevated growth/expansion spending, so it overstates maintenance.</t>
  </si>
  <si>
    <t>Method 3: Low-revenue-growth capex ratio</t>
  </si>
  <si>
    <t>Capex / Revenue in low-growth years</t>
  </si>
  <si>
    <t>Years when revenue growth was near zero</t>
  </si>
  <si>
    <t>Better proxy because it focuses on years when capex was less likely to be growth-driven.</t>
  </si>
  <si>
    <t>Method 4: Analyst maintenance estimate</t>
  </si>
  <si>
    <t>Manual % of revenue</t>
  </si>
  <si>
    <t>Management comments / filings / depreciation detail</t>
  </si>
  <si>
    <t>Use judgment because current capex cycle includes expansion, efficiency, bars, and facility projects.</t>
  </si>
  <si>
    <t>Selected Maintenance Capex / Revenue</t>
  </si>
  <si>
    <t>Weighted average of included methods</t>
  </si>
  <si>
    <t>Flows to Normalized Earnings and Owner Earnings</t>
  </si>
  <si>
    <t>Normalized Revenue</t>
  </si>
  <si>
    <t>Avg Historical Capex</t>
  </si>
  <si>
    <t>Avg Historical D&amp;A</t>
  </si>
  <si>
    <t>Maintenance Capex vs D&amp;A</t>
  </si>
  <si>
    <t>Maintenance Capex as % Revenue</t>
  </si>
  <si>
    <t>Red Flag</t>
  </si>
  <si>
    <t>Owner Earnings Calculation</t>
  </si>
  <si>
    <t>Buffett-style owner earnings: reported earnings plus non-cash charges less required maintenance capital and working capital investment.</t>
  </si>
  <si>
    <t>Owner Earnings Bridge</t>
  </si>
  <si>
    <t>Link from normalized earnings</t>
  </si>
  <si>
    <t>Add: Normalized D&amp;A</t>
  </si>
  <si>
    <t>Non-cash charge</t>
  </si>
  <si>
    <t>Less: Maintenance Capex</t>
  </si>
  <si>
    <t>Required reinvestment to maintain current earnings power</t>
  </si>
  <si>
    <t>Less: Required Working Capital Investment</t>
  </si>
  <si>
    <t>Normal WC reinvestment to sustain current revenue</t>
  </si>
  <si>
    <t>Owner Earnings / Adjusted Earnings Power</t>
  </si>
  <si>
    <t>Cash earnings available to owners if current earnings continue</t>
  </si>
  <si>
    <t>Owner Earnings Margin</t>
  </si>
  <si>
    <t>Owner earnings as % normalized revenue</t>
  </si>
  <si>
    <t>Required return for equity cash flow capitalization</t>
  </si>
  <si>
    <t>Equity Value from Owner Earnings</t>
  </si>
  <si>
    <t>Owner earnings / cost of equity</t>
  </si>
  <si>
    <t>Net Debt Adjustment</t>
  </si>
  <si>
    <t>Debt less cash less non-operating assets</t>
  </si>
  <si>
    <t>Equity Value / Share</t>
  </si>
  <si>
    <t>Owner earnings valuation per diluted share</t>
  </si>
  <si>
    <t>Intrinsic value per share less margin of safety</t>
  </si>
  <si>
    <t>Working Capital Normalization</t>
  </si>
  <si>
    <t>Avg Operating WC / Revenue</t>
  </si>
  <si>
    <t>Historical operating working capital intensity</t>
  </si>
  <si>
    <t>Normalized Revenue Growth Assumption</t>
  </si>
  <si>
    <t>Normally 0% in EPV; only use maintenance-level growth if unavoidable</t>
  </si>
  <si>
    <t>Normalized revenue * growth assumption * WC intensity</t>
  </si>
  <si>
    <t>Use in Owner Earnings?</t>
  </si>
  <si>
    <t>Yes / No</t>
  </si>
  <si>
    <t>Selected Required WC Investment</t>
  </si>
  <si>
    <t>Flows to owner earnings bridge</t>
  </si>
  <si>
    <t>Note</t>
  </si>
  <si>
    <t>For pure no-growth EPV this should usually be zero.</t>
  </si>
  <si>
    <t>Earnings Power Value Calculation</t>
  </si>
  <si>
    <t>Core question: What is this business worth if current normalized earnings continue without giving much credit for growth?</t>
  </si>
  <si>
    <t>Operating EPV</t>
  </si>
  <si>
    <t>Link from Normalized Earnings</t>
  </si>
  <si>
    <t>Selected EBIT Margin</t>
  </si>
  <si>
    <t>Normalized operating margin</t>
  </si>
  <si>
    <t>Revenue x margin</t>
  </si>
  <si>
    <t>Tax Rate</t>
  </si>
  <si>
    <t>Control sheet</t>
  </si>
  <si>
    <t>After-tax operating income</t>
  </si>
  <si>
    <t>If valuing owner earnings variant</t>
  </si>
  <si>
    <t>Required maintenance reinvestment</t>
  </si>
  <si>
    <t>Linked from Normalized Earnings; includes after-tax adjustments</t>
  </si>
  <si>
    <t>Capitalization rate</t>
  </si>
  <si>
    <t>Enterprise EPV</t>
  </si>
  <si>
    <t>Adjusted earnings / WACC</t>
  </si>
  <si>
    <t>Add: Cash &amp; Equivalents</t>
  </si>
  <si>
    <t>Add: Other Non-Operating Assets</t>
  </si>
  <si>
    <t>Less: Debt &amp; Leases</t>
  </si>
  <si>
    <t>Equity EPV</t>
  </si>
  <si>
    <t>Enterprise value to equity value</t>
  </si>
  <si>
    <t>Output</t>
  </si>
  <si>
    <t>Value</t>
  </si>
  <si>
    <t>Equity EPV / diluted shares</t>
  </si>
  <si>
    <t>MOS Strike Price</t>
  </si>
  <si>
    <t>Value per share less MOS</t>
  </si>
  <si>
    <t>Current Price</t>
  </si>
  <si>
    <t>Discount / Premium to Strike</t>
  </si>
  <si>
    <t>Market price relative to strike price</t>
  </si>
  <si>
    <t>Buy / Wait / Reject</t>
  </si>
  <si>
    <t>Asset Value Comparison</t>
  </si>
  <si>
    <t>Compare EPV to adjusted asset value. In Greenwald-style analysis, EPV above asset value may suggest franchise value; EPV below asset value may suggest poor returns or overstatement.</t>
  </si>
  <si>
    <t>Adjusted Asset Value</t>
  </si>
  <si>
    <t>Asset / Liability</t>
  </si>
  <si>
    <t>Reported Value</t>
  </si>
  <si>
    <t>Haircut</t>
  </si>
  <si>
    <t>Adjusted Value</t>
  </si>
  <si>
    <t>Control / filings</t>
  </si>
  <si>
    <t>Usually no haircut</t>
  </si>
  <si>
    <t>Accounts Receivable</t>
  </si>
  <si>
    <t>10-K / 10-Q</t>
  </si>
  <si>
    <t>Input latest balance sheet</t>
  </si>
  <si>
    <t>Inventory</t>
  </si>
  <si>
    <t>Net PP&amp;E</t>
  </si>
  <si>
    <t>Goodwill</t>
  </si>
  <si>
    <t>Usually assign little/no downside value</t>
  </si>
  <si>
    <t>Other Assets</t>
  </si>
  <si>
    <t>Inspect composition</t>
  </si>
  <si>
    <t>Total Adjusted Assets</t>
  </si>
  <si>
    <t>Calculated</t>
  </si>
  <si>
    <t>Total Liabilities ex Debt</t>
  </si>
  <si>
    <t>Subtract debt</t>
  </si>
  <si>
    <t>Adjusted Asset Equity Value</t>
  </si>
  <si>
    <t>Adjusted assets less liabilities and debt</t>
  </si>
  <si>
    <t>Sanity check / downside anchor</t>
  </si>
  <si>
    <t>EPV vs Asset Value</t>
  </si>
  <si>
    <t>EPV Equity Value</t>
  </si>
  <si>
    <t>EPV / Asset Value</t>
  </si>
  <si>
    <t>Implied Franchise Value</t>
  </si>
  <si>
    <t>Franchise Value / Share</t>
  </si>
  <si>
    <t>Risk Flag</t>
  </si>
  <si>
    <t>Action</t>
  </si>
  <si>
    <t>Market Expectations Section</t>
  </si>
  <si>
    <t>Reverse engineer what the current market price implies about earnings power.</t>
  </si>
  <si>
    <t>Market-Implied Earnings Power</t>
  </si>
  <si>
    <t>Market Capitalization</t>
  </si>
  <si>
    <t>Price x shares</t>
  </si>
  <si>
    <t>Enterprise Value</t>
  </si>
  <si>
    <t>Market cap + debt - cash - non-op assets</t>
  </si>
  <si>
    <t>Market-Implied Adjusted Earnings Power</t>
  </si>
  <si>
    <t>EV x WACC</t>
  </si>
  <si>
    <t>Implied EBIT Margin Approximation</t>
  </si>
  <si>
    <t>Back-solved based on normalized revenue and tax</t>
  </si>
  <si>
    <t>EPV Enterprise Value</t>
  </si>
  <si>
    <t>From EPV sheet</t>
  </si>
  <si>
    <t>Market cap / EPV equity value</t>
  </si>
  <si>
    <t>EPV price per share / current price - 1</t>
  </si>
  <si>
    <t>Market View</t>
  </si>
  <si>
    <t>Expectation Questions</t>
  </si>
  <si>
    <t>Question</t>
  </si>
  <si>
    <t>Answer / Analyst Input</t>
  </si>
  <si>
    <t>Why it matters</t>
  </si>
  <si>
    <t>Evidence</t>
  </si>
  <si>
    <t>Does current price require margin expansion?</t>
  </si>
  <si>
    <t>Yes; current price implies roughly 13% EBIT margin, well above normalized and recent margins.</t>
  </si>
  <si>
    <t>EPV should not rely on heroic margin improvement.</t>
  </si>
  <si>
    <t>Market-implied EBIT margin vs. selected 9.0% normalized EBIT margin.</t>
  </si>
  <si>
    <t>Does current price assume growth despite low reinvestment returns?</t>
  </si>
  <si>
    <t>Probably yes, but JBSS has earned attractive ROIC, so growth could create value if returns persist.</t>
  </si>
  <si>
    <t>Growth only creates value if ROIC &gt; cost of capital.</t>
  </si>
  <si>
    <t>Historical ROIC appears strong, but sustainability is uncertain.</t>
  </si>
  <si>
    <t>Is the market pricing temporary weakness as permanent?</t>
  </si>
  <si>
    <t>No; the stock is above EPV, so the market is not pricing permanent weakness.</t>
  </si>
  <si>
    <t>Possible opportunity if normalized earnings are durable.</t>
  </si>
  <si>
    <t>Current price is about 1.7x EPV value.</t>
  </si>
  <si>
    <t>Is the market ignoring balance sheet risk?</t>
  </si>
  <si>
    <t>Not a major issue; leverage is manageable, but debt and leases should still be included.</t>
  </si>
  <si>
    <t>EPV can overstate equity value when leverage is high.</t>
  </si>
  <si>
    <t>Debt + leases are modest relative to enterprise value.</t>
  </si>
  <si>
    <t>Is there a structural decline not visible in 5-year data?</t>
  </si>
  <si>
    <t>No obvious structural decline, but customer concentration and retailer pressure remain important risks.</t>
  </si>
  <si>
    <t>Stability may be backward-looking.</t>
  </si>
  <si>
    <t>Revenue has been stable/growing; Walmart and Target concentration is the main concern.</t>
  </si>
  <si>
    <t>Could current earnings be peak-cycle?</t>
  </si>
  <si>
    <t>Possibly, though margins have already moved below the strongest 2020–2023 period.</t>
  </si>
  <si>
    <t>Peak earnings invalidates no-growth EPV.</t>
  </si>
  <si>
    <t>Recent EBIT margin is below the 5-year median but still requires normalization.</t>
  </si>
  <si>
    <t>Multiples Sanity Check</t>
  </si>
  <si>
    <t>Use market multiples only as a sanity check. EPV remains the anchor for stable no-growth earnings power.</t>
  </si>
  <si>
    <t>Subject Company Multiples</t>
  </si>
  <si>
    <t>Flag</t>
  </si>
  <si>
    <t>P / Normalized Earnings</t>
  </si>
  <si>
    <t>Market cap / normalized NOPAT</t>
  </si>
  <si>
    <t>Equity earnings multiple</t>
  </si>
  <si>
    <t>Model</t>
  </si>
  <si>
    <t>EV / Adjusted Earnings Power</t>
  </si>
  <si>
    <t>EV / adjusted earnings power</t>
  </si>
  <si>
    <t>No-growth enterprise multiple</t>
  </si>
  <si>
    <t>EV / EBIT</t>
  </si>
  <si>
    <t>EV / normalized EBIT</t>
  </si>
  <si>
    <t>Operating multiple</t>
  </si>
  <si>
    <t>EV / Revenue</t>
  </si>
  <si>
    <t>EV / normalized revenue</t>
  </si>
  <si>
    <t>Revenue multiple</t>
  </si>
  <si>
    <t>FCF / Market Cap Yield</t>
  </si>
  <si>
    <t>Owner earnings / market cap</t>
  </si>
  <si>
    <t>Owner earnings yield</t>
  </si>
  <si>
    <t>Comparable Company Table</t>
  </si>
  <si>
    <t>Peer</t>
  </si>
  <si>
    <t>EV</t>
  </si>
  <si>
    <t>EBIT</t>
  </si>
  <si>
    <t>EV/Revenue</t>
  </si>
  <si>
    <t>EV/EBIT</t>
  </si>
  <si>
    <t>P/E</t>
  </si>
  <si>
    <t>The Simply Good Foods Company</t>
  </si>
  <si>
    <t>SMPL</t>
  </si>
  <si>
    <t>Input comparable mature operating business</t>
  </si>
  <si>
    <t>B&amp;G Foods</t>
  </si>
  <si>
    <t>BGS</t>
  </si>
  <si>
    <t>The Marzetti Company / Lancaster Colony</t>
  </si>
  <si>
    <t>MZTI / LANC</t>
  </si>
  <si>
    <t>Hormel Foods</t>
  </si>
  <si>
    <t>HRL</t>
  </si>
  <si>
    <t>Post Holdings</t>
  </si>
  <si>
    <t>POST</t>
  </si>
  <si>
    <t>Multiples-Based Cross-Check</t>
  </si>
  <si>
    <t>Median EV/EBIT Value / Share</t>
  </si>
  <si>
    <t>Median peer EV/EBIT x normalized EBIT plus net cash, divided by shares</t>
  </si>
  <si>
    <t>Median EV/Revenue Value / Share</t>
  </si>
  <si>
    <t>Median peer EV/Revenue x normalized revenue plus net cash, divided by shares</t>
  </si>
  <si>
    <t>Median P/E Value / Share</t>
  </si>
  <si>
    <t>Median peer P/E x normalized NOPAT, divided by shares</t>
  </si>
  <si>
    <t>Multiples Check View</t>
  </si>
  <si>
    <t>Use as sanity check only</t>
  </si>
  <si>
    <t>Do not override EPV; investigate differences</t>
  </si>
  <si>
    <t>Sensitivity Table</t>
  </si>
  <si>
    <t>Test how valuation changes as adjusted earnings power and capitalization rate move. This is not a growth model.</t>
  </si>
  <si>
    <t>EPV Value / Share Sensitivity</t>
  </si>
  <si>
    <t>Adjusted Earnings Change</t>
  </si>
  <si>
    <t>7.0%</t>
  </si>
  <si>
    <t>8.0%</t>
  </si>
  <si>
    <t>9.0%</t>
  </si>
  <si>
    <t>10.0%</t>
  </si>
  <si>
    <t>11.0%</t>
  </si>
  <si>
    <t>12.0%</t>
  </si>
  <si>
    <t>13.0%</t>
  </si>
  <si>
    <t>Strike Price Sensitivity After Margin of Safety</t>
  </si>
  <si>
    <t>Interpretation Rules</t>
  </si>
  <si>
    <t>If value is only attractive under low discount rates or high normalized earnings, waitlist rather than buy.</t>
  </si>
  <si>
    <t>If the current price is below the strike price across conservative assumptions, proceed to memo.</t>
  </si>
  <si>
    <t>If sensitivity is extreme, the business may be less stable than assumed or leverage may be too high.</t>
  </si>
  <si>
    <t>Use this page to prevent false precision: the point estimate is less important than the range.</t>
  </si>
  <si>
    <t>Final Valuation Conclusion</t>
  </si>
  <si>
    <t>Automatically summarizes the EPV, asset value, market expectations, and research flags into a disciplined decision.</t>
  </si>
  <si>
    <t>Core Outputs</t>
  </si>
  <si>
    <t>No-growth intrinsic value anchor</t>
  </si>
  <si>
    <t>EPV value less margin of safety</t>
  </si>
  <si>
    <t>Potential Buy / Waitlist / Reject</t>
  </si>
  <si>
    <t>From stability analysis</t>
  </si>
  <si>
    <t>Downside / replacement sanity check</t>
  </si>
  <si>
    <t>Market-Implied View</t>
  </si>
  <si>
    <t>From market expectations</t>
  </si>
  <si>
    <t>Investment Conclusion Narrative</t>
  </si>
  <si>
    <t>Answer</t>
  </si>
  <si>
    <t>Formula / Guidance</t>
  </si>
  <si>
    <t>Analyst Override</t>
  </si>
  <si>
    <t>What is the business worth with no growth?</t>
  </si>
  <si>
    <t>EPV value per share</t>
  </si>
  <si>
    <t>Conservative EPV value based on normalized earnings power.</t>
  </si>
  <si>
    <t>What price gives the required margin of safety?</t>
  </si>
  <si>
    <t>Strike price</t>
  </si>
  <si>
    <t>20% margin of safety applied to EPV value.</t>
  </si>
  <si>
    <t>Is normalized earnings credible?</t>
  </si>
  <si>
    <t>Check stability score and red flags</t>
  </si>
  <si>
    <t>Revenue/margin stability support EPV, but margins should be normalized conservatively.</t>
  </si>
  <si>
    <t>Does asset value support the valuation?</t>
  </si>
  <si>
    <t>Compare EPV to adjusted asset value</t>
  </si>
  <si>
    <t>EPV above adjusted asset value implies real operating franchise value.</t>
  </si>
  <si>
    <t>What must be true to buy?</t>
  </si>
  <si>
    <t>Current price below strike, normalized earnings durable, no structural decline, leverage acceptable.</t>
  </si>
  <si>
    <t>Price must fall materially or earnings power must prove much higher than base case.</t>
  </si>
  <si>
    <t>Final Decision</t>
  </si>
  <si>
    <t>Watchlist / Too Expensive</t>
  </si>
  <si>
    <t>Automated rating plus analyst judgment</t>
  </si>
  <si>
    <t>JBSS has real franchise characteristics, including high ROIC, long-term operating durability, and evidence of value creation above asset value. However, even after adding a conservative franchise-adjusted EPV overlay, the current price remains well above both no-growth EPV and franchise-adjusted strike price. Final decision remains Reject / Too Expensive, but the business should remain on watchlist.</t>
  </si>
  <si>
    <t>Not Started / Drafting / Ready</t>
  </si>
  <si>
    <t>Red Flag Summary</t>
  </si>
  <si>
    <t>Status</t>
  </si>
  <si>
    <t>Revenue structurally declining</t>
  </si>
  <si>
    <t>EPV based on current earnings may overstate value</t>
  </si>
  <si>
    <t>Revenue has grown over the long term and recent 5-year stability score is strong.</t>
  </si>
  <si>
    <t>No issue; monitor sales trend.</t>
  </si>
  <si>
    <t>Margins above historical norm</t>
  </si>
  <si>
    <t>Peak margins invalidate normalized earnings</t>
  </si>
  <si>
    <t>Normalized EBIT margin is around 9.0%, above 2024–2025 levels but within recent history.</t>
  </si>
  <si>
    <t>Use conservative margin assumptions.</t>
  </si>
  <si>
    <t>Maintenance capex understated</t>
  </si>
  <si>
    <t>Overstates owner earnings</t>
  </si>
  <si>
    <t>Recent capex is elevated; maintenance estimate is above D&amp;A but below current capex cycle.</t>
  </si>
  <si>
    <t>Monitor 2025–2026 capex and returns.</t>
  </si>
  <si>
    <t>Leverage too high</t>
  </si>
  <si>
    <t>Equity value sensitive to debt and refinancing</t>
  </si>
  <si>
    <t>Debt and leases are manageable relative to EV and earnings power.</t>
  </si>
  <si>
    <t>Include full debt and leases in valuation.</t>
  </si>
  <si>
    <t>Customer/product concentration</t>
  </si>
  <si>
    <t>Stable history may not persist</t>
  </si>
  <si>
    <t>Walmart and Target represent more than half of sales.</t>
  </si>
  <si>
    <t>Require larger margin of safety.</t>
  </si>
  <si>
    <t>Accounting quality concerns</t>
  </si>
  <si>
    <t>Reported earnings may not equal owner earnings</t>
  </si>
  <si>
    <t>No major normalization add-backs used.</t>
  </si>
  <si>
    <t>Continue using reported earnings conservatively.</t>
  </si>
  <si>
    <t>Management capital allocation poor</t>
  </si>
  <si>
    <t>Cash flows may be wasted</t>
  </si>
  <si>
    <t>Long-term record shows modest dilution, debt reduction, and dividends.</t>
  </si>
  <si>
    <t>Monitor capex/acquisition returns.</t>
  </si>
  <si>
    <t>Technological disruption risk</t>
  </si>
  <si>
    <t>Low</t>
  </si>
  <si>
    <t>No-growth earnings may decay</t>
  </si>
  <si>
    <t>Core products are food/snack/ingredient categories.</t>
  </si>
  <si>
    <t>Monitor retailer/private-label pressure.</t>
  </si>
  <si>
    <t>Franchise-Adjusted EPV Overlay</t>
  </si>
  <si>
    <t>This section gives partial credit for JBSS reinvesting capital at returns above the cost of capital. It does not replace the no-growth EPV value.</t>
  </si>
  <si>
    <t>Base EPV Value / Share</t>
  </si>
  <si>
    <t>A franchise-adjusted EPV overlay was added because JBSS shows above-average ROIC and operating durability. The overlay raises estimated value but does not change the investment decision at the current price.</t>
  </si>
  <si>
    <t>Required Return / Capitalization Rate</t>
  </si>
  <si>
    <t>Normalized ROIC</t>
  </si>
  <si>
    <t>Reinvestment Rate</t>
  </si>
  <si>
    <t>Implied Value-Creating Growth</t>
  </si>
  <si>
    <t>ROIC Spread</t>
  </si>
  <si>
    <t>No-Growth EPV Multiple</t>
  </si>
  <si>
    <t>Franchise-Adjusted Multiple</t>
  </si>
  <si>
    <t>Franchise Premium to EPV</t>
  </si>
  <si>
    <t>Franchise-Adjusted Value / Share</t>
  </si>
  <si>
    <t>Franchise-Adjusted Strike Price</t>
  </si>
  <si>
    <t>Upside / Downside to Franchise Value</t>
  </si>
  <si>
    <t>Franchise Overlay Decision</t>
  </si>
  <si>
    <t>Sanity Check</t>
  </si>
  <si>
    <t>Franchise Overlay Scenarios</t>
  </si>
  <si>
    <t>Case</t>
  </si>
  <si>
    <t>Implied Growth</t>
  </si>
  <si>
    <t>Franchise Multiple</t>
  </si>
  <si>
    <t>Value / Share</t>
  </si>
  <si>
    <t>Strike Price</t>
  </si>
  <si>
    <t>Conservative</t>
  </si>
  <si>
    <t>Base</t>
  </si>
  <si>
    <t>Bull</t>
  </si>
  <si>
    <t>Key Research Questions and Red Flags</t>
  </si>
  <si>
    <t>This page turns the valuation into a research checklist. Do not let the model substitute for judgment.</t>
  </si>
  <si>
    <t>Business Stability Questions</t>
  </si>
  <si>
    <t>Category</t>
  </si>
  <si>
    <t>Answer / Finding</t>
  </si>
  <si>
    <t>Severity</t>
  </si>
  <si>
    <t>Memo Reference</t>
  </si>
  <si>
    <t>Is revenue repeatable without aggressive reinvestment?</t>
  </si>
  <si>
    <t>EPV assumes current earnings persist.</t>
  </si>
  <si>
    <t>10-K, segment data, customer retention</t>
  </si>
  <si>
    <t>Yes. Demand is tied to recurring food/snack purchases, but growth still depends on retailer relationships and product mix.</t>
  </si>
  <si>
    <t>Medium</t>
  </si>
  <si>
    <t>QA: Business / Earnings</t>
  </si>
  <si>
    <t>Is there customer concentration or contract renewal risk?</t>
  </si>
  <si>
    <t>One lost customer can break normalized revenue.</t>
  </si>
  <si>
    <t>10-K risk factors</t>
  </si>
  <si>
    <t>Yes. Walmart was about 40% of FY2025 sales and Target about 11%, making customer concentration the largest business risk.</t>
  </si>
  <si>
    <t>High</t>
  </si>
  <si>
    <t>QA: Customer concentration / Failure</t>
  </si>
  <si>
    <t>Margins</t>
  </si>
  <si>
    <t>Are margins near mid-cycle or peak-cycle?</t>
  </si>
  <si>
    <t>Peak margins overstate EPV.</t>
  </si>
  <si>
    <t>10-year margins, peers</t>
  </si>
  <si>
    <t>Margins appear improved but should be normalized below the best recent years; use conservative normalized EBIT margin.</t>
  </si>
  <si>
    <t>Valuation: Normalized Earnings</t>
  </si>
  <si>
    <t>Are input costs volatile or pass-through?</t>
  </si>
  <si>
    <t>Stable margins require pricing power or cost discipline.</t>
  </si>
  <si>
    <t>Gross margin history</t>
  </si>
  <si>
    <t>Yes. Raw nut costs are volatile and not fully hedgeable, though JBSS has some ability to pass costs through over time.</t>
  </si>
  <si>
    <t>QA: Pricing power / Earnings</t>
  </si>
  <si>
    <t>Capex</t>
  </si>
  <si>
    <t>Is maintenance capex understated?</t>
  </si>
  <si>
    <t>Understated maintenance capex overstates owner earnings.</t>
  </si>
  <si>
    <t>Capex notes, D&amp;A, asset age</t>
  </si>
  <si>
    <t>Possibly. Recent capex is elevated, so maintenance capex should be estimated conservatively above D&amp;A but below total current capex.</t>
  </si>
  <si>
    <t>Valuation: Maintenance Capex</t>
  </si>
  <si>
    <t>Working Capital</t>
  </si>
  <si>
    <t>Does growth consume working capital?</t>
  </si>
  <si>
    <t>Even no-growth businesses may require reinvestment.</t>
  </si>
  <si>
    <t>Receivables/inventory/payables</t>
  </si>
  <si>
    <t>Yes. Inventory and crop-related working capital are significant, but no incremental WC is charged in no-growth EPV.</t>
  </si>
  <si>
    <t>Valuation: Owner Earnings</t>
  </si>
  <si>
    <t>Accounting</t>
  </si>
  <si>
    <t>Are earnings distorted by one-time items?</t>
  </si>
  <si>
    <t>Reported EPS may not equal economic earnings.</t>
  </si>
  <si>
    <t>Footnotes, MD&amp;A</t>
  </si>
  <si>
    <t>No major add-backs identified; valuation uses reported earnings and normalized margins rather than aggressive adjustments.</t>
  </si>
  <si>
    <t>Valuation: Normalization Adjustments</t>
  </si>
  <si>
    <t>Balance Sheet</t>
  </si>
  <si>
    <t>Can the company handle debt if earnings fall?</t>
  </si>
  <si>
    <t>EPV equity value is fragile with leverage.</t>
  </si>
  <si>
    <t>Maturity schedule, interest coverage</t>
  </si>
  <si>
    <t>Yes. Leverage appears manageable, though debt and all lease liabilities should be included in valuation.</t>
  </si>
  <si>
    <t>Valuation: EPV / Balance Sheet</t>
  </si>
  <si>
    <t>Competition</t>
  </si>
  <si>
    <t>Is there evidence of durable competitive advantage?</t>
  </si>
  <si>
    <t>EPV above asset value requires franchise value.</t>
  </si>
  <si>
    <t>ROIC, market share, switching costs</t>
  </si>
  <si>
    <t>Yes, but it is operational rather than dominant brand-based: scale, vertical integration, food safety, and customer relationships.</t>
  </si>
  <si>
    <t>QA: Moat</t>
  </si>
  <si>
    <t>Capital Allocation</t>
  </si>
  <si>
    <t>Do buybacks/dividends/acquisitions create value?</t>
  </si>
  <si>
    <t>Earnings power can be wasted by poor managers.</t>
  </si>
  <si>
    <t>Proxy, capital allocation history</t>
  </si>
  <si>
    <t>Mostly yes. Long-term record shows modest dilution, debt reduction, dividends, and generally rational reinvestment.</t>
  </si>
  <si>
    <t>QA: Capital Allocation</t>
  </si>
  <si>
    <t>Disruption</t>
  </si>
  <si>
    <t>Could technology or substitution impair demand?</t>
  </si>
  <si>
    <t>Backward stability may be a trap.</t>
  </si>
  <si>
    <t>Industry research</t>
  </si>
  <si>
    <t>Low risk. Nuts and snack products are durable categories; bigger risk is retailer/private-label pressure, not technology.</t>
  </si>
  <si>
    <t>QA: Failure / Disruption</t>
  </si>
  <si>
    <t>Management</t>
  </si>
  <si>
    <t>Do incentives align with owners?</t>
  </si>
  <si>
    <t>Poor incentives can destroy steady cash flows.</t>
  </si>
  <si>
    <t>Proxy, insider ownership</t>
  </si>
  <si>
    <t>Reasonably. Capital allocation history appears shareholder-conscious, but insider/control structure should still be checked before final memo.</t>
  </si>
  <si>
    <t>QA: Capital Allocation / Proxy</t>
  </si>
  <si>
    <t>Automatic Red Flag Pull-Through</t>
  </si>
  <si>
    <t>From stability sheet</t>
  </si>
  <si>
    <t>Maintenance Capex Decision</t>
  </si>
  <si>
    <t>From maintenance capex sheet</t>
  </si>
  <si>
    <t>Asset Value Risk</t>
  </si>
  <si>
    <t>From asset value sheet</t>
  </si>
  <si>
    <t>From final conclusion</t>
  </si>
  <si>
    <t>Minimum Requirement</t>
  </si>
  <si>
    <t>No automatic red flags unresolved before memo</t>
  </si>
  <si>
    <t>Analyst Sign-Off</t>
  </si>
  <si>
    <t>Ellis Walker</t>
  </si>
  <si>
    <t>Sources and Valuation References</t>
  </si>
  <si>
    <t>Use this sheet to document conceptual references and company-specific data sources. Add company filing URLs as you build each model.</t>
  </si>
  <si>
    <t>Conceptual / Valuation References</t>
  </si>
  <si>
    <t>Topic</t>
  </si>
  <si>
    <t>URL</t>
  </si>
  <si>
    <t>How Used</t>
  </si>
  <si>
    <t>Reliability</t>
  </si>
  <si>
    <t>Owner earnings</t>
  </si>
  <si>
    <t>Berkshire Hathaway 1986 Chairman's Letter</t>
  </si>
  <si>
    <t>https://www.berkshirehathaway.com/letters/1986.html</t>
  </si>
  <si>
    <t>Owner earnings bridge: earnings + D&amp;A/non-cash charges - maintenance capex - working capital needs</t>
  </si>
  <si>
    <t>Primary</t>
  </si>
  <si>
    <t>Buffett's original explanation of owner earnings</t>
  </si>
  <si>
    <t>DCF / stable value logic</t>
  </si>
  <si>
    <t>Aswath Damodaran, Discounted Cash Flow Valuation notes</t>
  </si>
  <si>
    <t>https://pages.stern.nyu.edu/~adamodar/pdfiles/eqnotes/dcfallOld.pdf</t>
  </si>
  <si>
    <t>Discount rate consistency, stable growth / no-growth framing</t>
  </si>
  <si>
    <t>Academic</t>
  </si>
  <si>
    <t>Use for capitalizing stable cash flows and understanding growth value</t>
  </si>
  <si>
    <t>Terminal value discipline</t>
  </si>
  <si>
    <t>Aswath Damodaran, Closure in Valuation paper</t>
  </si>
  <si>
    <t>https://pages.stern.nyu.edu/~adamodar/pdfiles/papers/termvalue.pdf</t>
  </si>
  <si>
    <t>No-growth / stable assumptions and terminal value checks</t>
  </si>
  <si>
    <t>Growth should be internally consistent with reinvestment and returns</t>
  </si>
  <si>
    <t>Free cash flow valuation</t>
  </si>
  <si>
    <t>CFA Institute refresher reading: Free Cash Flow Valuation</t>
  </si>
  <si>
    <t>https://www.cfainstitute.org/insights/professional-learning/refresher-readings/2026/free-cash-flow-valuation</t>
  </si>
  <si>
    <t>FCFF/FCFE conceptual support</t>
  </si>
  <si>
    <t>Professional</t>
  </si>
  <si>
    <t>Use as cross-check for owner earnings and free cash flow framing</t>
  </si>
  <si>
    <t>EPV formula</t>
  </si>
  <si>
    <t>Wall Street Prep EPV overview</t>
  </si>
  <si>
    <t>https://www.wallstreetprep.com/knowledge/earnings-power-value-epv/</t>
  </si>
  <si>
    <t>EPV = adjusted earnings / cost of capital</t>
  </si>
  <si>
    <t>Practitioner</t>
  </si>
  <si>
    <t>Useful formula reference, not a substitute for judgment</t>
  </si>
  <si>
    <t>Security Analysis background</t>
  </si>
  <si>
    <t>Graham &amp; Dodd, Security Analysis</t>
  </si>
  <si>
    <t>https://www.mhprofessional.com/security-analysis-sixth-edition-9780071592536-usa</t>
  </si>
  <si>
    <t>Margin of safety / earnings power philosophy</t>
  </si>
  <si>
    <t>Primary book publisher</t>
  </si>
  <si>
    <t>User should rely on the book directly when available</t>
  </si>
  <si>
    <t>Company-Specific Data Sources</t>
  </si>
  <si>
    <t>Source Type</t>
  </si>
  <si>
    <t>Period</t>
  </si>
  <si>
    <t>URL / Filing</t>
  </si>
  <si>
    <t>Data Pulled</t>
  </si>
  <si>
    <t>Date Pulled</t>
  </si>
  <si>
    <t>10-K</t>
  </si>
  <si>
    <t>FY0</t>
  </si>
  <si>
    <t>https://www.sec.gov/edgar/browse/?CIK=880117&amp;owner=exclude</t>
  </si>
  <si>
    <t>Revenue, EBIT, D&amp;A, Capex, balance sheet</t>
  </si>
  <si>
    <t>FY-1</t>
  </si>
  <si>
    <t>FY2025 / Market Price Update</t>
  </si>
  <si>
    <t>LTM</t>
  </si>
  <si>
    <t>FY2025 cash, debt, shares; current market price updated separately</t>
  </si>
  <si>
    <t>Build Guide / Exact Workbook Instructions</t>
  </si>
  <si>
    <t>Use this as your internal operating manual for building each stable operating business EPV model.</t>
  </si>
  <si>
    <t>Workbook Flow</t>
  </si>
  <si>
    <t>Step</t>
  </si>
  <si>
    <t>Sheet</t>
  </si>
  <si>
    <t>Purpose</t>
  </si>
  <si>
    <t>Primary Inputs</t>
  </si>
  <si>
    <t>Primary Outputs</t>
  </si>
  <si>
    <t>Feeds Into</t>
  </si>
  <si>
    <t>Rule</t>
  </si>
  <si>
    <t>00 Control</t>
  </si>
  <si>
    <t>Global assumptions and market data</t>
  </si>
  <si>
    <t>Company, price, shares, cash, debt, WACC, MOS</t>
  </si>
  <si>
    <t>Control links</t>
  </si>
  <si>
    <t>All sheets</t>
  </si>
  <si>
    <t>Blue cells are inputs</t>
  </si>
  <si>
    <t>Do not hardcode assumptions in formulas elsewhere</t>
  </si>
  <si>
    <t>02 Historical Financials</t>
  </si>
  <si>
    <t>Clean historical operating data</t>
  </si>
  <si>
    <t>Revenue, EBIT, taxes, D&amp;A, capex, WC, shares, balance sheet</t>
  </si>
  <si>
    <t>Margins, ROIC, growth</t>
  </si>
  <si>
    <t>Normalized, Stability, Capex</t>
  </si>
  <si>
    <t>Use filings</t>
  </si>
  <si>
    <t>Keep periods consistent</t>
  </si>
  <si>
    <t>03 Normalized Earnings</t>
  </si>
  <si>
    <t>Normalize current earning power</t>
  </si>
  <si>
    <t>Historical financials + adjustments</t>
  </si>
  <si>
    <t>Normalized EBIT/NOPAT/adjusted earnings</t>
  </si>
  <si>
    <t>EPV, Owner Earnings</t>
  </si>
  <si>
    <t>Prefer median for stable mature firms</t>
  </si>
  <si>
    <t>Do not use peak margins blindly</t>
  </si>
  <si>
    <t>04 Stability Analysis</t>
  </si>
  <si>
    <t>Test whether EPV is appropriate</t>
  </si>
  <si>
    <t>Revenue growth, margin range, ROIC</t>
  </si>
  <si>
    <t>Stability score</t>
  </si>
  <si>
    <t>Conclusion</t>
  </si>
  <si>
    <t>Score below 7 means review</t>
  </si>
  <si>
    <t>Reject or reroute if unstable</t>
  </si>
  <si>
    <t>05 Maintenance Capex</t>
  </si>
  <si>
    <t>Estimate required reinvestment</t>
  </si>
  <si>
    <t>D&amp;A, capex, analyst estimate</t>
  </si>
  <si>
    <t>Maintenance capex % and amount</t>
  </si>
  <si>
    <t>Owner Earnings, EPV</t>
  </si>
  <si>
    <t>Document evidence</t>
  </si>
  <si>
    <t>Do not confuse growth capex with maintenance capex</t>
  </si>
  <si>
    <t>06 Owner Earnings</t>
  </si>
  <si>
    <t>Calculate cash available to owners</t>
  </si>
  <si>
    <t>NOPAT, D&amp;A, maintenance capex, WC investment</t>
  </si>
  <si>
    <t>Owner earnings value</t>
  </si>
  <si>
    <t>Owner earnings should be conservative</t>
  </si>
  <si>
    <t>Working capital usually 0% growth in pure EPV</t>
  </si>
  <si>
    <t>07 EPV Calculation</t>
  </si>
  <si>
    <t>Capitalizes no-growth adjusted earnings</t>
  </si>
  <si>
    <t>Adjusted earnings, WACC, cash, debt, shares</t>
  </si>
  <si>
    <t>EPV/share and strike price</t>
  </si>
  <si>
    <t>Cover, Conclusion</t>
  </si>
  <si>
    <t>This is the model anchor</t>
  </si>
  <si>
    <t>08 Asset Value</t>
  </si>
  <si>
    <t>Compare EPV to adjusted assets</t>
  </si>
  <si>
    <t>Latest balance sheet and haircuts</t>
  </si>
  <si>
    <t>Asset value/share, franchise value</t>
  </si>
  <si>
    <t>EPV &gt; asset value may imply moat</t>
  </si>
  <si>
    <t>EPV &lt; asset value requires investigation</t>
  </si>
  <si>
    <t>09 Market Expectations</t>
  </si>
  <si>
    <t>Reverse engineer current market price</t>
  </si>
  <si>
    <t>Price, shares, EV, WACC</t>
  </si>
  <si>
    <t>Implied earnings/margins</t>
  </si>
  <si>
    <t>Market price implies a view</t>
  </si>
  <si>
    <t>Ask what must be true</t>
  </si>
  <si>
    <t>10 Multiples Check</t>
  </si>
  <si>
    <t>Peer sanity check</t>
  </si>
  <si>
    <t>Peer financials and valuation</t>
  </si>
  <si>
    <t>Peer-implied values</t>
  </si>
  <si>
    <t>Use as check only</t>
  </si>
  <si>
    <t>Do not let multiples override EPV</t>
  </si>
  <si>
    <t>11 Sensitivity</t>
  </si>
  <si>
    <t>Range of outcomes</t>
  </si>
  <si>
    <t>Earnings changes, cap rates</t>
  </si>
  <si>
    <t>Value range and strike range</t>
  </si>
  <si>
    <t>Point estimates are false precision</t>
  </si>
  <si>
    <t>Look for robust undervaluation</t>
  </si>
  <si>
    <t>12 Final Conclusion</t>
  </si>
  <si>
    <t>Decision output</t>
  </si>
  <si>
    <t>All outputs and red flags</t>
  </si>
  <si>
    <t>Buy/wait/reject</t>
  </si>
  <si>
    <t>Memo</t>
  </si>
  <si>
    <t>Only buy below strike + clean quality</t>
  </si>
  <si>
    <t>Human judgment wins</t>
  </si>
  <si>
    <t>13 Research Questions</t>
  </si>
  <si>
    <t>Checklist</t>
  </si>
  <si>
    <t>Analyst answers</t>
  </si>
  <si>
    <t>Red flags and memo references</t>
  </si>
  <si>
    <t>Unresolved high red flags stop process</t>
  </si>
  <si>
    <t>Evidence-driven only</t>
  </si>
  <si>
    <t>Formatting Conventions</t>
  </si>
  <si>
    <t>Convention</t>
  </si>
  <si>
    <t>Meaning</t>
  </si>
  <si>
    <t>Cells</t>
  </si>
  <si>
    <t>Color / Format</t>
  </si>
  <si>
    <t>Blue text / yellow fill</t>
  </si>
  <si>
    <t>Hardcoded input</t>
  </si>
  <si>
    <t>Assumption and raw data cells</t>
  </si>
  <si>
    <t>Blue font; yellow fill</t>
  </si>
  <si>
    <t>User can edit</t>
  </si>
  <si>
    <t>Black text</t>
  </si>
  <si>
    <t>Calculated rows</t>
  </si>
  <si>
    <t>Black font</t>
  </si>
  <si>
    <t>Do not overwrite</t>
  </si>
  <si>
    <t>Green text</t>
  </si>
  <si>
    <t>Linked value from another sheet</t>
  </si>
  <si>
    <t>Cross-sheet formulas</t>
  </si>
  <si>
    <t>Green font</t>
  </si>
  <si>
    <t>Trace source before editing</t>
  </si>
  <si>
    <t>Zeros</t>
  </si>
  <si>
    <t>Displayed as dash</t>
  </si>
  <si>
    <t>Financial values</t>
  </si>
  <si>
    <t>#,##0.0;[Red](#,##0.0);-</t>
  </si>
  <si>
    <t>Cleaner model presentation</t>
  </si>
  <si>
    <t>Negatives</t>
  </si>
  <si>
    <t>Red parentheses</t>
  </si>
  <si>
    <t>[Red](#,##0.0)</t>
  </si>
  <si>
    <t>Highlight risk/downside</t>
  </si>
  <si>
    <t>Percentages</t>
  </si>
  <si>
    <t>One decimal</t>
  </si>
  <si>
    <t>Margins/growth/rates</t>
  </si>
  <si>
    <t>0.0%</t>
  </si>
  <si>
    <t>Use consistently</t>
  </si>
  <si>
    <t>Multiples</t>
  </si>
  <si>
    <t>One decimal x</t>
  </si>
  <si>
    <t>P/E, EV/EBIT</t>
  </si>
  <si>
    <t>0.0x</t>
  </si>
  <si>
    <t>Use for sanity checks</t>
  </si>
  <si>
    <t>Exact Row Map</t>
  </si>
  <si>
    <t>Key Rows</t>
  </si>
  <si>
    <t>Formula Logic</t>
  </si>
  <si>
    <t>6 Revenue, 10 EBIT, 14 D&amp;A, 15 Capex, 17 WC, 25 ROIC</t>
  </si>
  <si>
    <t>Derived margins/growth/ROIC pull from raw inputs</t>
  </si>
  <si>
    <t>Enter actuals from 10-K/10-Q</t>
  </si>
  <si>
    <t>6 Revenue, 7 EBIT margin, 10 NOPAT, 16 Adjusted Earnings</t>
  </si>
  <si>
    <t>Median/Average/Weighted selection from Control</t>
  </si>
  <si>
    <t>Use adjustments rows 21-25 if needed</t>
  </si>
  <si>
    <t>6-9 methods, 10 selected, 14 normalized capex</t>
  </si>
  <si>
    <t>Weighted included maintenance capex methods</t>
  </si>
  <si>
    <t>Justify analyst estimate</t>
  </si>
  <si>
    <t>12 adjusted earnings, 14 Enterprise EPV, 18 Equity EPV, E20 value/share, E21 strike</t>
  </si>
  <si>
    <t>Adjusted earnings divided by WACC, then bridge EV to equity</t>
  </si>
  <si>
    <t>Main valuation output</t>
  </si>
  <si>
    <t>6-12 EPV/share, 17-23 strike prices</t>
  </si>
  <si>
    <t>Base earnings adjusted by row change, divided by column cap rate</t>
  </si>
  <si>
    <t>Use range rather than false precision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</si>
</sst>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0.0%"/>
    <numFmt numFmtId="165" formatCode="$#,##0.00;[Red]($#,##0.00);-"/>
    <numFmt numFmtId="166" formatCode="0.0%;[Red](0.0%);-"/>
    <numFmt numFmtId="167" formatCode="&quot;$&quot;#,##0.00"/>
    <numFmt numFmtId="168" formatCode="0.0x"/>
    <numFmt numFmtId="169" formatCode="#,##0.0;[Red](#,##0.0);-"/>
    <numFmt numFmtId="170" formatCode="#,##0.000;[Red](#,##0.000);-"/>
    <numFmt numFmtId="171" formatCode="0.00x"/>
    <numFmt numFmtId="172" formatCode="m/d/yyyy"/>
  </numFmts>
  <fonts count="13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rgb="FF374151"/>
      <name val="Carlito"/>
    </font>
    <font>
      <b/>
      <sz val="11.0"/>
      <color rgb="FFFFFFFF"/>
      <name val="Carlito"/>
    </font>
    <font>
      <b/>
      <sz val="11.0"/>
      <color theme="1"/>
      <name val="Carlito"/>
    </font>
    <font>
      <b/>
      <sz val="11.0"/>
      <color rgb="FF0000FF"/>
      <name val="Carlito"/>
    </font>
    <font>
      <sz val="11.0"/>
      <color theme="1"/>
      <name val="Carlito"/>
    </font>
    <font>
      <sz val="11.0"/>
      <color rgb="FF0000FF"/>
      <name val="Carlito"/>
    </font>
    <font>
      <sz val="11.0"/>
      <color rgb="FF008000"/>
      <name val="Carlito"/>
    </font>
    <font>
      <sz val="11.0"/>
      <color rgb="FF000000"/>
      <name val="Carlito"/>
    </font>
    <font>
      <color theme="1"/>
      <name val="Carlito"/>
      <scheme val="minor"/>
    </font>
    <font>
      <color theme="1"/>
      <name val="Carlito"/>
    </font>
    <font>
      <u/>
      <sz val="11.0"/>
      <color rgb="FF0000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B1F33"/>
        <bgColor rgb="FF0B1F33"/>
      </patternFill>
    </fill>
    <fill>
      <patternFill patternType="solid">
        <fgColor rgb="FFE5E7EB"/>
        <bgColor rgb="FFE5E7EB"/>
      </patternFill>
    </fill>
    <fill>
      <patternFill patternType="solid">
        <fgColor rgb="FF1F2937"/>
        <bgColor rgb="FF1F2937"/>
      </patternFill>
    </fill>
    <fill>
      <patternFill patternType="solid">
        <fgColor rgb="FFFFF2CC"/>
        <bgColor rgb="FFFFF2CC"/>
      </patternFill>
    </fill>
    <fill>
      <patternFill patternType="solid">
        <fgColor rgb="FFF3F4F6"/>
        <bgColor rgb="FFF3F4F6"/>
      </patternFill>
    </fill>
  </fills>
  <borders count="1">
    <border/>
  </borders>
  <cellStyleXfs count="1">
    <xf borderId="0" fillId="0" fontId="0" numFmtId="0" applyAlignment="1" applyFont="1"/>
  </cellStyleXfs>
  <cellXfs count="6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horizontal="left" vertical="center"/>
    </xf>
    <xf borderId="0" fillId="0" fontId="4" numFmtId="0" xfId="0" applyAlignment="1" applyFont="1">
      <alignment shrinkToFit="0" wrapText="1"/>
    </xf>
    <xf borderId="0" fillId="5" fontId="5" numFmtId="0" xfId="0" applyAlignment="1" applyFill="1" applyFont="1">
      <alignment readingOrder="0" shrinkToFit="0" wrapText="1"/>
    </xf>
    <xf borderId="0" fillId="0" fontId="6" numFmtId="0" xfId="0" applyAlignment="1" applyFont="1">
      <alignment shrinkToFit="0" wrapText="1"/>
    </xf>
    <xf borderId="0" fillId="5" fontId="7" numFmtId="0" xfId="0" applyAlignment="1" applyFont="1">
      <alignment readingOrder="0" shrinkToFit="0" wrapText="1"/>
    </xf>
    <xf borderId="0" fillId="5" fontId="7" numFmtId="0" xfId="0" applyAlignment="1" applyFont="1">
      <alignment shrinkToFit="0" wrapText="1"/>
    </xf>
    <xf borderId="0" fillId="4" fontId="3" numFmtId="0" xfId="0" applyAlignment="1" applyFont="1">
      <alignment horizontal="left" shrinkToFit="0" vertical="center" wrapText="1"/>
    </xf>
    <xf borderId="0" fillId="5" fontId="7" numFmtId="164" xfId="0" applyAlignment="1" applyFont="1" applyNumberFormat="1">
      <alignment shrinkToFit="0" wrapText="1"/>
    </xf>
    <xf borderId="0" fillId="5" fontId="7" numFmtId="164" xfId="0" applyAlignment="1" applyFont="1" applyNumberFormat="1">
      <alignment readingOrder="0" shrinkToFit="0" wrapText="1"/>
    </xf>
    <xf borderId="0" fillId="0" fontId="8" numFmtId="165" xfId="0" applyAlignment="1" applyFont="1" applyNumberFormat="1">
      <alignment shrinkToFit="0" wrapText="1"/>
    </xf>
    <xf borderId="0" fillId="0" fontId="8" numFmtId="166" xfId="0" applyAlignment="1" applyFont="1" applyNumberFormat="1">
      <alignment shrinkToFit="0" wrapText="1"/>
    </xf>
    <xf borderId="0" fillId="0" fontId="8" numFmtId="1" xfId="0" applyAlignment="1" applyFont="1" applyNumberFormat="1">
      <alignment shrinkToFit="0" wrapText="1"/>
    </xf>
    <xf borderId="0" fillId="0" fontId="8" numFmtId="0" xfId="0" applyAlignment="1" applyFont="1">
      <alignment shrinkToFit="0" wrapText="1"/>
    </xf>
    <xf borderId="0" fillId="0" fontId="6" numFmtId="0" xfId="0" applyAlignment="1" applyFont="1">
      <alignment readingOrder="0" shrinkToFit="0" wrapText="1"/>
    </xf>
    <xf borderId="0" fillId="0" fontId="8" numFmtId="167" xfId="0" applyAlignment="1" applyFont="1" applyNumberFormat="1">
      <alignment shrinkToFit="0" wrapText="1"/>
    </xf>
    <xf borderId="0" fillId="0" fontId="8" numFmtId="168" xfId="0" applyAlignment="1" applyFont="1" applyNumberFormat="1">
      <alignment shrinkToFit="0" wrapText="1"/>
    </xf>
    <xf borderId="0" fillId="0" fontId="8" numFmtId="169" xfId="0" applyAlignment="1" applyFont="1" applyNumberFormat="1">
      <alignment shrinkToFit="0" wrapText="1"/>
    </xf>
    <xf borderId="0" fillId="6" fontId="4" numFmtId="0" xfId="0" applyAlignment="1" applyFill="1" applyFont="1">
      <alignment horizontal="center" shrinkToFit="0" wrapText="1"/>
    </xf>
    <xf borderId="0" fillId="6" fontId="4" numFmtId="0" xfId="0" applyAlignment="1" applyFont="1">
      <alignment horizontal="center" readingOrder="0" shrinkToFit="0" wrapText="1"/>
    </xf>
    <xf borderId="0" fillId="5" fontId="7" numFmtId="170" xfId="0" applyAlignment="1" applyFont="1" applyNumberFormat="1">
      <alignment readingOrder="0" shrinkToFit="0" wrapText="1"/>
    </xf>
    <xf borderId="0" fillId="0" fontId="9" numFmtId="166" xfId="0" applyAlignment="1" applyFont="1" applyNumberFormat="1">
      <alignment shrinkToFit="0" wrapText="1"/>
    </xf>
    <xf borderId="0" fillId="0" fontId="9" numFmtId="169" xfId="0" applyAlignment="1" applyFont="1" applyNumberFormat="1">
      <alignment shrinkToFit="0" wrapText="1"/>
    </xf>
    <xf borderId="0" fillId="5" fontId="9" numFmtId="166" xfId="0" applyAlignment="1" applyFont="1" applyNumberFormat="1">
      <alignment shrinkToFit="0" wrapText="1"/>
    </xf>
    <xf borderId="0" fillId="5" fontId="9" numFmtId="169" xfId="0" applyAlignment="1" applyFont="1" applyNumberFormat="1">
      <alignment shrinkToFit="0" wrapText="1"/>
    </xf>
    <xf borderId="0" fillId="5" fontId="7" numFmtId="169" xfId="0" applyAlignment="1" applyFont="1" applyNumberFormat="1">
      <alignment shrinkToFit="0" wrapText="1"/>
    </xf>
    <xf borderId="0" fillId="0" fontId="10" numFmtId="0" xfId="0" applyAlignment="1" applyFont="1">
      <alignment readingOrder="0"/>
    </xf>
    <xf borderId="0" fillId="0" fontId="11" numFmtId="0" xfId="0" applyFont="1"/>
    <xf borderId="0" fillId="0" fontId="11" numFmtId="169" xfId="0" applyFont="1" applyNumberFormat="1"/>
    <xf borderId="0" fillId="0" fontId="9" numFmtId="1" xfId="0" applyAlignment="1" applyFont="1" applyNumberFormat="1">
      <alignment shrinkToFit="0" wrapText="1"/>
    </xf>
    <xf borderId="0" fillId="5" fontId="7" numFmtId="9" xfId="0" applyAlignment="1" applyFont="1" applyNumberFormat="1">
      <alignment readingOrder="0" shrinkToFit="0" wrapText="1"/>
    </xf>
    <xf borderId="0" fillId="0" fontId="6" numFmtId="166" xfId="0" applyAlignment="1" applyFont="1" applyNumberFormat="1">
      <alignment shrinkToFit="0" wrapText="1"/>
    </xf>
    <xf borderId="0" fillId="0" fontId="8" numFmtId="10" xfId="0" applyAlignment="1" applyFont="1" applyNumberFormat="1">
      <alignment shrinkToFit="0" wrapText="1"/>
    </xf>
    <xf borderId="0" fillId="0" fontId="6" numFmtId="169" xfId="0" applyAlignment="1" applyFont="1" applyNumberFormat="1">
      <alignment shrinkToFit="0" wrapText="1"/>
    </xf>
    <xf borderId="0" fillId="5" fontId="7" numFmtId="166" xfId="0" applyAlignment="1" applyFont="1" applyNumberFormat="1">
      <alignment shrinkToFit="0" wrapText="1"/>
    </xf>
    <xf borderId="0" fillId="0" fontId="6" numFmtId="0" xfId="0" applyAlignment="1" applyFont="1">
      <alignment shrinkToFit="0" wrapText="0"/>
    </xf>
    <xf borderId="0" fillId="0" fontId="9" numFmtId="0" xfId="0" applyAlignment="1" applyFont="1">
      <alignment shrinkToFit="0" wrapText="1"/>
    </xf>
    <xf borderId="0" fillId="0" fontId="6" numFmtId="0" xfId="0" applyAlignment="1" applyFont="1">
      <alignment shrinkToFit="0" vertical="center" wrapText="1"/>
    </xf>
    <xf borderId="0" fillId="0" fontId="8" numFmtId="4" xfId="0" applyAlignment="1" applyFont="1" applyNumberFormat="1">
      <alignment shrinkToFit="0" wrapText="1"/>
    </xf>
    <xf borderId="0" fillId="0" fontId="9" numFmtId="165" xfId="0" applyAlignment="1" applyFont="1" applyNumberFormat="1">
      <alignment shrinkToFit="0" wrapText="1"/>
    </xf>
    <xf borderId="0" fillId="0" fontId="9" numFmtId="4" xfId="0" applyAlignment="1" applyFont="1" applyNumberFormat="1">
      <alignment shrinkToFit="0" wrapText="1"/>
    </xf>
    <xf borderId="0" fillId="5" fontId="9" numFmtId="169" xfId="0" applyAlignment="1" applyFont="1" applyNumberFormat="1">
      <alignment readingOrder="0" shrinkToFit="0" wrapText="1"/>
    </xf>
    <xf borderId="0" fillId="0" fontId="9" numFmtId="168" xfId="0" applyAlignment="1" applyFont="1" applyNumberFormat="1">
      <alignment shrinkToFit="0" wrapText="1"/>
    </xf>
    <xf borderId="0" fillId="0" fontId="9" numFmtId="171" xfId="0" applyAlignment="1" applyFont="1" applyNumberFormat="1">
      <alignment shrinkToFit="0" wrapText="1"/>
    </xf>
    <xf borderId="0" fillId="5" fontId="7" numFmtId="167" xfId="0" applyAlignment="1" applyFont="1" applyNumberFormat="1">
      <alignment readingOrder="0" shrinkToFit="0" wrapText="1"/>
    </xf>
    <xf borderId="0" fillId="0" fontId="9" numFmtId="2" xfId="0" applyAlignment="1" applyFont="1" applyNumberFormat="1">
      <alignment shrinkToFit="0" wrapText="1"/>
    </xf>
    <xf borderId="0" fillId="6" fontId="4" numFmtId="0" xfId="0" applyAlignment="1" applyFont="1">
      <alignment horizontal="center"/>
    </xf>
    <xf borderId="0" fillId="0" fontId="6" numFmtId="166" xfId="0" applyFont="1" applyNumberFormat="1"/>
    <xf borderId="0" fillId="0" fontId="9" numFmtId="165" xfId="0" applyFont="1" applyNumberFormat="1"/>
    <xf borderId="0" fillId="0" fontId="6" numFmtId="0" xfId="0" applyAlignment="1" applyFont="1">
      <alignment readingOrder="0" shrinkToFit="0" wrapText="0"/>
    </xf>
    <xf borderId="0" fillId="0" fontId="6" numFmtId="0" xfId="0" applyAlignment="1" applyFont="1">
      <alignment readingOrder="0" shrinkToFit="0" vertical="center" wrapText="1"/>
    </xf>
    <xf borderId="0" fillId="0" fontId="10" numFmtId="0" xfId="0" applyAlignment="1" applyFont="1">
      <alignment readingOrder="0" shrinkToFit="0" vertical="center" wrapText="1"/>
    </xf>
    <xf borderId="0" fillId="5" fontId="7" numFmtId="10" xfId="0" applyAlignment="1" applyFont="1" applyNumberFormat="1">
      <alignment readingOrder="0" shrinkToFit="0" wrapText="1"/>
    </xf>
    <xf borderId="0" fillId="0" fontId="10" numFmtId="9" xfId="0" applyFont="1" applyNumberFormat="1"/>
    <xf borderId="0" fillId="0" fontId="10" numFmtId="10" xfId="0" applyFont="1" applyNumberFormat="1"/>
    <xf borderId="0" fillId="0" fontId="10" numFmtId="2" xfId="0" applyFont="1" applyNumberFormat="1"/>
    <xf borderId="0" fillId="0" fontId="10" numFmtId="4" xfId="0" applyFont="1" applyNumberFormat="1"/>
    <xf borderId="0" fillId="0" fontId="10" numFmtId="0" xfId="0" applyFont="1"/>
    <xf borderId="0" fillId="0" fontId="10" numFmtId="0" xfId="0" applyAlignment="1" applyFont="1">
      <alignment shrinkToFit="0" wrapText="0"/>
    </xf>
    <xf borderId="0" fillId="0" fontId="10" numFmtId="164" xfId="0" applyFont="1" applyNumberFormat="1"/>
    <xf borderId="0" fillId="0" fontId="8" numFmtId="1" xfId="0" applyFont="1" applyNumberFormat="1"/>
    <xf borderId="0" fillId="0" fontId="8" numFmtId="0" xfId="0" applyFont="1"/>
    <xf borderId="0" fillId="0" fontId="8" numFmtId="169" xfId="0" applyFont="1" applyNumberFormat="1"/>
    <xf borderId="0" fillId="5" fontId="7" numFmtId="0" xfId="0" applyAlignment="1" applyFont="1">
      <alignment readingOrder="0"/>
    </xf>
    <xf borderId="0" fillId="5" fontId="12" numFmtId="0" xfId="0" applyAlignment="1" applyFont="1">
      <alignment readingOrder="0" shrinkToFit="0" wrapText="1"/>
    </xf>
    <xf borderId="0" fillId="5" fontId="7" numFmtId="172" xfId="0" applyAlignment="1" applyFont="1" applyNumberFormat="1">
      <alignment readingOrder="0" shrinkToFit="0" wrapText="1"/>
    </xf>
  </cellXfs>
  <cellStyles count="1">
    <cellStyle xfId="0" name="Normal" builtinId="0"/>
  </cellStyles>
  <dxfs count="2"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hyperlink" Target="https://www.sec.gov/edgar/browse/?CIK=880117&amp;owner=exclude" TargetMode="External"/><Relationship Id="rId2" Type="http://schemas.openxmlformats.org/officeDocument/2006/relationships/hyperlink" Target="https://www.sec.gov/edgar/browse/?CIK=880117&amp;owner=exclude" TargetMode="External"/><Relationship Id="rId3" Type="http://schemas.openxmlformats.org/officeDocument/2006/relationships/hyperlink" Target="https://www.sec.gov/edgar/browse/?CIK=880117&amp;owner=exclude" TargetMode="External"/><Relationship Id="rId4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0</v>
      </c>
    </row>
    <row r="2">
      <c r="A2" s="2" t="s">
        <v>1</v>
      </c>
    </row>
    <row r="4" ht="19.5" customHeight="1">
      <c r="A4" s="3" t="s">
        <v>2</v>
      </c>
    </row>
    <row r="5">
      <c r="A5" s="4" t="s">
        <v>3</v>
      </c>
      <c r="B5" s="5" t="s">
        <v>4</v>
      </c>
      <c r="C5" s="4" t="s">
        <v>5</v>
      </c>
      <c r="D5" s="4" t="s">
        <v>6</v>
      </c>
      <c r="E5" s="4"/>
    </row>
    <row r="6">
      <c r="A6" s="6" t="s">
        <v>7</v>
      </c>
      <c r="B6" s="7" t="s">
        <v>8</v>
      </c>
      <c r="C6" s="6" t="s">
        <v>5</v>
      </c>
      <c r="D6" s="6" t="s">
        <v>6</v>
      </c>
      <c r="E6" s="6"/>
    </row>
    <row r="7">
      <c r="A7" s="6" t="s">
        <v>9</v>
      </c>
      <c r="B7" s="8" t="s">
        <v>10</v>
      </c>
      <c r="C7" s="6" t="s">
        <v>5</v>
      </c>
      <c r="D7" s="6" t="s">
        <v>11</v>
      </c>
      <c r="E7" s="6"/>
    </row>
    <row r="8">
      <c r="A8" s="6" t="s">
        <v>12</v>
      </c>
      <c r="B8" s="8" t="s">
        <v>13</v>
      </c>
      <c r="C8" s="6" t="s">
        <v>5</v>
      </c>
      <c r="D8" s="6" t="s">
        <v>14</v>
      </c>
      <c r="E8" s="6"/>
    </row>
    <row r="9">
      <c r="A9" s="6" t="s">
        <v>15</v>
      </c>
      <c r="B9" s="7">
        <v>2025.0</v>
      </c>
      <c r="C9" s="6" t="s">
        <v>5</v>
      </c>
      <c r="D9" s="6" t="s">
        <v>16</v>
      </c>
      <c r="E9" s="6"/>
    </row>
    <row r="10">
      <c r="A10" s="6" t="s">
        <v>17</v>
      </c>
      <c r="B10" s="7">
        <v>77.95</v>
      </c>
      <c r="C10" s="6" t="s">
        <v>5</v>
      </c>
      <c r="D10" s="6" t="s">
        <v>18</v>
      </c>
      <c r="E10" s="6"/>
    </row>
    <row r="11">
      <c r="A11" s="6" t="s">
        <v>19</v>
      </c>
      <c r="B11" s="7">
        <v>11.724</v>
      </c>
      <c r="C11" s="6" t="s">
        <v>5</v>
      </c>
      <c r="D11" s="6" t="s">
        <v>20</v>
      </c>
      <c r="E11" s="6"/>
    </row>
    <row r="12">
      <c r="A12" s="6" t="s">
        <v>21</v>
      </c>
      <c r="B12" s="7">
        <v>0.585</v>
      </c>
      <c r="C12" s="6" t="s">
        <v>5</v>
      </c>
      <c r="D12" s="6" t="s">
        <v>22</v>
      </c>
      <c r="E12" s="6"/>
    </row>
    <row r="13">
      <c r="A13" s="6" t="s">
        <v>23</v>
      </c>
      <c r="B13" s="7">
        <v>101.828</v>
      </c>
      <c r="C13" s="6" t="s">
        <v>5</v>
      </c>
      <c r="D13" s="6" t="s">
        <v>24</v>
      </c>
      <c r="E13" s="6"/>
    </row>
    <row r="14">
      <c r="A14" s="6" t="s">
        <v>25</v>
      </c>
      <c r="B14" s="7">
        <v>13.07</v>
      </c>
      <c r="C14" s="6" t="s">
        <v>5</v>
      </c>
      <c r="D14" s="6" t="s">
        <v>26</v>
      </c>
      <c r="E14" s="6"/>
    </row>
    <row r="15">
      <c r="A15" s="6"/>
      <c r="B15" s="6"/>
      <c r="C15" s="6"/>
      <c r="D15" s="6"/>
      <c r="E15" s="6"/>
    </row>
    <row r="16" ht="19.5" customHeight="1">
      <c r="A16" s="9" t="s">
        <v>27</v>
      </c>
    </row>
    <row r="17">
      <c r="A17" s="6" t="s">
        <v>28</v>
      </c>
      <c r="B17" s="10">
        <v>0.25</v>
      </c>
      <c r="C17" s="6" t="s">
        <v>5</v>
      </c>
      <c r="D17" s="6" t="s">
        <v>29</v>
      </c>
      <c r="E17" s="6" t="s">
        <v>30</v>
      </c>
    </row>
    <row r="18">
      <c r="A18" s="6" t="s">
        <v>31</v>
      </c>
      <c r="B18" s="10">
        <v>0.06</v>
      </c>
      <c r="C18" s="6" t="s">
        <v>5</v>
      </c>
      <c r="D18" s="6" t="s">
        <v>32</v>
      </c>
      <c r="E18" s="6" t="s">
        <v>30</v>
      </c>
    </row>
    <row r="19">
      <c r="A19" s="6" t="s">
        <v>33</v>
      </c>
      <c r="B19" s="10">
        <v>0.1</v>
      </c>
      <c r="C19" s="6" t="s">
        <v>5</v>
      </c>
      <c r="D19" s="6" t="s">
        <v>34</v>
      </c>
      <c r="E19" s="6" t="s">
        <v>30</v>
      </c>
    </row>
    <row r="20">
      <c r="A20" s="6" t="s">
        <v>35</v>
      </c>
      <c r="B20" s="11">
        <v>0.095</v>
      </c>
      <c r="C20" s="6" t="s">
        <v>5</v>
      </c>
      <c r="D20" s="6" t="s">
        <v>36</v>
      </c>
      <c r="E20" s="6" t="s">
        <v>30</v>
      </c>
    </row>
    <row r="21" ht="15.75" customHeight="1">
      <c r="A21" s="6" t="s">
        <v>37</v>
      </c>
      <c r="B21" s="11">
        <v>0.2</v>
      </c>
      <c r="C21" s="6" t="s">
        <v>5</v>
      </c>
      <c r="D21" s="6" t="s">
        <v>38</v>
      </c>
      <c r="E21" s="6" t="s">
        <v>30</v>
      </c>
    </row>
    <row r="22" ht="15.75" customHeight="1">
      <c r="A22" s="6" t="s">
        <v>39</v>
      </c>
      <c r="B22" s="8" t="s">
        <v>40</v>
      </c>
      <c r="C22" s="6" t="s">
        <v>5</v>
      </c>
      <c r="D22" s="6" t="s">
        <v>41</v>
      </c>
      <c r="E22" s="6"/>
    </row>
    <row r="23" ht="15.75" customHeight="1">
      <c r="A23" s="6" t="s">
        <v>42</v>
      </c>
      <c r="B23" s="8" t="s">
        <v>43</v>
      </c>
      <c r="C23" s="6" t="s">
        <v>5</v>
      </c>
      <c r="D23" s="6" t="s">
        <v>44</v>
      </c>
      <c r="E23" s="6"/>
    </row>
    <row r="24" ht="15.75" customHeight="1">
      <c r="A24" s="6"/>
      <c r="B24" s="6"/>
      <c r="C24" s="6"/>
      <c r="D24" s="6"/>
      <c r="E24" s="6"/>
    </row>
    <row r="25" ht="19.5" customHeight="1">
      <c r="A25" s="9" t="s">
        <v>45</v>
      </c>
    </row>
    <row r="26" ht="15.75" customHeight="1">
      <c r="A26" s="6" t="s">
        <v>46</v>
      </c>
      <c r="B26" s="10">
        <v>0.05</v>
      </c>
      <c r="C26" s="6" t="s">
        <v>5</v>
      </c>
      <c r="D26" s="6" t="s">
        <v>47</v>
      </c>
      <c r="E26" s="6"/>
    </row>
    <row r="27" ht="15.75" customHeight="1">
      <c r="A27" s="6" t="s">
        <v>48</v>
      </c>
      <c r="B27" s="11">
        <v>0.15</v>
      </c>
      <c r="C27" s="6" t="s">
        <v>5</v>
      </c>
      <c r="D27" s="6" t="s">
        <v>49</v>
      </c>
      <c r="E27" s="6"/>
    </row>
    <row r="28" ht="15.75" customHeight="1">
      <c r="A28" s="6" t="s">
        <v>50</v>
      </c>
      <c r="B28" s="11">
        <v>0.3</v>
      </c>
      <c r="C28" s="6" t="s">
        <v>5</v>
      </c>
      <c r="D28" s="6" t="s">
        <v>51</v>
      </c>
      <c r="E28" s="6"/>
    </row>
    <row r="29" ht="15.75" customHeight="1">
      <c r="A29" s="6" t="s">
        <v>52</v>
      </c>
      <c r="B29" s="10">
        <v>1.0</v>
      </c>
      <c r="C29" s="6" t="s">
        <v>5</v>
      </c>
      <c r="D29" s="6" t="s">
        <v>53</v>
      </c>
      <c r="E29" s="6"/>
    </row>
    <row r="30" ht="15.75" customHeight="1">
      <c r="A30" s="6" t="s">
        <v>54</v>
      </c>
      <c r="B30" s="10">
        <v>0.25</v>
      </c>
      <c r="C30" s="6" t="s">
        <v>5</v>
      </c>
      <c r="D30" s="6" t="s">
        <v>55</v>
      </c>
      <c r="E30" s="6"/>
    </row>
    <row r="31" ht="15.75" customHeight="1">
      <c r="A31" s="6"/>
      <c r="B31" s="6"/>
      <c r="C31" s="6"/>
      <c r="D31" s="6"/>
      <c r="E31" s="6"/>
    </row>
    <row r="32" ht="19.5" customHeight="1">
      <c r="A32" s="9" t="s">
        <v>56</v>
      </c>
    </row>
    <row r="33" ht="15.75" customHeight="1">
      <c r="A33" s="6" t="s">
        <v>57</v>
      </c>
      <c r="B33" s="12">
        <f>'07 EPV Calculation'!E20</f>
        <v>44.61184636</v>
      </c>
      <c r="C33" s="6"/>
      <c r="D33" s="6"/>
      <c r="E33" s="6"/>
    </row>
    <row r="34" ht="15.75" customHeight="1">
      <c r="A34" s="6" t="s">
        <v>58</v>
      </c>
      <c r="B34" s="12">
        <f>'07 EPV Calculation'!E21</f>
        <v>35.68947709</v>
      </c>
      <c r="C34" s="6"/>
      <c r="D34" s="6"/>
      <c r="E34" s="6"/>
    </row>
    <row r="35" ht="15.75" customHeight="1">
      <c r="A35" s="6" t="s">
        <v>59</v>
      </c>
      <c r="B35" s="12">
        <f>'06 Owner Earnings'!B14</f>
        <v>42.0052177</v>
      </c>
      <c r="C35" s="6"/>
      <c r="D35" s="6"/>
      <c r="E35" s="6"/>
    </row>
    <row r="36" ht="15.75" customHeight="1">
      <c r="A36" s="6" t="s">
        <v>60</v>
      </c>
      <c r="B36" s="12">
        <f>'08 Asset Value'!D17</f>
        <v>20.00258018</v>
      </c>
      <c r="C36" s="6"/>
      <c r="D36" s="6"/>
      <c r="E36" s="6"/>
    </row>
    <row r="37" ht="15.75" customHeight="1">
      <c r="A37" s="6" t="s">
        <v>61</v>
      </c>
      <c r="B37" s="12">
        <f>'09 Market Expectations'!B16</f>
        <v>1.747293743</v>
      </c>
      <c r="C37" s="6"/>
      <c r="D37" s="6"/>
      <c r="E37" s="6"/>
    </row>
    <row r="38" ht="15.75" customHeight="1">
      <c r="A38" s="6" t="s">
        <v>62</v>
      </c>
      <c r="B38" s="13">
        <f>'09 Market Expectations'!B17</f>
        <v>-0.4276863841</v>
      </c>
      <c r="C38" s="6"/>
      <c r="D38" s="6"/>
      <c r="E38" s="6"/>
    </row>
    <row r="39" ht="15.75" customHeight="1">
      <c r="A39" s="6" t="s">
        <v>63</v>
      </c>
      <c r="B39" s="14">
        <f>'04 Stability Analysis'!B16</f>
        <v>9</v>
      </c>
      <c r="C39" s="6"/>
      <c r="D39" s="6"/>
      <c r="E39" s="6"/>
    </row>
    <row r="40" ht="28.5" customHeight="1">
      <c r="A40" s="6" t="s">
        <v>64</v>
      </c>
      <c r="B40" s="15" t="str">
        <f>'12 Final Conclusion'!B10</f>
        <v>Reject / Too Expensive</v>
      </c>
      <c r="C40" s="6"/>
      <c r="D40" s="6"/>
      <c r="E40" s="6"/>
    </row>
    <row r="41" ht="15.75" customHeight="1">
      <c r="A41" s="6" t="s">
        <v>65</v>
      </c>
      <c r="B41" s="6" t="s">
        <v>66</v>
      </c>
      <c r="C41" s="6"/>
      <c r="D41" s="6"/>
      <c r="E41" s="6"/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K1"/>
    <mergeCell ref="A2:K2"/>
    <mergeCell ref="A4:E4"/>
    <mergeCell ref="A16:E16"/>
    <mergeCell ref="A25:E25"/>
    <mergeCell ref="A32:E3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3.0"/>
    <col customWidth="1" min="3" max="11" width="16.0"/>
    <col customWidth="1" min="12" max="26" width="8.63"/>
  </cols>
  <sheetData>
    <row r="1" ht="27.75" customHeight="1">
      <c r="A1" s="1" t="s">
        <v>67</v>
      </c>
    </row>
    <row r="2">
      <c r="A2" s="2" t="s">
        <v>68</v>
      </c>
    </row>
    <row r="4" ht="19.5" customHeight="1">
      <c r="A4" s="3" t="s">
        <v>69</v>
      </c>
    </row>
    <row r="5">
      <c r="A5" s="6" t="s">
        <v>70</v>
      </c>
      <c r="B5" s="15" t="str">
        <f>'00 Control'!B5</f>
        <v>John B. Sanfilippo &amp; Son, Inc.</v>
      </c>
      <c r="C5" s="6" t="s">
        <v>71</v>
      </c>
      <c r="D5" s="6"/>
      <c r="E5" s="6"/>
    </row>
    <row r="6">
      <c r="A6" s="6" t="s">
        <v>7</v>
      </c>
      <c r="B6" s="15" t="str">
        <f>'00 Control'!B6</f>
        <v>JBSS</v>
      </c>
      <c r="C6" s="6" t="s">
        <v>71</v>
      </c>
      <c r="D6" s="6"/>
      <c r="E6" s="6"/>
    </row>
    <row r="7">
      <c r="A7" s="6" t="s">
        <v>72</v>
      </c>
      <c r="B7" s="7" t="s">
        <v>73</v>
      </c>
      <c r="F7" s="6" t="s">
        <v>74</v>
      </c>
    </row>
    <row r="8">
      <c r="A8" s="6" t="s">
        <v>75</v>
      </c>
      <c r="B8" s="7" t="s">
        <v>76</v>
      </c>
      <c r="C8" s="6" t="s">
        <v>74</v>
      </c>
      <c r="D8" s="6"/>
      <c r="E8" s="6"/>
    </row>
    <row r="9">
      <c r="A9" s="6" t="s">
        <v>77</v>
      </c>
      <c r="B9" s="15">
        <f>'00 Control'!B9</f>
        <v>2025</v>
      </c>
      <c r="C9" s="6" t="s">
        <v>71</v>
      </c>
      <c r="D9" s="6"/>
      <c r="E9" s="6"/>
    </row>
    <row r="10">
      <c r="A10" s="6" t="s">
        <v>78</v>
      </c>
      <c r="B10" s="15" t="str">
        <f>'00 Control'!B7&amp;" / "&amp;'00 Control'!B8</f>
        <v>USD / $mm</v>
      </c>
      <c r="C10" s="6" t="s">
        <v>71</v>
      </c>
      <c r="D10" s="6"/>
      <c r="E10" s="6"/>
    </row>
    <row r="11">
      <c r="A11" s="6" t="s">
        <v>17</v>
      </c>
      <c r="B11" s="12">
        <f>'00 Control'!B10</f>
        <v>77.95</v>
      </c>
      <c r="C11" s="6" t="s">
        <v>71</v>
      </c>
      <c r="D11" s="6"/>
      <c r="E11" s="6"/>
    </row>
    <row r="12">
      <c r="A12" s="6" t="s">
        <v>79</v>
      </c>
      <c r="B12" s="12">
        <f>'09 Market Expectations'!B7</f>
        <v>913.8858</v>
      </c>
      <c r="C12" s="6" t="s">
        <v>80</v>
      </c>
      <c r="D12" s="6"/>
      <c r="E12" s="6"/>
    </row>
    <row r="13">
      <c r="A13" s="6"/>
      <c r="B13" s="6"/>
      <c r="C13" s="6"/>
      <c r="D13" s="6"/>
      <c r="E13" s="6"/>
    </row>
    <row r="14">
      <c r="A14" s="6"/>
      <c r="B14" s="6"/>
      <c r="C14" s="6"/>
      <c r="D14" s="6"/>
      <c r="E14" s="6"/>
    </row>
    <row r="15" ht="19.5" customHeight="1">
      <c r="A15" s="9" t="s">
        <v>81</v>
      </c>
    </row>
    <row r="16">
      <c r="A16" s="6" t="s">
        <v>82</v>
      </c>
      <c r="B16" s="12">
        <f>'07 EPV Calculation'!E20</f>
        <v>44.61184636</v>
      </c>
      <c r="C16" s="6" t="s">
        <v>83</v>
      </c>
      <c r="D16" s="6"/>
      <c r="E16" s="6"/>
    </row>
    <row r="17">
      <c r="A17" s="6" t="s">
        <v>84</v>
      </c>
      <c r="B17" s="12">
        <f>'07 EPV Calculation'!E21</f>
        <v>35.68947709</v>
      </c>
      <c r="C17" s="6" t="s">
        <v>85</v>
      </c>
      <c r="D17" s="6"/>
      <c r="E17" s="6"/>
    </row>
    <row r="18">
      <c r="A18" s="16" t="s">
        <v>86</v>
      </c>
      <c r="B18" s="17">
        <f>'12 Final Conclusion'!B55</f>
        <v>42.38125404</v>
      </c>
      <c r="C18" s="6"/>
      <c r="D18" s="6"/>
      <c r="E18" s="6"/>
    </row>
    <row r="19">
      <c r="A19" s="6" t="s">
        <v>61</v>
      </c>
      <c r="B19" s="18">
        <f>'09 Market Expectations'!B16</f>
        <v>1.747293743</v>
      </c>
      <c r="C19" s="6" t="s">
        <v>87</v>
      </c>
      <c r="D19" s="6"/>
      <c r="E19" s="6"/>
    </row>
    <row r="20">
      <c r="A20" s="6" t="s">
        <v>88</v>
      </c>
      <c r="B20" s="13">
        <f>'09 Market Expectations'!B17</f>
        <v>-0.4276863841</v>
      </c>
      <c r="C20" s="6" t="s">
        <v>89</v>
      </c>
      <c r="D20" s="6"/>
      <c r="E20" s="6"/>
    </row>
    <row r="21">
      <c r="A21" s="6" t="s">
        <v>60</v>
      </c>
      <c r="B21" s="19">
        <f>'08 Asset Value'!D17</f>
        <v>20.00258018</v>
      </c>
      <c r="C21" s="6" t="s">
        <v>90</v>
      </c>
      <c r="D21" s="6"/>
      <c r="E21" s="6"/>
    </row>
    <row r="22" ht="15.75" customHeight="1">
      <c r="A22" s="6" t="s">
        <v>63</v>
      </c>
      <c r="B22" s="14">
        <f>'04 Stability Analysis'!B16</f>
        <v>9</v>
      </c>
      <c r="C22" s="6" t="s">
        <v>91</v>
      </c>
      <c r="D22" s="6"/>
      <c r="E22" s="6"/>
    </row>
    <row r="23" ht="15.75" customHeight="1">
      <c r="A23" s="6" t="s">
        <v>92</v>
      </c>
      <c r="B23" s="15" t="str">
        <f>'12 Final Conclusion'!B24</f>
        <v>Watchlist / Too Expensive</v>
      </c>
      <c r="C23" s="6" t="s">
        <v>93</v>
      </c>
      <c r="D23" s="6"/>
      <c r="E23" s="6"/>
    </row>
    <row r="24" ht="15.75" customHeight="1">
      <c r="A24" s="6" t="s">
        <v>94</v>
      </c>
      <c r="B24" s="7" t="s">
        <v>95</v>
      </c>
      <c r="C24" s="6" t="s">
        <v>74</v>
      </c>
      <c r="D24" s="6"/>
      <c r="E24" s="6"/>
    </row>
    <row r="25" ht="15.75" customHeight="1">
      <c r="A25" s="6"/>
      <c r="B25" s="6"/>
      <c r="C25" s="6"/>
      <c r="D25" s="6"/>
      <c r="E25" s="6"/>
    </row>
    <row r="26" ht="15.75" customHeight="1">
      <c r="A26" s="6"/>
      <c r="B26" s="6"/>
      <c r="C26" s="6"/>
      <c r="D26" s="6"/>
      <c r="E26" s="6"/>
    </row>
    <row r="27" ht="19.5" customHeight="1">
      <c r="A27" s="9" t="s">
        <v>96</v>
      </c>
    </row>
    <row r="28" ht="15.75" customHeight="1">
      <c r="A28" s="6" t="s">
        <v>97</v>
      </c>
      <c r="B28" s="6"/>
      <c r="C28" s="6"/>
      <c r="D28" s="6"/>
      <c r="E28" s="6"/>
    </row>
    <row r="29" ht="15.75" customHeight="1">
      <c r="A29" s="6" t="s">
        <v>98</v>
      </c>
      <c r="B29" s="6" t="str">
        <f>'12 Final Conclusion'!B10</f>
        <v>Reject / Too Expensive</v>
      </c>
      <c r="C29" s="6"/>
      <c r="D29" s="6"/>
      <c r="E29" s="6"/>
    </row>
    <row r="30" ht="15.75" customHeight="1">
      <c r="A30" s="6" t="s">
        <v>99</v>
      </c>
      <c r="B30" s="6" t="s">
        <v>100</v>
      </c>
      <c r="C30" s="6"/>
      <c r="D30" s="6"/>
      <c r="E30" s="6"/>
    </row>
    <row r="31" ht="15.75" customHeight="1">
      <c r="A31" s="6" t="s">
        <v>101</v>
      </c>
      <c r="B31" s="6" t="s">
        <v>102</v>
      </c>
      <c r="C31" s="6"/>
      <c r="D31" s="6"/>
      <c r="E31" s="6"/>
    </row>
    <row r="32" ht="15.75" customHeight="1">
      <c r="A32" s="6" t="s">
        <v>103</v>
      </c>
      <c r="B32" s="6" t="s">
        <v>104</v>
      </c>
      <c r="C32" s="6"/>
      <c r="D32" s="6"/>
      <c r="E32" s="6"/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6">
    <mergeCell ref="A1:K1"/>
    <mergeCell ref="A2:K2"/>
    <mergeCell ref="A4:E4"/>
    <mergeCell ref="A15:E15"/>
    <mergeCell ref="A27:E27"/>
    <mergeCell ref="B7:E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105</v>
      </c>
    </row>
    <row r="2">
      <c r="A2" s="2" t="s">
        <v>106</v>
      </c>
    </row>
    <row r="4" ht="19.5" customHeight="1">
      <c r="A4" s="3" t="s">
        <v>107</v>
      </c>
    </row>
    <row r="5">
      <c r="A5" s="20" t="s">
        <v>108</v>
      </c>
      <c r="B5" s="21">
        <v>2020.0</v>
      </c>
      <c r="C5" s="21">
        <v>2021.0</v>
      </c>
      <c r="D5" s="21">
        <v>2022.0</v>
      </c>
      <c r="E5" s="21">
        <v>2023.0</v>
      </c>
      <c r="F5" s="21">
        <v>2024.0</v>
      </c>
      <c r="G5" s="21">
        <v>2025.0</v>
      </c>
      <c r="H5" s="20" t="s">
        <v>109</v>
      </c>
      <c r="I5" s="20" t="s">
        <v>110</v>
      </c>
      <c r="J5" s="20" t="s">
        <v>111</v>
      </c>
    </row>
    <row r="6">
      <c r="A6" s="4" t="s">
        <v>112</v>
      </c>
      <c r="B6" s="22">
        <v>880.092</v>
      </c>
      <c r="C6" s="22">
        <v>858.482</v>
      </c>
      <c r="D6" s="22">
        <v>955.868</v>
      </c>
      <c r="E6" s="22">
        <v>999.686</v>
      </c>
      <c r="F6" s="22">
        <v>1066.783</v>
      </c>
      <c r="G6" s="22">
        <v>1107.246</v>
      </c>
      <c r="H6" s="6" t="s">
        <v>113</v>
      </c>
      <c r="I6" s="6" t="str">
        <f t="shared" ref="I6:I25" si="2">IF(COUNTBLANK(B6:G6)&gt;2,"Review","OK")</f>
        <v>OK</v>
      </c>
      <c r="J6" s="6" t="s">
        <v>114</v>
      </c>
    </row>
    <row r="7">
      <c r="A7" s="4" t="s">
        <v>115</v>
      </c>
      <c r="B7" s="23"/>
      <c r="C7" s="23">
        <f t="shared" ref="C7:G7" si="1">C6/B6-1</f>
        <v>-0.02455425115</v>
      </c>
      <c r="D7" s="23">
        <f t="shared" si="1"/>
        <v>0.1134397693</v>
      </c>
      <c r="E7" s="23">
        <f t="shared" si="1"/>
        <v>0.04584105755</v>
      </c>
      <c r="F7" s="23">
        <f t="shared" si="1"/>
        <v>0.06711807508</v>
      </c>
      <c r="G7" s="23">
        <f t="shared" si="1"/>
        <v>0.03792992577</v>
      </c>
      <c r="H7" s="6" t="s">
        <v>113</v>
      </c>
      <c r="I7" s="6" t="str">
        <f t="shared" si="2"/>
        <v>OK</v>
      </c>
      <c r="J7" s="6" t="s">
        <v>114</v>
      </c>
    </row>
    <row r="8">
      <c r="A8" s="4" t="s">
        <v>116</v>
      </c>
      <c r="B8" s="22">
        <v>175.775</v>
      </c>
      <c r="C8" s="22">
        <v>184.987</v>
      </c>
      <c r="D8" s="22">
        <v>199.627</v>
      </c>
      <c r="E8" s="22">
        <v>211.631</v>
      </c>
      <c r="F8" s="22">
        <v>214.139</v>
      </c>
      <c r="G8" s="22">
        <v>203.471</v>
      </c>
      <c r="H8" s="6" t="s">
        <v>113</v>
      </c>
      <c r="I8" s="6" t="str">
        <f t="shared" si="2"/>
        <v>OK</v>
      </c>
      <c r="J8" s="6" t="s">
        <v>114</v>
      </c>
    </row>
    <row r="9">
      <c r="A9" s="4" t="s">
        <v>117</v>
      </c>
      <c r="B9" s="23">
        <f t="shared" ref="B9:G9" si="3">B8/B6</f>
        <v>0.199723438</v>
      </c>
      <c r="C9" s="23">
        <f t="shared" si="3"/>
        <v>0.2154815127</v>
      </c>
      <c r="D9" s="23">
        <f t="shared" si="3"/>
        <v>0.2088436897</v>
      </c>
      <c r="E9" s="23">
        <f t="shared" si="3"/>
        <v>0.211697473</v>
      </c>
      <c r="F9" s="23">
        <f t="shared" si="3"/>
        <v>0.20073342</v>
      </c>
      <c r="G9" s="23">
        <f t="shared" si="3"/>
        <v>0.1837631385</v>
      </c>
      <c r="H9" s="6" t="s">
        <v>113</v>
      </c>
      <c r="I9" s="6" t="str">
        <f t="shared" si="2"/>
        <v>OK</v>
      </c>
      <c r="J9" s="6" t="s">
        <v>114</v>
      </c>
    </row>
    <row r="10">
      <c r="A10" s="4" t="s">
        <v>118</v>
      </c>
      <c r="B10" s="22">
        <v>78.547</v>
      </c>
      <c r="C10" s="22">
        <v>85.178</v>
      </c>
      <c r="D10" s="22">
        <v>87.437</v>
      </c>
      <c r="E10" s="22">
        <v>90.224</v>
      </c>
      <c r="F10" s="22">
        <v>85.187</v>
      </c>
      <c r="G10" s="22">
        <v>84.711</v>
      </c>
      <c r="H10" s="6" t="s">
        <v>113</v>
      </c>
      <c r="I10" s="6" t="str">
        <f t="shared" si="2"/>
        <v>OK</v>
      </c>
      <c r="J10" s="6" t="s">
        <v>114</v>
      </c>
    </row>
    <row r="11">
      <c r="A11" s="4" t="s">
        <v>119</v>
      </c>
      <c r="B11" s="23">
        <f t="shared" ref="B11:G11" si="4">B10/B6</f>
        <v>0.08924862401</v>
      </c>
      <c r="C11" s="23">
        <f t="shared" si="4"/>
        <v>0.09921931968</v>
      </c>
      <c r="D11" s="23">
        <f t="shared" si="4"/>
        <v>0.09147392736</v>
      </c>
      <c r="E11" s="23">
        <f t="shared" si="4"/>
        <v>0.09025233923</v>
      </c>
      <c r="F11" s="23">
        <f t="shared" si="4"/>
        <v>0.07985410341</v>
      </c>
      <c r="G11" s="23">
        <f t="shared" si="4"/>
        <v>0.07650603389</v>
      </c>
      <c r="H11" s="6" t="s">
        <v>113</v>
      </c>
      <c r="I11" s="6" t="str">
        <f t="shared" si="2"/>
        <v>OK</v>
      </c>
      <c r="J11" s="6" t="s">
        <v>114</v>
      </c>
    </row>
    <row r="12">
      <c r="A12" s="4" t="s">
        <v>120</v>
      </c>
      <c r="B12" s="24">
        <f>B10*'00 Control'!$B$17</f>
        <v>19.63675</v>
      </c>
      <c r="C12" s="24">
        <f>C10*'00 Control'!$B$17</f>
        <v>21.2945</v>
      </c>
      <c r="D12" s="24">
        <f>D10*'00 Control'!$B$17</f>
        <v>21.85925</v>
      </c>
      <c r="E12" s="24">
        <f>E10*'00 Control'!$B$17</f>
        <v>22.556</v>
      </c>
      <c r="F12" s="24">
        <f>F10*'00 Control'!$B$17</f>
        <v>21.29675</v>
      </c>
      <c r="G12" s="24">
        <f>G10*'00 Control'!$B$17</f>
        <v>21.17775</v>
      </c>
      <c r="H12" s="6" t="s">
        <v>113</v>
      </c>
      <c r="I12" s="6" t="str">
        <f t="shared" si="2"/>
        <v>OK</v>
      </c>
      <c r="J12" s="6" t="s">
        <v>114</v>
      </c>
    </row>
    <row r="13">
      <c r="A13" s="4" t="s">
        <v>121</v>
      </c>
      <c r="B13" s="24">
        <f t="shared" ref="B13:G13" si="5">B10-B12</f>
        <v>58.91025</v>
      </c>
      <c r="C13" s="24">
        <f t="shared" si="5"/>
        <v>63.8835</v>
      </c>
      <c r="D13" s="24">
        <f t="shared" si="5"/>
        <v>65.57775</v>
      </c>
      <c r="E13" s="24">
        <f t="shared" si="5"/>
        <v>67.668</v>
      </c>
      <c r="F13" s="24">
        <f t="shared" si="5"/>
        <v>63.89025</v>
      </c>
      <c r="G13" s="24">
        <f t="shared" si="5"/>
        <v>63.53325</v>
      </c>
      <c r="H13" s="6" t="s">
        <v>113</v>
      </c>
      <c r="I13" s="6" t="str">
        <f t="shared" si="2"/>
        <v>OK</v>
      </c>
      <c r="J13" s="6" t="s">
        <v>114</v>
      </c>
    </row>
    <row r="14">
      <c r="A14" s="4" t="s">
        <v>122</v>
      </c>
      <c r="B14" s="22">
        <v>17.934</v>
      </c>
      <c r="C14" s="22">
        <v>18.308</v>
      </c>
      <c r="D14" s="22">
        <v>18.286</v>
      </c>
      <c r="E14" s="22">
        <v>20.513</v>
      </c>
      <c r="F14" s="22">
        <v>24.581</v>
      </c>
      <c r="G14" s="22">
        <v>26.93</v>
      </c>
      <c r="H14" s="6" t="s">
        <v>113</v>
      </c>
      <c r="I14" s="6" t="str">
        <f t="shared" si="2"/>
        <v>OK</v>
      </c>
      <c r="J14" s="6" t="s">
        <v>114</v>
      </c>
    </row>
    <row r="15">
      <c r="A15" s="4" t="s">
        <v>123</v>
      </c>
      <c r="B15" s="22">
        <v>15.022</v>
      </c>
      <c r="C15" s="22">
        <v>25.176</v>
      </c>
      <c r="D15" s="22">
        <v>17.754</v>
      </c>
      <c r="E15" s="22">
        <v>20.732</v>
      </c>
      <c r="F15" s="22">
        <v>28.312</v>
      </c>
      <c r="G15" s="22">
        <v>50.712</v>
      </c>
      <c r="H15" s="6" t="s">
        <v>113</v>
      </c>
      <c r="I15" s="6" t="str">
        <f t="shared" si="2"/>
        <v>OK</v>
      </c>
      <c r="J15" s="6" t="s">
        <v>114</v>
      </c>
    </row>
    <row r="16">
      <c r="A16" s="4" t="s">
        <v>124</v>
      </c>
      <c r="B16" s="25">
        <f t="shared" ref="B16:G16" si="6">B15/B6</f>
        <v>0.01706867009</v>
      </c>
      <c r="C16" s="25">
        <f t="shared" si="6"/>
        <v>0.02932618273</v>
      </c>
      <c r="D16" s="25">
        <f t="shared" si="6"/>
        <v>0.01857369428</v>
      </c>
      <c r="E16" s="25">
        <f t="shared" si="6"/>
        <v>0.02073851189</v>
      </c>
      <c r="F16" s="25">
        <f t="shared" si="6"/>
        <v>0.02653960552</v>
      </c>
      <c r="G16" s="25">
        <f t="shared" si="6"/>
        <v>0.0458001203</v>
      </c>
      <c r="H16" s="6" t="s">
        <v>113</v>
      </c>
      <c r="I16" s="6" t="str">
        <f t="shared" si="2"/>
        <v>OK</v>
      </c>
      <c r="J16" s="6" t="s">
        <v>114</v>
      </c>
    </row>
    <row r="17">
      <c r="A17" s="4" t="s">
        <v>125</v>
      </c>
      <c r="B17" s="22">
        <v>160.878</v>
      </c>
      <c r="C17" s="22">
        <v>137.747</v>
      </c>
      <c r="D17" s="22">
        <v>205.047</v>
      </c>
      <c r="E17" s="22">
        <v>169.48</v>
      </c>
      <c r="F17" s="22">
        <v>191.986</v>
      </c>
      <c r="G17" s="22">
        <v>253.127</v>
      </c>
      <c r="H17" s="6" t="s">
        <v>113</v>
      </c>
      <c r="I17" s="6" t="str">
        <f t="shared" si="2"/>
        <v>OK</v>
      </c>
      <c r="J17" s="6" t="s">
        <v>114</v>
      </c>
    </row>
    <row r="18">
      <c r="A18" s="4" t="s">
        <v>126</v>
      </c>
      <c r="B18" s="26">
        <v>0.0</v>
      </c>
      <c r="C18" s="26">
        <f t="shared" ref="C18:G18" si="7">C17-B17</f>
        <v>-23.131</v>
      </c>
      <c r="D18" s="26">
        <f t="shared" si="7"/>
        <v>67.3</v>
      </c>
      <c r="E18" s="26">
        <f t="shared" si="7"/>
        <v>-35.567</v>
      </c>
      <c r="F18" s="26">
        <f t="shared" si="7"/>
        <v>22.506</v>
      </c>
      <c r="G18" s="26">
        <f t="shared" si="7"/>
        <v>61.141</v>
      </c>
      <c r="H18" s="6" t="s">
        <v>113</v>
      </c>
      <c r="I18" s="6" t="str">
        <f t="shared" si="2"/>
        <v>OK</v>
      </c>
      <c r="J18" s="6" t="s">
        <v>114</v>
      </c>
    </row>
    <row r="19">
      <c r="A19" s="4" t="s">
        <v>127</v>
      </c>
      <c r="B19" s="22">
        <v>54.11</v>
      </c>
      <c r="C19" s="22">
        <v>59.741</v>
      </c>
      <c r="D19" s="22">
        <v>61.787</v>
      </c>
      <c r="E19" s="22">
        <v>62.857</v>
      </c>
      <c r="F19" s="22">
        <v>60.249</v>
      </c>
      <c r="G19" s="22">
        <v>58.934</v>
      </c>
      <c r="H19" s="6" t="s">
        <v>113</v>
      </c>
      <c r="I19" s="6" t="str">
        <f t="shared" si="2"/>
        <v>OK</v>
      </c>
      <c r="J19" s="6" t="s">
        <v>114</v>
      </c>
    </row>
    <row r="20">
      <c r="A20" s="4" t="s">
        <v>128</v>
      </c>
      <c r="B20" s="22">
        <v>11.536791</v>
      </c>
      <c r="C20" s="22">
        <v>11.55928</v>
      </c>
      <c r="D20" s="22">
        <v>11.593949</v>
      </c>
      <c r="E20" s="22">
        <v>11.642046</v>
      </c>
      <c r="F20" s="22">
        <v>11.687546</v>
      </c>
      <c r="G20" s="22">
        <v>11.724433</v>
      </c>
      <c r="H20" s="6" t="s">
        <v>113</v>
      </c>
      <c r="I20" s="6" t="str">
        <f t="shared" si="2"/>
        <v>OK</v>
      </c>
      <c r="J20" s="6" t="s">
        <v>114</v>
      </c>
    </row>
    <row r="21" ht="15.75" customHeight="1">
      <c r="A21" s="4" t="s">
        <v>21</v>
      </c>
      <c r="B21" s="22">
        <v>1.535</v>
      </c>
      <c r="C21" s="22">
        <v>0.672</v>
      </c>
      <c r="D21" s="22">
        <v>0.415</v>
      </c>
      <c r="E21" s="22">
        <v>1.948</v>
      </c>
      <c r="F21" s="22">
        <v>0.484</v>
      </c>
      <c r="G21" s="22">
        <v>0.585</v>
      </c>
      <c r="H21" s="6" t="s">
        <v>113</v>
      </c>
      <c r="I21" s="6" t="str">
        <f t="shared" si="2"/>
        <v>OK</v>
      </c>
      <c r="J21" s="6" t="s">
        <v>114</v>
      </c>
    </row>
    <row r="22" ht="15.75" customHeight="1">
      <c r="A22" s="4" t="s">
        <v>23</v>
      </c>
      <c r="B22" s="22">
        <v>51.389</v>
      </c>
      <c r="C22" s="22">
        <v>26.916</v>
      </c>
      <c r="D22" s="22">
        <v>53.696</v>
      </c>
      <c r="E22" s="22">
        <v>14.274</v>
      </c>
      <c r="F22" s="22">
        <v>55.022</v>
      </c>
      <c r="G22" s="22">
        <v>101.828</v>
      </c>
      <c r="H22" s="6" t="s">
        <v>113</v>
      </c>
      <c r="I22" s="6" t="str">
        <f t="shared" si="2"/>
        <v>OK</v>
      </c>
      <c r="J22" s="6" t="s">
        <v>114</v>
      </c>
    </row>
    <row r="23" ht="15.75" customHeight="1">
      <c r="A23" s="4" t="s">
        <v>129</v>
      </c>
      <c r="B23" s="22">
        <v>238.238</v>
      </c>
      <c r="C23" s="22">
        <v>242.494</v>
      </c>
      <c r="D23" s="22">
        <v>278.821</v>
      </c>
      <c r="E23" s="22">
        <v>292.207</v>
      </c>
      <c r="F23" s="22">
        <v>322.613</v>
      </c>
      <c r="G23" s="22">
        <v>360.679</v>
      </c>
      <c r="H23" s="6" t="s">
        <v>113</v>
      </c>
      <c r="I23" s="6" t="str">
        <f t="shared" si="2"/>
        <v>OK</v>
      </c>
      <c r="J23" s="6" t="s">
        <v>114</v>
      </c>
    </row>
    <row r="24" ht="15.75" customHeight="1">
      <c r="A24" s="4" t="s">
        <v>130</v>
      </c>
      <c r="B24" s="24">
        <f t="shared" ref="B24:G24" si="8">B22+B23-B21</f>
        <v>288.092</v>
      </c>
      <c r="C24" s="24">
        <f t="shared" si="8"/>
        <v>268.738</v>
      </c>
      <c r="D24" s="24">
        <f t="shared" si="8"/>
        <v>332.102</v>
      </c>
      <c r="E24" s="24">
        <f t="shared" si="8"/>
        <v>304.533</v>
      </c>
      <c r="F24" s="24">
        <f t="shared" si="8"/>
        <v>377.151</v>
      </c>
      <c r="G24" s="24">
        <f t="shared" si="8"/>
        <v>461.922</v>
      </c>
      <c r="H24" s="6" t="s">
        <v>113</v>
      </c>
      <c r="I24" s="6" t="str">
        <f t="shared" si="2"/>
        <v>OK</v>
      </c>
      <c r="J24" s="6" t="s">
        <v>114</v>
      </c>
    </row>
    <row r="25" ht="15.75" customHeight="1">
      <c r="A25" s="4" t="s">
        <v>131</v>
      </c>
      <c r="B25" s="23">
        <f>B13/B24</f>
        <v>0.2044841578</v>
      </c>
      <c r="C25" s="23">
        <f t="shared" ref="C25:G25" si="9">C13/AVERAGE(B24,C24)</f>
        <v>0.229454232</v>
      </c>
      <c r="D25" s="23">
        <f t="shared" si="9"/>
        <v>0.2182868983</v>
      </c>
      <c r="E25" s="23">
        <f t="shared" si="9"/>
        <v>0.2125802069</v>
      </c>
      <c r="F25" s="23">
        <f t="shared" si="9"/>
        <v>0.1874482898</v>
      </c>
      <c r="G25" s="23">
        <f t="shared" si="9"/>
        <v>0.1514367641</v>
      </c>
      <c r="H25" s="6" t="s">
        <v>113</v>
      </c>
      <c r="I25" s="6" t="str">
        <f t="shared" si="2"/>
        <v>OK</v>
      </c>
      <c r="J25" s="6" t="s">
        <v>114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J4"/>
  </mergeCells>
  <dataValidations>
    <dataValidation type="list" allowBlank="1" sqref="J6:J25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55.25"/>
    <col customWidth="1" min="2" max="7" width="16.0"/>
    <col customWidth="1" min="8" max="8" width="32.25"/>
    <col customWidth="1" min="9" max="11" width="16.0"/>
    <col customWidth="1" min="12" max="26" width="8.63"/>
  </cols>
  <sheetData>
    <row r="1" ht="27.75" customHeight="1">
      <c r="A1" s="1" t="s">
        <v>132</v>
      </c>
    </row>
    <row r="2">
      <c r="A2" s="2" t="s">
        <v>133</v>
      </c>
    </row>
    <row r="4" ht="19.5" customHeight="1">
      <c r="A4" s="3" t="s">
        <v>134</v>
      </c>
    </row>
    <row r="5">
      <c r="A5" s="20" t="s">
        <v>135</v>
      </c>
      <c r="B5" s="20" t="s">
        <v>136</v>
      </c>
      <c r="C5" s="20" t="s">
        <v>40</v>
      </c>
      <c r="D5" s="20" t="s">
        <v>137</v>
      </c>
      <c r="E5" s="20" t="s">
        <v>138</v>
      </c>
      <c r="F5" s="20" t="s">
        <v>139</v>
      </c>
      <c r="G5" s="20" t="s">
        <v>140</v>
      </c>
      <c r="H5" s="20" t="s">
        <v>141</v>
      </c>
    </row>
    <row r="6">
      <c r="A6" s="6" t="s">
        <v>112</v>
      </c>
      <c r="B6" s="6"/>
      <c r="C6" s="24">
        <f>MEDIAN('02 Historical Financials'!B6:G6)</f>
        <v>977.777</v>
      </c>
      <c r="D6" s="24">
        <f>AVERAGE('02 Historical Financials'!B6:G6)</f>
        <v>978.0261667</v>
      </c>
      <c r="E6" s="24">
        <f t="array" ref="E6">SUMPRODUCT('02 Historical Financials'!B6:G6,{1,1,1,2,2,3})/10</f>
        <v>1014.9118</v>
      </c>
      <c r="F6" s="24">
        <f>IF('00 Control'!$B$22="Average",D6,IF('00 Control'!$B$22="Weighted",E6,C6))</f>
        <v>977.777</v>
      </c>
      <c r="G6" s="6" t="s">
        <v>142</v>
      </c>
      <c r="H6" s="6" t="s">
        <v>143</v>
      </c>
    </row>
    <row r="7">
      <c r="A7" s="6" t="s">
        <v>119</v>
      </c>
      <c r="B7" s="6"/>
      <c r="C7" s="23">
        <f>MEDIAN('02 Historical Financials'!B11:G11)</f>
        <v>0.08975048162</v>
      </c>
      <c r="D7" s="23">
        <f>AVERAGE('02 Historical Financials'!B11:G11)</f>
        <v>0.08775905793</v>
      </c>
      <c r="E7" s="23">
        <f t="array" ref="E7">SUMPRODUCT('02 Historical Financials'!B11:G11,{1,1,1,2,2,3})/10</f>
        <v>0.0849672858</v>
      </c>
      <c r="F7" s="23">
        <f>IF('00 Control'!$B$22="Average",D7,IF('00 Control'!$B$22="Weighted",E7,C7))</f>
        <v>0.08975048162</v>
      </c>
      <c r="G7" s="6" t="s">
        <v>142</v>
      </c>
      <c r="H7" s="6" t="s">
        <v>143</v>
      </c>
    </row>
    <row r="8">
      <c r="A8" s="6" t="s">
        <v>144</v>
      </c>
      <c r="B8" s="6"/>
      <c r="C8" s="24"/>
      <c r="D8" s="24"/>
      <c r="E8" s="24"/>
      <c r="F8" s="24">
        <f>F6*F7</f>
        <v>87.75595667</v>
      </c>
      <c r="G8" s="6" t="s">
        <v>142</v>
      </c>
      <c r="H8" s="6" t="s">
        <v>143</v>
      </c>
    </row>
    <row r="9">
      <c r="A9" s="6" t="s">
        <v>145</v>
      </c>
      <c r="B9" s="6"/>
      <c r="C9" s="24"/>
      <c r="D9" s="24"/>
      <c r="E9" s="24"/>
      <c r="F9" s="23">
        <f>'00 Control'!$B$17</f>
        <v>0.25</v>
      </c>
      <c r="G9" s="6" t="s">
        <v>142</v>
      </c>
      <c r="H9" s="6" t="s">
        <v>143</v>
      </c>
    </row>
    <row r="10">
      <c r="A10" s="6" t="s">
        <v>146</v>
      </c>
      <c r="B10" s="6"/>
      <c r="C10" s="24"/>
      <c r="D10" s="24"/>
      <c r="E10" s="24"/>
      <c r="F10" s="24">
        <f>F8*(1-F9)</f>
        <v>65.8169675</v>
      </c>
      <c r="G10" s="6" t="s">
        <v>142</v>
      </c>
      <c r="H10" s="6" t="s">
        <v>143</v>
      </c>
    </row>
    <row r="11">
      <c r="A11" s="6" t="s">
        <v>147</v>
      </c>
      <c r="B11" s="6"/>
      <c r="C11" s="23">
        <f>MEDIAN('02 Historical Financials'!B14/'02 Historical Financials'!B6,'02 Historical Financials'!C14/'02 Historical Financials'!C6,'02 Historical Financials'!D14/'02 Historical Financials'!D6,'02 Historical Financials'!E14/'02 Historical Financials'!E6,'02 Historical Financials'!F14/'02 Historical Financials'!F6,'02 Historical Financials'!G14/'02 Historical Financials'!G6)</f>
        <v>0.02092272905</v>
      </c>
      <c r="D11" s="23">
        <f>AVERAGE('02 Historical Financials'!B14/'02 Historical Financials'!B6,'02 Historical Financials'!C14/'02 Historical Financials'!C6,'02 Historical Financials'!D14/'02 Historical Financials'!D6,'02 Historical Financials'!E14/'02 Historical Financials'!E6,'02 Historical Financials'!F14/'02 Historical Financials'!F6,'02 Historical Financials'!G14/'02 Historical Financials'!G6)</f>
        <v>0.02145281821</v>
      </c>
      <c r="E11" s="23">
        <f>SUM(('02 Historical Financials'!B14/'02 Historical Financials'!B6)*1,('02 Historical Financials'!C14/'02 Historical Financials'!C6)*1,('02 Historical Financials'!D14/'02 Historical Financials'!D6)*1,('02 Historical Financials'!E14/'02 Historical Financials'!E6)*2,('02 Historical Financials'!F14/'02 Historical Financials'!F6)*2,('02 Historical Financials'!G14/'02 Historical Financials'!G6)*3)/10</f>
        <v>0.02209217371</v>
      </c>
      <c r="F11" s="23">
        <f>IF('00 Control'!$B$22="Average",D11,IF('00 Control'!$B$22="Weighted",E11,C11))</f>
        <v>0.02092272905</v>
      </c>
      <c r="G11" s="6" t="s">
        <v>142</v>
      </c>
      <c r="H11" s="6" t="s">
        <v>143</v>
      </c>
    </row>
    <row r="12">
      <c r="A12" s="6" t="s">
        <v>148</v>
      </c>
      <c r="B12" s="6"/>
      <c r="C12" s="24"/>
      <c r="D12" s="24"/>
      <c r="E12" s="24"/>
      <c r="F12" s="24">
        <f>F6*F11</f>
        <v>20.45776324</v>
      </c>
      <c r="G12" s="6" t="s">
        <v>142</v>
      </c>
      <c r="H12" s="6" t="s">
        <v>143</v>
      </c>
    </row>
    <row r="13">
      <c r="A13" s="6" t="s">
        <v>149</v>
      </c>
      <c r="B13" s="6"/>
      <c r="C13" s="24"/>
      <c r="D13" s="24"/>
      <c r="E13" s="24"/>
      <c r="F13" s="13">
        <f>'05 Maintenance Capex'!B13</f>
        <v>0.02885168449</v>
      </c>
      <c r="G13" s="6" t="s">
        <v>142</v>
      </c>
      <c r="H13" s="6" t="s">
        <v>143</v>
      </c>
    </row>
    <row r="14">
      <c r="A14" s="6" t="s">
        <v>150</v>
      </c>
      <c r="B14" s="6"/>
      <c r="C14" s="24"/>
      <c r="D14" s="24"/>
      <c r="E14" s="24"/>
      <c r="F14" s="19">
        <f>F6*F13</f>
        <v>28.21051351</v>
      </c>
      <c r="G14" s="6" t="s">
        <v>142</v>
      </c>
      <c r="H14" s="6" t="s">
        <v>143</v>
      </c>
    </row>
    <row r="15">
      <c r="A15" s="6" t="s">
        <v>151</v>
      </c>
      <c r="B15" s="6"/>
      <c r="C15" s="24"/>
      <c r="D15" s="24"/>
      <c r="E15" s="24"/>
      <c r="F15" s="19">
        <f>'06 Owner Earnings'!B23</f>
        <v>0</v>
      </c>
      <c r="G15" s="6" t="s">
        <v>142</v>
      </c>
      <c r="H15" s="6" t="s">
        <v>143</v>
      </c>
    </row>
    <row r="16">
      <c r="A16" s="6" t="s">
        <v>152</v>
      </c>
      <c r="B16" s="6"/>
      <c r="C16" s="24"/>
      <c r="D16" s="24"/>
      <c r="E16" s="24"/>
      <c r="F16" s="24">
        <f>F10+F12-F14-F15+F26</f>
        <v>58.06421724</v>
      </c>
      <c r="G16" s="6" t="s">
        <v>142</v>
      </c>
      <c r="H16" s="6" t="s">
        <v>143</v>
      </c>
    </row>
    <row r="17">
      <c r="A17" s="6"/>
      <c r="B17" s="6"/>
      <c r="C17" s="6"/>
      <c r="D17" s="6"/>
      <c r="E17" s="6"/>
      <c r="F17" s="6"/>
      <c r="G17" s="6"/>
      <c r="H17" s="6"/>
    </row>
    <row r="18">
      <c r="A18" s="6"/>
      <c r="B18" s="6"/>
      <c r="C18" s="6"/>
      <c r="D18" s="6"/>
      <c r="E18" s="6"/>
      <c r="F18" s="6"/>
      <c r="G18" s="6"/>
      <c r="H18" s="6"/>
    </row>
    <row r="19" ht="19.5" customHeight="1">
      <c r="A19" s="9" t="s">
        <v>153</v>
      </c>
    </row>
    <row r="20">
      <c r="A20" s="20" t="s">
        <v>154</v>
      </c>
      <c r="B20" s="20" t="s">
        <v>155</v>
      </c>
      <c r="C20" s="20" t="s">
        <v>156</v>
      </c>
      <c r="D20" s="20" t="s">
        <v>157</v>
      </c>
      <c r="E20" s="20" t="s">
        <v>158</v>
      </c>
      <c r="F20" s="20" t="s">
        <v>159</v>
      </c>
      <c r="G20" s="20" t="s">
        <v>160</v>
      </c>
      <c r="H20" s="20" t="s">
        <v>161</v>
      </c>
    </row>
    <row r="21" ht="15.75" customHeight="1">
      <c r="A21" s="6" t="s">
        <v>162</v>
      </c>
      <c r="B21" s="27">
        <v>0.0</v>
      </c>
      <c r="C21" s="8" t="s">
        <v>114</v>
      </c>
      <c r="D21" s="8" t="s">
        <v>43</v>
      </c>
      <c r="E21" s="8" t="s">
        <v>163</v>
      </c>
      <c r="F21" s="24">
        <f t="shared" ref="F21:F25" si="1">IF($B21="","",IF($E21="Add",1,-1)*IF($C21="Yes",$B21*(1-$F$9),$B21))</f>
        <v>0</v>
      </c>
      <c r="G21" s="6" t="s">
        <v>164</v>
      </c>
      <c r="H21" s="28" t="s">
        <v>165</v>
      </c>
    </row>
    <row r="22" ht="15.75" customHeight="1">
      <c r="A22" s="6" t="s">
        <v>166</v>
      </c>
      <c r="B22" s="27">
        <v>0.0</v>
      </c>
      <c r="C22" s="8" t="s">
        <v>114</v>
      </c>
      <c r="D22" s="8" t="s">
        <v>43</v>
      </c>
      <c r="E22" s="8" t="s">
        <v>163</v>
      </c>
      <c r="F22" s="24">
        <f t="shared" si="1"/>
        <v>0</v>
      </c>
      <c r="G22" s="6" t="s">
        <v>167</v>
      </c>
      <c r="H22" s="28" t="s">
        <v>168</v>
      </c>
    </row>
    <row r="23" ht="15.75" customHeight="1">
      <c r="A23" s="6" t="s">
        <v>169</v>
      </c>
      <c r="B23" s="27">
        <v>0.0</v>
      </c>
      <c r="C23" s="8" t="s">
        <v>114</v>
      </c>
      <c r="D23" s="8" t="s">
        <v>43</v>
      </c>
      <c r="E23" s="8" t="s">
        <v>163</v>
      </c>
      <c r="F23" s="24">
        <f t="shared" si="1"/>
        <v>0</v>
      </c>
      <c r="G23" s="6" t="s">
        <v>167</v>
      </c>
      <c r="H23" s="16" t="s">
        <v>170</v>
      </c>
    </row>
    <row r="24" ht="15.75" customHeight="1">
      <c r="A24" s="6" t="s">
        <v>171</v>
      </c>
      <c r="B24" s="27">
        <v>0.0</v>
      </c>
      <c r="C24" s="8" t="s">
        <v>114</v>
      </c>
      <c r="D24" s="8" t="s">
        <v>172</v>
      </c>
      <c r="E24" s="8" t="s">
        <v>173</v>
      </c>
      <c r="F24" s="24">
        <f t="shared" si="1"/>
        <v>0</v>
      </c>
      <c r="G24" s="6" t="s">
        <v>174</v>
      </c>
      <c r="H24" s="16" t="s">
        <v>175</v>
      </c>
    </row>
    <row r="25" ht="15.75" customHeight="1">
      <c r="A25" s="6" t="s">
        <v>176</v>
      </c>
      <c r="B25" s="27">
        <v>0.0</v>
      </c>
      <c r="C25" s="8" t="s">
        <v>114</v>
      </c>
      <c r="D25" s="8" t="s">
        <v>43</v>
      </c>
      <c r="E25" s="8" t="s">
        <v>163</v>
      </c>
      <c r="F25" s="24">
        <f t="shared" si="1"/>
        <v>0</v>
      </c>
      <c r="G25" s="6" t="s">
        <v>74</v>
      </c>
      <c r="H25" s="16" t="s">
        <v>177</v>
      </c>
    </row>
    <row r="26" ht="15.75" customHeight="1">
      <c r="A26" s="29" t="s">
        <v>178</v>
      </c>
      <c r="F26" s="30">
        <f>SUM(F21:F25)</f>
        <v>0</v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H4"/>
    <mergeCell ref="A19:H19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179</v>
      </c>
    </row>
    <row r="2">
      <c r="A2" s="2" t="s">
        <v>180</v>
      </c>
    </row>
    <row r="4" ht="19.5" customHeight="1">
      <c r="A4" s="3" t="s">
        <v>181</v>
      </c>
    </row>
    <row r="5">
      <c r="A5" s="20" t="s">
        <v>135</v>
      </c>
      <c r="B5" s="20" t="s">
        <v>182</v>
      </c>
      <c r="C5" s="20" t="s">
        <v>183</v>
      </c>
      <c r="D5" s="20" t="s">
        <v>184</v>
      </c>
      <c r="E5" s="20" t="s">
        <v>185</v>
      </c>
      <c r="F5" s="20" t="s">
        <v>186</v>
      </c>
      <c r="G5" s="20" t="s">
        <v>187</v>
      </c>
    </row>
    <row r="6">
      <c r="A6" s="6" t="s">
        <v>188</v>
      </c>
      <c r="B6" s="23">
        <f>('02 Historical Financials'!G6/'02 Historical Financials'!B6)^(1/5)-1</f>
        <v>0.04699162892</v>
      </c>
      <c r="C6" s="6" t="s">
        <v>189</v>
      </c>
      <c r="D6" s="7" t="s">
        <v>190</v>
      </c>
      <c r="E6" s="6" t="s">
        <v>191</v>
      </c>
      <c r="F6" s="6" t="s">
        <v>192</v>
      </c>
      <c r="G6" s="6"/>
    </row>
    <row r="7">
      <c r="A7" s="6" t="s">
        <v>193</v>
      </c>
      <c r="B7" s="23">
        <f>_xlfn.STDEV.S('02 Historical Financials'!C7:G7)</f>
        <v>0.05004508173</v>
      </c>
      <c r="C7" s="6" t="s">
        <v>194</v>
      </c>
      <c r="D7" s="7" t="s">
        <v>190</v>
      </c>
      <c r="E7" s="6" t="s">
        <v>195</v>
      </c>
      <c r="F7" s="6" t="s">
        <v>196</v>
      </c>
      <c r="G7" s="6"/>
    </row>
    <row r="8">
      <c r="A8" s="6" t="s">
        <v>197</v>
      </c>
      <c r="B8" s="23">
        <f>AVERAGE('02 Historical Financials'!B11:G11)</f>
        <v>0.08775905793</v>
      </c>
      <c r="C8" s="6" t="s">
        <v>198</v>
      </c>
      <c r="D8" s="7" t="s">
        <v>190</v>
      </c>
      <c r="E8" s="6" t="s">
        <v>199</v>
      </c>
      <c r="F8" s="6" t="s">
        <v>200</v>
      </c>
      <c r="G8" s="6"/>
    </row>
    <row r="9">
      <c r="A9" s="6" t="s">
        <v>201</v>
      </c>
      <c r="B9" s="23">
        <f>MAX('02 Historical Financials'!B11:G11)-MIN('02 Historical Financials'!B11:G11)</f>
        <v>0.02271328579</v>
      </c>
      <c r="C9" s="6" t="s">
        <v>202</v>
      </c>
      <c r="D9" s="7" t="s">
        <v>190</v>
      </c>
      <c r="E9" s="6" t="s">
        <v>203</v>
      </c>
      <c r="F9" s="6" t="s">
        <v>204</v>
      </c>
      <c r="G9" s="6"/>
    </row>
    <row r="10">
      <c r="A10" s="6" t="s">
        <v>205</v>
      </c>
      <c r="B10" s="23">
        <f>AVERAGE('02 Historical Financials'!B13/'02 Historical Financials'!B6,'02 Historical Financials'!C13/'02 Historical Financials'!C6,'02 Historical Financials'!D13/'02 Historical Financials'!D6,'02 Historical Financials'!E13/'02 Historical Financials'!E6,'02 Historical Financials'!F13/'02 Historical Financials'!F6,'02 Historical Financials'!G13/'02 Historical Financials'!G6)</f>
        <v>0.06581929345</v>
      </c>
      <c r="C10" s="6" t="s">
        <v>198</v>
      </c>
      <c r="D10" s="7" t="s">
        <v>190</v>
      </c>
      <c r="E10" s="6" t="s">
        <v>206</v>
      </c>
      <c r="F10" s="6" t="s">
        <v>207</v>
      </c>
      <c r="G10" s="6"/>
    </row>
    <row r="11">
      <c r="A11" s="6" t="s">
        <v>208</v>
      </c>
      <c r="B11" s="23">
        <f>AVERAGE('02 Historical Financials'!B25:G25)</f>
        <v>0.2006150915</v>
      </c>
      <c r="C11" s="6" t="s">
        <v>209</v>
      </c>
      <c r="D11" s="7" t="s">
        <v>190</v>
      </c>
      <c r="E11" s="6" t="s">
        <v>210</v>
      </c>
      <c r="F11" s="6" t="s">
        <v>211</v>
      </c>
      <c r="G11" s="6"/>
    </row>
    <row r="12">
      <c r="A12" s="6" t="s">
        <v>212</v>
      </c>
      <c r="B12" s="23">
        <f>MIN('02 Historical Financials'!C7:G7)</f>
        <v>-0.02455425115</v>
      </c>
      <c r="C12" s="6" t="s">
        <v>213</v>
      </c>
      <c r="D12" s="7" t="s">
        <v>190</v>
      </c>
      <c r="E12" s="6" t="s">
        <v>214</v>
      </c>
      <c r="F12" s="6" t="s">
        <v>215</v>
      </c>
      <c r="G12" s="6"/>
    </row>
    <row r="13">
      <c r="A13" s="6" t="s">
        <v>216</v>
      </c>
      <c r="B13" s="31">
        <f>IF(B6&gt;0.03,3,IF(B6&gt;=0,2,IF(B6&gt;-0.03,1,0)))</f>
        <v>3</v>
      </c>
      <c r="C13" s="6" t="s">
        <v>217</v>
      </c>
      <c r="D13" s="7" t="s">
        <v>190</v>
      </c>
      <c r="E13" s="6" t="s">
        <v>218</v>
      </c>
      <c r="F13" s="6" t="s">
        <v>219</v>
      </c>
      <c r="G13" s="6"/>
    </row>
    <row r="14">
      <c r="A14" s="6" t="s">
        <v>220</v>
      </c>
      <c r="B14" s="31">
        <f>IF(B9&lt;0.05,3,IF(B9&lt;0.1,2,IF(B9&lt;0.15,1,0)))</f>
        <v>3</v>
      </c>
      <c r="C14" s="6" t="s">
        <v>217</v>
      </c>
      <c r="D14" s="7" t="s">
        <v>190</v>
      </c>
      <c r="E14" s="6" t="s">
        <v>221</v>
      </c>
      <c r="F14" s="6" t="s">
        <v>219</v>
      </c>
      <c r="G14" s="6"/>
    </row>
    <row r="15">
      <c r="A15" s="6" t="s">
        <v>222</v>
      </c>
      <c r="B15" s="31">
        <f>IF(B11&gt;'00 Control'!$B$20+0.03,3,IF(B11&gt;'00 Control'!$B$20,2,IF(B11&gt;0,1,0)))</f>
        <v>3</v>
      </c>
      <c r="C15" s="6" t="s">
        <v>217</v>
      </c>
      <c r="D15" s="7" t="s">
        <v>190</v>
      </c>
      <c r="E15" s="6" t="s">
        <v>223</v>
      </c>
      <c r="F15" s="6" t="s">
        <v>219</v>
      </c>
      <c r="G15" s="6"/>
    </row>
    <row r="16">
      <c r="A16" s="6" t="s">
        <v>224</v>
      </c>
      <c r="B16" s="31">
        <f>SUM(B13:B15)</f>
        <v>9</v>
      </c>
      <c r="C16" s="6" t="s">
        <v>225</v>
      </c>
      <c r="D16" s="6" t="str">
        <f>IF(B16="","",IF(ROW()=16,IF(B16&gt;=7,"Pass","Review"),"Review"))</f>
        <v>Pass</v>
      </c>
      <c r="E16" s="6" t="s">
        <v>226</v>
      </c>
      <c r="F16" s="6" t="s">
        <v>227</v>
      </c>
      <c r="G16" s="6"/>
    </row>
    <row r="19" ht="19.5" customHeight="1">
      <c r="A19" s="3" t="s">
        <v>185</v>
      </c>
    </row>
    <row r="20" ht="30.75" customHeight="1">
      <c r="A20" s="6" t="s">
        <v>228</v>
      </c>
      <c r="D20" s="6"/>
      <c r="E20" s="6"/>
      <c r="F20" s="6"/>
      <c r="G20" s="6"/>
    </row>
    <row r="21" ht="30.75" customHeight="1">
      <c r="A21" s="6" t="s">
        <v>229</v>
      </c>
      <c r="D21" s="6"/>
      <c r="E21" s="6"/>
      <c r="F21" s="6"/>
      <c r="G21" s="6"/>
    </row>
    <row r="22" ht="30.75" customHeight="1">
      <c r="A22" s="6" t="s">
        <v>230</v>
      </c>
      <c r="D22" s="6"/>
      <c r="E22" s="6"/>
      <c r="F22" s="6"/>
      <c r="G22" s="6"/>
    </row>
    <row r="23" ht="30.75" customHeight="1">
      <c r="A23" s="6" t="s">
        <v>231</v>
      </c>
      <c r="D23" s="6"/>
      <c r="E23" s="6"/>
      <c r="F23" s="6"/>
      <c r="G23" s="6"/>
    </row>
    <row r="24" ht="30.75" customHeight="1">
      <c r="A24" s="6" t="s">
        <v>232</v>
      </c>
      <c r="D24" s="6"/>
      <c r="E24" s="6"/>
      <c r="F24" s="6"/>
      <c r="G24" s="6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A23:C23"/>
    <mergeCell ref="A24:C24"/>
    <mergeCell ref="A1:K1"/>
    <mergeCell ref="A2:K2"/>
    <mergeCell ref="A4:G4"/>
    <mergeCell ref="A19:G19"/>
    <mergeCell ref="A20:C20"/>
    <mergeCell ref="A21:C21"/>
    <mergeCell ref="A22:C22"/>
  </mergeCells>
  <conditionalFormatting sqref="B16">
    <cfRule type="cellIs" dxfId="0" priority="1" operator="lessThan">
      <formula>7</formula>
    </cfRule>
  </conditionalFormatting>
  <conditionalFormatting sqref="B16">
    <cfRule type="cellIs" dxfId="1" priority="2" operator="greaterThanOrEqual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233</v>
      </c>
    </row>
    <row r="2">
      <c r="A2" s="2" t="s">
        <v>234</v>
      </c>
    </row>
    <row r="4" ht="19.5" customHeight="1">
      <c r="A4" s="3" t="s">
        <v>235</v>
      </c>
    </row>
    <row r="5">
      <c r="A5" s="20" t="s">
        <v>236</v>
      </c>
      <c r="B5" s="20" t="s">
        <v>136</v>
      </c>
      <c r="C5" s="20" t="s">
        <v>182</v>
      </c>
      <c r="D5" s="20" t="s">
        <v>237</v>
      </c>
      <c r="E5" s="20" t="s">
        <v>238</v>
      </c>
      <c r="F5" s="20" t="s">
        <v>239</v>
      </c>
      <c r="G5" s="20" t="s">
        <v>240</v>
      </c>
      <c r="H5" s="20" t="s">
        <v>187</v>
      </c>
    </row>
    <row r="6">
      <c r="A6" s="6" t="s">
        <v>241</v>
      </c>
      <c r="B6" s="6" t="s">
        <v>242</v>
      </c>
      <c r="C6" s="23">
        <f>AVERAGE('02 Historical Financials'!B14:G14/'02 Historical Financials'!B6:G6)</f>
        <v>0.02132601499</v>
      </c>
      <c r="D6" s="32">
        <v>0.2</v>
      </c>
      <c r="E6" s="23">
        <f t="shared" ref="E6:E9" si="1">C6*D6</f>
        <v>0.004265202998</v>
      </c>
      <c r="F6" s="6" t="s">
        <v>243</v>
      </c>
      <c r="G6" s="8" t="s">
        <v>114</v>
      </c>
      <c r="H6" s="7" t="s">
        <v>244</v>
      </c>
    </row>
    <row r="7">
      <c r="A7" s="6" t="s">
        <v>245</v>
      </c>
      <c r="B7" s="6" t="s">
        <v>246</v>
      </c>
      <c r="C7" s="23">
        <f>AVERAGE('02 Historical Financials'!B15:G15/'02 Historical Financials'!B6:G6)</f>
        <v>0.02932618273</v>
      </c>
      <c r="D7" s="32">
        <v>0.0</v>
      </c>
      <c r="E7" s="23">
        <f t="shared" si="1"/>
        <v>0</v>
      </c>
      <c r="F7" s="6" t="s">
        <v>247</v>
      </c>
      <c r="G7" s="7" t="s">
        <v>43</v>
      </c>
      <c r="H7" s="7" t="s">
        <v>248</v>
      </c>
    </row>
    <row r="8">
      <c r="A8" s="6" t="s">
        <v>249</v>
      </c>
      <c r="B8" s="6" t="s">
        <v>250</v>
      </c>
      <c r="C8" s="23">
        <f>AVERAGEIFS('02 Historical Financials'!C16:G16,'02 Historical Financials'!C7:G7,"&gt;=-5%",'02 Historical Financials'!C7:G7,"&lt;=5%")</f>
        <v>0.03195493831</v>
      </c>
      <c r="D8" s="32">
        <v>0.3</v>
      </c>
      <c r="E8" s="23">
        <f t="shared" si="1"/>
        <v>0.009586481492</v>
      </c>
      <c r="F8" s="6" t="s">
        <v>251</v>
      </c>
      <c r="G8" s="8" t="s">
        <v>114</v>
      </c>
      <c r="H8" s="7" t="s">
        <v>252</v>
      </c>
    </row>
    <row r="9">
      <c r="A9" s="6" t="s">
        <v>253</v>
      </c>
      <c r="B9" s="6" t="s">
        <v>254</v>
      </c>
      <c r="C9" s="32">
        <v>0.03</v>
      </c>
      <c r="D9" s="32">
        <v>0.5</v>
      </c>
      <c r="E9" s="23">
        <f t="shared" si="1"/>
        <v>0.015</v>
      </c>
      <c r="F9" s="6" t="s">
        <v>255</v>
      </c>
      <c r="G9" s="8" t="s">
        <v>114</v>
      </c>
      <c r="H9" s="7" t="s">
        <v>256</v>
      </c>
    </row>
    <row r="10">
      <c r="A10" s="6" t="s">
        <v>257</v>
      </c>
      <c r="B10" s="6"/>
      <c r="C10" s="33">
        <f>IFERROR(SUMPRODUCT(($G$6:$G$9="Yes")*$D$6:$D$9*$C$6:$C$9)/SUMPRODUCT(($G$6:$G$9="Yes")*$D$6:$D$9),0)</f>
        <v>0.02885168449</v>
      </c>
      <c r="D10" s="33"/>
      <c r="E10" s="33"/>
      <c r="F10" s="6" t="s">
        <v>258</v>
      </c>
      <c r="G10" s="6" t="s">
        <v>114</v>
      </c>
      <c r="H10" s="6" t="s">
        <v>259</v>
      </c>
    </row>
    <row r="11">
      <c r="A11" s="6"/>
      <c r="B11" s="6"/>
      <c r="C11" s="6"/>
      <c r="D11" s="6"/>
      <c r="E11" s="6"/>
      <c r="F11" s="6"/>
      <c r="G11" s="6"/>
      <c r="H11" s="6"/>
    </row>
    <row r="12">
      <c r="A12" s="6" t="s">
        <v>260</v>
      </c>
      <c r="B12" s="19">
        <f>'03 Normalized Earnings'!F6</f>
        <v>977.777</v>
      </c>
      <c r="C12" s="6"/>
      <c r="D12" s="6"/>
      <c r="E12" s="6"/>
      <c r="F12" s="6"/>
      <c r="G12" s="6"/>
      <c r="H12" s="6"/>
    </row>
    <row r="13">
      <c r="A13" s="6" t="s">
        <v>257</v>
      </c>
      <c r="B13" s="34">
        <f>C10</f>
        <v>0.02885168449</v>
      </c>
      <c r="C13" s="6"/>
      <c r="D13" s="6"/>
      <c r="E13" s="6"/>
      <c r="F13" s="6"/>
      <c r="G13" s="6"/>
      <c r="H13" s="6"/>
    </row>
    <row r="14">
      <c r="A14" s="6" t="s">
        <v>150</v>
      </c>
      <c r="B14" s="19">
        <f>B12*B13</f>
        <v>28.21051351</v>
      </c>
      <c r="C14" s="6"/>
      <c r="D14" s="6"/>
      <c r="E14" s="6"/>
      <c r="F14" s="6"/>
      <c r="G14" s="6"/>
      <c r="H14" s="6"/>
    </row>
    <row r="15">
      <c r="A15" s="6" t="s">
        <v>261</v>
      </c>
      <c r="B15" s="35">
        <f>AVERAGE('02 Historical Financials'!B15:G15)</f>
        <v>26.28466667</v>
      </c>
      <c r="C15" s="6"/>
      <c r="D15" s="6"/>
      <c r="E15" s="6"/>
      <c r="F15" s="6"/>
      <c r="G15" s="6"/>
      <c r="H15" s="6"/>
    </row>
    <row r="16">
      <c r="A16" s="6" t="s">
        <v>262</v>
      </c>
      <c r="B16" s="35">
        <f>AVERAGE('02 Historical Financials'!B14:G14)</f>
        <v>21.092</v>
      </c>
      <c r="C16" s="6"/>
      <c r="D16" s="6"/>
      <c r="E16" s="6"/>
      <c r="F16" s="6"/>
      <c r="G16" s="6"/>
      <c r="H16" s="6"/>
    </row>
    <row r="17">
      <c r="A17" s="6" t="s">
        <v>263</v>
      </c>
      <c r="B17" s="33">
        <f>B14/B16</f>
        <v>1.33749827</v>
      </c>
      <c r="C17" s="6"/>
      <c r="D17" s="6"/>
      <c r="E17" s="6"/>
      <c r="F17" s="6"/>
      <c r="G17" s="6"/>
      <c r="H17" s="6"/>
    </row>
    <row r="18">
      <c r="A18" s="6" t="s">
        <v>264</v>
      </c>
      <c r="B18" s="33">
        <f>B13</f>
        <v>0.02885168449</v>
      </c>
      <c r="C18" s="6"/>
      <c r="D18" s="6"/>
      <c r="E18" s="6"/>
      <c r="F18" s="6"/>
      <c r="G18" s="6"/>
      <c r="H18" s="6"/>
    </row>
    <row r="19">
      <c r="A19" s="6" t="s">
        <v>161</v>
      </c>
      <c r="B19" s="6" t="str">
        <f>IF(ABS(B17-1)&lt;0.35,"Selected capex reasonably near D&amp;A","Needs review")</f>
        <v>Selected capex reasonably near D&amp;A</v>
      </c>
      <c r="C19" s="6"/>
      <c r="D19" s="6"/>
      <c r="E19" s="6"/>
      <c r="F19" s="6"/>
      <c r="G19" s="6"/>
      <c r="H19" s="6"/>
    </row>
    <row r="20">
      <c r="A20" s="6" t="s">
        <v>265</v>
      </c>
      <c r="B20" s="6" t="str">
        <f>IF(B13&lt;0.01,"Too low?",IF(B13&gt;0.12,"Capital intensive / verify","None obvious"))</f>
        <v>None obvious</v>
      </c>
      <c r="C20" s="6"/>
      <c r="D20" s="6"/>
      <c r="E20" s="6"/>
      <c r="F20" s="6"/>
      <c r="G20" s="6"/>
      <c r="H20" s="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K1"/>
    <mergeCell ref="A2:K2"/>
    <mergeCell ref="A4:H4"/>
    <mergeCell ref="H9:J9"/>
    <mergeCell ref="H8:J8"/>
    <mergeCell ref="H7:J7"/>
    <mergeCell ref="H6:J6"/>
  </mergeCells>
  <dataValidations>
    <dataValidation type="list" allowBlank="1" sqref="G6:G9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6.0"/>
    <col customWidth="1" min="3" max="3" width="32.0"/>
    <col customWidth="1" min="4" max="11" width="16.0"/>
    <col customWidth="1" min="12" max="26" width="8.63"/>
  </cols>
  <sheetData>
    <row r="1" ht="27.75" customHeight="1">
      <c r="A1" s="1" t="s">
        <v>266</v>
      </c>
    </row>
    <row r="2">
      <c r="A2" s="2" t="s">
        <v>267</v>
      </c>
    </row>
    <row r="4" ht="19.5" customHeight="1">
      <c r="A4" s="3" t="s">
        <v>268</v>
      </c>
    </row>
    <row r="5">
      <c r="A5" s="6" t="s">
        <v>146</v>
      </c>
      <c r="B5" s="19">
        <f>'03 Normalized Earnings'!F10</f>
        <v>65.8169675</v>
      </c>
      <c r="C5" s="6" t="s">
        <v>269</v>
      </c>
      <c r="D5" s="6"/>
      <c r="E5" s="6"/>
    </row>
    <row r="6">
      <c r="A6" s="6" t="s">
        <v>270</v>
      </c>
      <c r="B6" s="19">
        <f>'03 Normalized Earnings'!F12</f>
        <v>20.45776324</v>
      </c>
      <c r="C6" s="6" t="s">
        <v>271</v>
      </c>
      <c r="D6" s="6"/>
      <c r="E6" s="6"/>
    </row>
    <row r="7">
      <c r="A7" s="6" t="s">
        <v>272</v>
      </c>
      <c r="B7" s="19">
        <f>'05 Maintenance Capex'!B14</f>
        <v>28.21051351</v>
      </c>
      <c r="C7" s="6" t="s">
        <v>273</v>
      </c>
      <c r="D7" s="6"/>
      <c r="E7" s="6"/>
    </row>
    <row r="8">
      <c r="A8" s="6" t="s">
        <v>274</v>
      </c>
      <c r="B8" s="19">
        <f>B23</f>
        <v>0</v>
      </c>
      <c r="C8" s="6" t="s">
        <v>275</v>
      </c>
      <c r="D8" s="6"/>
      <c r="E8" s="6"/>
    </row>
    <row r="9">
      <c r="A9" s="6" t="s">
        <v>276</v>
      </c>
      <c r="B9" s="24">
        <f> B5+B6-B7-B8+'03 Normalized Earnings'!F26</f>
        <v>58.06421724</v>
      </c>
      <c r="C9" s="6" t="s">
        <v>277</v>
      </c>
      <c r="D9" s="6"/>
      <c r="E9" s="6"/>
    </row>
    <row r="10">
      <c r="A10" s="6" t="s">
        <v>278</v>
      </c>
      <c r="B10" s="23">
        <f>B9/'03 Normalized Earnings'!F6</f>
        <v>0.05938390577</v>
      </c>
      <c r="C10" s="6" t="s">
        <v>279</v>
      </c>
      <c r="D10" s="6"/>
      <c r="E10" s="6"/>
    </row>
    <row r="11">
      <c r="A11" s="6" t="s">
        <v>33</v>
      </c>
      <c r="B11" s="23">
        <f>'00 Control'!B19</f>
        <v>0.1</v>
      </c>
      <c r="C11" s="6" t="s">
        <v>280</v>
      </c>
      <c r="D11" s="6"/>
      <c r="E11" s="6"/>
    </row>
    <row r="12">
      <c r="A12" s="6" t="s">
        <v>281</v>
      </c>
      <c r="B12" s="24">
        <f>B9/B11</f>
        <v>580.6421724</v>
      </c>
      <c r="C12" s="6" t="s">
        <v>282</v>
      </c>
      <c r="D12" s="6"/>
      <c r="E12" s="6"/>
    </row>
    <row r="13">
      <c r="A13" s="6" t="s">
        <v>283</v>
      </c>
      <c r="B13" s="24">
        <f>'00 Control'!B13-'00 Control'!B12-'00 Control'!B14</f>
        <v>88.173</v>
      </c>
      <c r="C13" s="6" t="s">
        <v>284</v>
      </c>
      <c r="D13" s="6"/>
      <c r="E13" s="6"/>
    </row>
    <row r="14">
      <c r="A14" s="6" t="s">
        <v>285</v>
      </c>
      <c r="B14" s="24">
        <f>(B12-B13)/'00 Control'!B11</f>
        <v>42.0052177</v>
      </c>
      <c r="C14" s="6" t="s">
        <v>286</v>
      </c>
      <c r="D14" s="6"/>
      <c r="E14" s="6"/>
    </row>
    <row r="15">
      <c r="A15" s="6" t="s">
        <v>84</v>
      </c>
      <c r="B15" s="24">
        <f>B14*(1-'00 Control'!B21)</f>
        <v>33.60417416</v>
      </c>
      <c r="C15" s="6" t="s">
        <v>287</v>
      </c>
      <c r="D15" s="6"/>
      <c r="E15" s="6"/>
    </row>
    <row r="16">
      <c r="A16" s="6"/>
      <c r="B16" s="6"/>
      <c r="C16" s="6"/>
      <c r="D16" s="6"/>
      <c r="E16" s="6"/>
    </row>
    <row r="17">
      <c r="A17" s="6"/>
      <c r="B17" s="6"/>
      <c r="C17" s="6"/>
      <c r="D17" s="6"/>
      <c r="E17" s="6"/>
    </row>
    <row r="18" ht="19.5" customHeight="1">
      <c r="A18" s="9" t="s">
        <v>288</v>
      </c>
    </row>
    <row r="19">
      <c r="A19" s="6" t="s">
        <v>289</v>
      </c>
      <c r="B19" s="23">
        <f>AVERAGE('02 Historical Financials'!B17:G17/'02 Historical Financials'!B6:G6)</f>
        <v>0.1827967985</v>
      </c>
      <c r="C19" s="6" t="s">
        <v>290</v>
      </c>
      <c r="D19" s="6"/>
      <c r="E19" s="6"/>
    </row>
    <row r="20">
      <c r="A20" s="6" t="s">
        <v>291</v>
      </c>
      <c r="B20" s="36">
        <v>0.0</v>
      </c>
      <c r="C20" s="6" t="s">
        <v>292</v>
      </c>
      <c r="D20" s="6"/>
      <c r="E20" s="6"/>
    </row>
    <row r="21" ht="15.75" customHeight="1">
      <c r="A21" s="6" t="s">
        <v>151</v>
      </c>
      <c r="B21" s="8">
        <f>'03 Normalized Earnings'!F6*B20*B19</f>
        <v>0</v>
      </c>
      <c r="C21" s="37" t="s">
        <v>293</v>
      </c>
      <c r="D21" s="6"/>
      <c r="E21" s="6"/>
    </row>
    <row r="22" ht="15.75" customHeight="1">
      <c r="A22" s="6" t="s">
        <v>294</v>
      </c>
      <c r="B22" s="7" t="s">
        <v>43</v>
      </c>
      <c r="C22" s="6" t="s">
        <v>295</v>
      </c>
      <c r="D22" s="6"/>
      <c r="E22" s="6"/>
    </row>
    <row r="23" ht="15.75" customHeight="1">
      <c r="A23" s="6" t="s">
        <v>296</v>
      </c>
      <c r="B23" s="38">
        <f>IF(B22="Yes",B21,0)</f>
        <v>0</v>
      </c>
      <c r="C23" s="6" t="s">
        <v>297</v>
      </c>
      <c r="D23" s="6"/>
      <c r="E23" s="6"/>
    </row>
    <row r="24" ht="33.75" customHeight="1">
      <c r="A24" s="6" t="s">
        <v>298</v>
      </c>
      <c r="B24" s="39" t="s">
        <v>299</v>
      </c>
      <c r="D24" s="6"/>
      <c r="E24" s="6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E4"/>
    <mergeCell ref="A18:E18"/>
    <mergeCell ref="B24:C24"/>
  </mergeCells>
  <dataValidations>
    <dataValidation type="list" allowBlank="1" sqref="B22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6.0"/>
    <col customWidth="1" min="3" max="3" width="31.88"/>
    <col customWidth="1" min="4" max="11" width="16.0"/>
    <col customWidth="1" min="12" max="26" width="8.63"/>
  </cols>
  <sheetData>
    <row r="1" ht="27.75" customHeight="1">
      <c r="A1" s="1" t="s">
        <v>300</v>
      </c>
    </row>
    <row r="2">
      <c r="A2" s="2" t="s">
        <v>301</v>
      </c>
    </row>
    <row r="4" ht="19.5" customHeight="1">
      <c r="A4" s="3" t="s">
        <v>302</v>
      </c>
    </row>
    <row r="5">
      <c r="A5" s="6" t="s">
        <v>260</v>
      </c>
      <c r="B5" s="19">
        <f>'03 Normalized Earnings'!F6</f>
        <v>977.777</v>
      </c>
      <c r="C5" s="6" t="s">
        <v>303</v>
      </c>
      <c r="D5" s="6"/>
      <c r="E5" s="6"/>
    </row>
    <row r="6">
      <c r="A6" s="6" t="s">
        <v>304</v>
      </c>
      <c r="B6" s="13">
        <f>'03 Normalized Earnings'!F7</f>
        <v>0.08975048162</v>
      </c>
      <c r="C6" s="6" t="s">
        <v>305</v>
      </c>
      <c r="D6" s="6"/>
      <c r="E6" s="6"/>
    </row>
    <row r="7">
      <c r="A7" s="6" t="s">
        <v>144</v>
      </c>
      <c r="B7" s="40">
        <f>B5*B6</f>
        <v>87.75595667</v>
      </c>
      <c r="C7" s="6" t="s">
        <v>306</v>
      </c>
      <c r="D7" s="6"/>
      <c r="E7" s="6"/>
    </row>
    <row r="8">
      <c r="A8" s="6" t="s">
        <v>307</v>
      </c>
      <c r="B8" s="13">
        <f>'00 Control'!B17</f>
        <v>0.25</v>
      </c>
      <c r="C8" s="6" t="s">
        <v>308</v>
      </c>
      <c r="D8" s="6"/>
      <c r="E8" s="6"/>
    </row>
    <row r="9">
      <c r="A9" s="6" t="s">
        <v>121</v>
      </c>
      <c r="B9" s="19">
        <f>B7*(1-B8)</f>
        <v>65.8169675</v>
      </c>
      <c r="C9" s="6" t="s">
        <v>309</v>
      </c>
      <c r="D9" s="6"/>
      <c r="E9" s="6"/>
    </row>
    <row r="10">
      <c r="A10" s="6" t="s">
        <v>270</v>
      </c>
      <c r="B10" s="19">
        <f>'03 Normalized Earnings'!F12</f>
        <v>20.45776324</v>
      </c>
      <c r="C10" s="6" t="s">
        <v>310</v>
      </c>
      <c r="D10" s="6"/>
      <c r="E10" s="6"/>
    </row>
    <row r="11">
      <c r="A11" s="6" t="s">
        <v>272</v>
      </c>
      <c r="B11" s="19">
        <f>'05 Maintenance Capex'!B14</f>
        <v>28.21051351</v>
      </c>
      <c r="C11" s="6" t="s">
        <v>311</v>
      </c>
      <c r="D11" s="6"/>
      <c r="E11" s="6"/>
    </row>
    <row r="12">
      <c r="A12" s="6" t="s">
        <v>152</v>
      </c>
      <c r="B12" s="24">
        <f>'03 Normalized Earnings'!F16</f>
        <v>58.06421724</v>
      </c>
      <c r="C12" s="6" t="s">
        <v>312</v>
      </c>
      <c r="D12" s="6"/>
      <c r="E12" s="6"/>
    </row>
    <row r="13">
      <c r="A13" s="6" t="s">
        <v>35</v>
      </c>
      <c r="B13" s="23">
        <f>'00 Control'!B20</f>
        <v>0.095</v>
      </c>
      <c r="C13" s="6" t="s">
        <v>313</v>
      </c>
      <c r="D13" s="6"/>
      <c r="E13" s="6"/>
    </row>
    <row r="14">
      <c r="A14" s="6" t="s">
        <v>314</v>
      </c>
      <c r="B14" s="24">
        <f>B12/B13</f>
        <v>611.2022867</v>
      </c>
      <c r="C14" s="6" t="s">
        <v>315</v>
      </c>
      <c r="D14" s="6"/>
      <c r="E14" s="6"/>
    </row>
    <row r="15">
      <c r="A15" s="6" t="s">
        <v>316</v>
      </c>
      <c r="B15" s="24">
        <f>'00 Control'!B12</f>
        <v>0.585</v>
      </c>
      <c r="C15" s="6" t="s">
        <v>308</v>
      </c>
      <c r="D15" s="6"/>
      <c r="E15" s="6"/>
    </row>
    <row r="16">
      <c r="A16" s="6" t="s">
        <v>317</v>
      </c>
      <c r="B16" s="24">
        <f>'00 Control'!B14</f>
        <v>13.07</v>
      </c>
      <c r="C16" s="6" t="s">
        <v>308</v>
      </c>
      <c r="D16" s="6"/>
      <c r="E16" s="6"/>
    </row>
    <row r="17">
      <c r="A17" s="6" t="s">
        <v>318</v>
      </c>
      <c r="B17" s="24">
        <f>'00 Control'!B13</f>
        <v>101.828</v>
      </c>
      <c r="C17" s="6" t="s">
        <v>308</v>
      </c>
      <c r="D17" s="6"/>
      <c r="E17" s="6"/>
    </row>
    <row r="18">
      <c r="A18" s="6" t="s">
        <v>319</v>
      </c>
      <c r="B18" s="24">
        <f>B14+B15+B16-B17</f>
        <v>523.0292867</v>
      </c>
      <c r="C18" s="6" t="s">
        <v>320</v>
      </c>
      <c r="D18" s="6"/>
      <c r="E18" s="6"/>
    </row>
    <row r="19">
      <c r="A19" s="6" t="s">
        <v>128</v>
      </c>
      <c r="B19" s="24">
        <f>'00 Control'!B11</f>
        <v>11.724</v>
      </c>
      <c r="C19" s="6" t="s">
        <v>308</v>
      </c>
      <c r="D19" s="20" t="s">
        <v>321</v>
      </c>
      <c r="E19" s="20" t="s">
        <v>322</v>
      </c>
    </row>
    <row r="20">
      <c r="A20" s="6" t="s">
        <v>57</v>
      </c>
      <c r="B20" s="24">
        <f>B18/B19</f>
        <v>44.61184636</v>
      </c>
      <c r="C20" s="6" t="s">
        <v>323</v>
      </c>
      <c r="D20" s="6" t="s">
        <v>82</v>
      </c>
      <c r="E20" s="41">
        <f>B20</f>
        <v>44.61184636</v>
      </c>
    </row>
    <row r="21" ht="15.75" customHeight="1">
      <c r="A21" s="6" t="s">
        <v>37</v>
      </c>
      <c r="B21" s="24">
        <f>'00 Control'!B21</f>
        <v>0.2</v>
      </c>
      <c r="C21" s="6" t="s">
        <v>308</v>
      </c>
      <c r="D21" s="6" t="s">
        <v>324</v>
      </c>
      <c r="E21" s="41">
        <f t="shared" ref="E21:E22" si="1">B22</f>
        <v>35.68947709</v>
      </c>
    </row>
    <row r="22" ht="15.75" customHeight="1">
      <c r="A22" s="6" t="s">
        <v>58</v>
      </c>
      <c r="B22" s="42">
        <f>B20*(1-B21)</f>
        <v>35.68947709</v>
      </c>
      <c r="C22" s="6" t="s">
        <v>325</v>
      </c>
      <c r="D22" s="6" t="s">
        <v>326</v>
      </c>
      <c r="E22" s="41">
        <f t="shared" si="1"/>
        <v>77.95</v>
      </c>
    </row>
    <row r="23" ht="15.75" customHeight="1">
      <c r="A23" s="6" t="s">
        <v>17</v>
      </c>
      <c r="B23" s="42">
        <f>'00 Control'!B10</f>
        <v>77.95</v>
      </c>
      <c r="C23" s="6" t="s">
        <v>308</v>
      </c>
      <c r="D23" s="6" t="s">
        <v>62</v>
      </c>
      <c r="E23" s="23">
        <f>B20/E22-1</f>
        <v>-0.4276863841</v>
      </c>
    </row>
    <row r="24" ht="15.75" customHeight="1">
      <c r="A24" s="6" t="s">
        <v>327</v>
      </c>
      <c r="B24" s="23">
        <f>B23/B22-1</f>
        <v>1.184117179</v>
      </c>
      <c r="C24" s="6" t="s">
        <v>328</v>
      </c>
      <c r="D24" s="6" t="s">
        <v>329</v>
      </c>
      <c r="E24" s="38" t="str">
        <f>IF(E22&lt;=E21,"Potential Buy",IF(E22&lt;=E20,"Waitlist","Over EPV"))</f>
        <v>Over EPV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E4"/>
  </mergeCells>
  <conditionalFormatting sqref="E24">
    <cfRule type="expression" dxfId="1" priority="1">
      <formula>E24="Potential Buy"</formula>
    </cfRule>
  </conditionalFormatting>
  <conditionalFormatting sqref="E24">
    <cfRule type="expression" dxfId="0" priority="2">
      <formula>E24="Over EPV"</formula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5" width="16.0"/>
    <col customWidth="1" min="6" max="6" width="32.13"/>
    <col customWidth="1" min="7" max="11" width="16.0"/>
    <col customWidth="1" min="12" max="26" width="8.63"/>
  </cols>
  <sheetData>
    <row r="1" ht="27.75" customHeight="1">
      <c r="A1" s="1" t="s">
        <v>330</v>
      </c>
    </row>
    <row r="2">
      <c r="A2" s="2" t="s">
        <v>331</v>
      </c>
    </row>
    <row r="4" ht="19.5" customHeight="1">
      <c r="A4" s="3" t="s">
        <v>332</v>
      </c>
    </row>
    <row r="5">
      <c r="A5" s="20" t="s">
        <v>333</v>
      </c>
      <c r="B5" s="20" t="s">
        <v>334</v>
      </c>
      <c r="C5" s="20" t="s">
        <v>335</v>
      </c>
      <c r="D5" s="20" t="s">
        <v>336</v>
      </c>
      <c r="E5" s="20" t="s">
        <v>140</v>
      </c>
      <c r="F5" s="20" t="s">
        <v>187</v>
      </c>
    </row>
    <row r="6">
      <c r="A6" s="6" t="s">
        <v>21</v>
      </c>
      <c r="B6" s="24">
        <f>'00 Control'!B12</f>
        <v>0.585</v>
      </c>
      <c r="C6" s="23">
        <v>0.0</v>
      </c>
      <c r="D6" s="24">
        <f t="shared" ref="D6:D11" si="1">B6*(1-C6)</f>
        <v>0.585</v>
      </c>
      <c r="E6" s="6" t="s">
        <v>337</v>
      </c>
      <c r="F6" s="6" t="s">
        <v>338</v>
      </c>
    </row>
    <row r="7">
      <c r="A7" s="6" t="s">
        <v>339</v>
      </c>
      <c r="B7" s="43">
        <v>76.656</v>
      </c>
      <c r="C7" s="23">
        <f>'00 Control'!B26</f>
        <v>0.05</v>
      </c>
      <c r="D7" s="24">
        <f t="shared" si="1"/>
        <v>72.8232</v>
      </c>
      <c r="E7" s="6" t="s">
        <v>340</v>
      </c>
      <c r="F7" s="6" t="s">
        <v>341</v>
      </c>
    </row>
    <row r="8">
      <c r="A8" s="6" t="s">
        <v>342</v>
      </c>
      <c r="B8" s="43">
        <v>254.6</v>
      </c>
      <c r="C8" s="23">
        <f>'00 Control'!B27</f>
        <v>0.15</v>
      </c>
      <c r="D8" s="24">
        <f t="shared" si="1"/>
        <v>216.41</v>
      </c>
      <c r="E8" s="6" t="s">
        <v>340</v>
      </c>
      <c r="F8" s="6" t="s">
        <v>341</v>
      </c>
    </row>
    <row r="9">
      <c r="A9" s="6" t="s">
        <v>343</v>
      </c>
      <c r="B9" s="43">
        <v>178.219</v>
      </c>
      <c r="C9" s="23">
        <f>'00 Control'!B28</f>
        <v>0.3</v>
      </c>
      <c r="D9" s="24">
        <f t="shared" si="1"/>
        <v>124.7533</v>
      </c>
      <c r="E9" s="6" t="s">
        <v>340</v>
      </c>
      <c r="F9" s="6" t="s">
        <v>341</v>
      </c>
    </row>
    <row r="10">
      <c r="A10" s="6" t="s">
        <v>344</v>
      </c>
      <c r="B10" s="43">
        <v>11.75</v>
      </c>
      <c r="C10" s="23">
        <f>'00 Control'!B29</f>
        <v>1</v>
      </c>
      <c r="D10" s="24">
        <f t="shared" si="1"/>
        <v>0</v>
      </c>
      <c r="E10" s="6" t="s">
        <v>340</v>
      </c>
      <c r="F10" s="6" t="s">
        <v>345</v>
      </c>
    </row>
    <row r="11">
      <c r="A11" s="6" t="s">
        <v>346</v>
      </c>
      <c r="B11" s="43">
        <v>75.793</v>
      </c>
      <c r="C11" s="23">
        <f>'00 Control'!B30</f>
        <v>0.25</v>
      </c>
      <c r="D11" s="24">
        <f t="shared" si="1"/>
        <v>56.84475</v>
      </c>
      <c r="E11" s="6" t="s">
        <v>340</v>
      </c>
      <c r="F11" s="6" t="s">
        <v>347</v>
      </c>
    </row>
    <row r="12">
      <c r="A12" s="6" t="s">
        <v>348</v>
      </c>
      <c r="B12" s="26"/>
      <c r="C12" s="23"/>
      <c r="D12" s="24">
        <f>SUM(D6:D11)</f>
        <v>471.41625</v>
      </c>
      <c r="E12" s="6" t="s">
        <v>349</v>
      </c>
      <c r="F12" s="6"/>
    </row>
    <row r="13">
      <c r="A13" s="6" t="s">
        <v>350</v>
      </c>
      <c r="B13" s="43">
        <v>135.078</v>
      </c>
      <c r="C13" s="23">
        <v>0.0</v>
      </c>
      <c r="D13" s="24">
        <f>B13*(1-C13)</f>
        <v>135.078</v>
      </c>
      <c r="E13" s="6" t="s">
        <v>340</v>
      </c>
      <c r="F13" s="6" t="s">
        <v>341</v>
      </c>
    </row>
    <row r="14">
      <c r="A14" s="6" t="s">
        <v>23</v>
      </c>
      <c r="B14" s="24">
        <f>'00 Control'!B13</f>
        <v>101.828</v>
      </c>
      <c r="C14" s="23">
        <v>0.0</v>
      </c>
      <c r="D14" s="24">
        <f>B14</f>
        <v>101.828</v>
      </c>
      <c r="E14" s="6" t="s">
        <v>337</v>
      </c>
      <c r="F14" s="6" t="s">
        <v>351</v>
      </c>
    </row>
    <row r="15">
      <c r="A15" s="6" t="s">
        <v>352</v>
      </c>
      <c r="B15" s="24"/>
      <c r="C15" s="35"/>
      <c r="D15" s="24">
        <f>D12-D13-D14</f>
        <v>234.51025</v>
      </c>
      <c r="E15" s="6" t="s">
        <v>349</v>
      </c>
      <c r="F15" s="6" t="s">
        <v>353</v>
      </c>
    </row>
    <row r="16">
      <c r="A16" s="6" t="s">
        <v>128</v>
      </c>
      <c r="B16" s="24">
        <f>'00 Control'!B11</f>
        <v>11.724</v>
      </c>
      <c r="C16" s="35"/>
      <c r="D16" s="24">
        <f>B16</f>
        <v>11.724</v>
      </c>
      <c r="E16" s="6" t="s">
        <v>71</v>
      </c>
      <c r="F16" s="6"/>
    </row>
    <row r="17">
      <c r="A17" s="6" t="s">
        <v>60</v>
      </c>
      <c r="B17" s="24"/>
      <c r="C17" s="35"/>
      <c r="D17" s="24">
        <f>D15/D16</f>
        <v>20.00258018</v>
      </c>
      <c r="E17" s="6" t="s">
        <v>349</v>
      </c>
      <c r="F17" s="6" t="s">
        <v>354</v>
      </c>
    </row>
    <row r="18">
      <c r="A18" s="6"/>
      <c r="B18" s="6"/>
      <c r="C18" s="6"/>
      <c r="D18" s="6"/>
      <c r="E18" s="6"/>
      <c r="F18" s="6"/>
    </row>
    <row r="19">
      <c r="A19" s="6"/>
      <c r="B19" s="6"/>
      <c r="C19" s="6"/>
      <c r="D19" s="6"/>
      <c r="E19" s="6"/>
      <c r="F19" s="6"/>
    </row>
    <row r="20" ht="19.5" customHeight="1">
      <c r="A20" s="9" t="s">
        <v>355</v>
      </c>
    </row>
    <row r="21" ht="15.75" customHeight="1">
      <c r="A21" s="6" t="s">
        <v>356</v>
      </c>
      <c r="B21" s="19">
        <f>'07 EPV Calculation'!B18</f>
        <v>523.0292867</v>
      </c>
      <c r="C21" s="6"/>
      <c r="D21" s="6"/>
      <c r="E21" s="6"/>
      <c r="F21" s="6"/>
    </row>
    <row r="22" ht="15.75" customHeight="1">
      <c r="A22" s="6" t="s">
        <v>352</v>
      </c>
      <c r="B22" s="19">
        <f>D15</f>
        <v>234.51025</v>
      </c>
      <c r="C22" s="6"/>
      <c r="D22" s="6"/>
      <c r="E22" s="6"/>
      <c r="F22" s="6"/>
    </row>
    <row r="23" ht="15.75" customHeight="1">
      <c r="A23" s="6" t="s">
        <v>357</v>
      </c>
      <c r="B23" s="18">
        <f>B21/B22</f>
        <v>2.230304589</v>
      </c>
      <c r="C23" s="6"/>
      <c r="D23" s="6"/>
      <c r="E23" s="6"/>
      <c r="F23" s="6"/>
    </row>
    <row r="24" ht="15.75" customHeight="1">
      <c r="A24" s="6" t="s">
        <v>358</v>
      </c>
      <c r="B24" s="19">
        <f>B21-B22</f>
        <v>288.5190367</v>
      </c>
      <c r="C24" s="6"/>
      <c r="D24" s="6"/>
      <c r="E24" s="6"/>
      <c r="F24" s="6"/>
    </row>
    <row r="25" ht="15.75" customHeight="1">
      <c r="A25" s="6" t="s">
        <v>359</v>
      </c>
      <c r="B25" s="15">
        <f>B24/'00 Control'!B11</f>
        <v>24.60926618</v>
      </c>
      <c r="C25" s="6"/>
      <c r="D25" s="6"/>
      <c r="E25" s="6"/>
      <c r="F25" s="6"/>
    </row>
    <row r="26" ht="15.75" customHeight="1">
      <c r="A26" s="6" t="s">
        <v>185</v>
      </c>
      <c r="B26" s="37" t="str">
        <f>IF(B23&gt;1.25,"EPV suggests franchise value",IF(B23&lt;0.8,"Asset value exceeds earnings power","EPV roughly equals asset value"))</f>
        <v>EPV suggests franchise value</v>
      </c>
      <c r="C26" s="6"/>
      <c r="D26" s="6"/>
      <c r="E26" s="6"/>
      <c r="F26" s="6"/>
    </row>
    <row r="27" ht="15.75" customHeight="1">
      <c r="A27" s="6" t="s">
        <v>360</v>
      </c>
      <c r="B27" s="37" t="str">
        <f>IF(B23&lt;0.8,"Business may not earn adequate return on assets","None automatic")</f>
        <v>None automatic</v>
      </c>
      <c r="C27" s="6"/>
      <c r="D27" s="6"/>
      <c r="E27" s="6"/>
      <c r="F27" s="6"/>
    </row>
    <row r="28" ht="15.75" customHeight="1">
      <c r="A28" s="6" t="s">
        <v>361</v>
      </c>
      <c r="B28" s="37" t="str">
        <f>IF(B23&lt;0.8,"Require deeper asset impairment / ROIC review","Proceed with quality review")</f>
        <v>Proceed with quality review</v>
      </c>
      <c r="C28" s="6"/>
      <c r="D28" s="6"/>
      <c r="E28" s="6"/>
      <c r="F28" s="6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F4"/>
    <mergeCell ref="A20:F20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8.88"/>
    <col customWidth="1" min="3" max="3" width="31.88"/>
    <col customWidth="1" min="4" max="4" width="25.63"/>
    <col customWidth="1" min="5" max="11" width="16.0"/>
    <col customWidth="1" min="12" max="26" width="8.63"/>
  </cols>
  <sheetData>
    <row r="1" ht="27.75" customHeight="1">
      <c r="A1" s="1" t="s">
        <v>362</v>
      </c>
    </row>
    <row r="2">
      <c r="A2" s="2" t="s">
        <v>363</v>
      </c>
    </row>
    <row r="4" ht="19.5" customHeight="1">
      <c r="A4" s="3" t="s">
        <v>364</v>
      </c>
    </row>
    <row r="5">
      <c r="A5" s="6" t="s">
        <v>17</v>
      </c>
      <c r="B5" s="19">
        <f>'00 Control'!B10</f>
        <v>77.95</v>
      </c>
      <c r="C5" s="6" t="s">
        <v>71</v>
      </c>
      <c r="D5" s="6"/>
      <c r="E5" s="6"/>
    </row>
    <row r="6">
      <c r="A6" s="6" t="s">
        <v>128</v>
      </c>
      <c r="B6" s="19">
        <f>'00 Control'!B11</f>
        <v>11.724</v>
      </c>
      <c r="C6" s="6" t="s">
        <v>71</v>
      </c>
      <c r="D6" s="6"/>
      <c r="E6" s="6"/>
    </row>
    <row r="7">
      <c r="A7" s="6" t="s">
        <v>365</v>
      </c>
      <c r="B7" s="19">
        <f>B5*B6</f>
        <v>913.8858</v>
      </c>
      <c r="C7" s="6" t="s">
        <v>366</v>
      </c>
      <c r="D7" s="6"/>
      <c r="E7" s="6"/>
    </row>
    <row r="8">
      <c r="A8" s="6" t="s">
        <v>23</v>
      </c>
      <c r="B8" s="19">
        <f>'00 Control'!B13</f>
        <v>101.828</v>
      </c>
      <c r="C8" s="6" t="s">
        <v>71</v>
      </c>
      <c r="D8" s="6"/>
      <c r="E8" s="6"/>
    </row>
    <row r="9">
      <c r="A9" s="6" t="s">
        <v>21</v>
      </c>
      <c r="B9" s="19">
        <f>'00 Control'!B12</f>
        <v>0.585</v>
      </c>
      <c r="C9" s="6" t="s">
        <v>71</v>
      </c>
      <c r="D9" s="6"/>
      <c r="E9" s="6"/>
    </row>
    <row r="10">
      <c r="A10" s="6" t="s">
        <v>25</v>
      </c>
      <c r="B10" s="19">
        <f>'00 Control'!B14</f>
        <v>13.07</v>
      </c>
      <c r="C10" s="6" t="s">
        <v>71</v>
      </c>
      <c r="D10" s="6"/>
      <c r="E10" s="6"/>
    </row>
    <row r="11">
      <c r="A11" s="6" t="s">
        <v>367</v>
      </c>
      <c r="B11" s="19">
        <f>B7+B8-B9-B10</f>
        <v>1002.0588</v>
      </c>
      <c r="C11" s="6" t="s">
        <v>368</v>
      </c>
      <c r="D11" s="6"/>
      <c r="E11" s="6"/>
    </row>
    <row r="12">
      <c r="A12" s="6" t="s">
        <v>35</v>
      </c>
      <c r="B12" s="13">
        <f>'00 Control'!B20</f>
        <v>0.095</v>
      </c>
      <c r="C12" s="6" t="s">
        <v>71</v>
      </c>
      <c r="D12" s="6"/>
      <c r="E12" s="6"/>
    </row>
    <row r="13">
      <c r="A13" s="6" t="s">
        <v>369</v>
      </c>
      <c r="B13" s="40">
        <f>B11*B12</f>
        <v>95.195586</v>
      </c>
      <c r="C13" s="6" t="s">
        <v>370</v>
      </c>
      <c r="D13" s="6"/>
      <c r="E13" s="6"/>
    </row>
    <row r="14">
      <c r="A14" s="6" t="s">
        <v>371</v>
      </c>
      <c r="B14" s="13">
        <f>B13/'03 Normalized Earnings'!F6/(1-'00 Control'!B17)</f>
        <v>0.129812266</v>
      </c>
      <c r="C14" s="6" t="s">
        <v>372</v>
      </c>
      <c r="D14" s="6"/>
      <c r="E14" s="6"/>
    </row>
    <row r="15">
      <c r="A15" s="6" t="s">
        <v>373</v>
      </c>
      <c r="B15" s="19">
        <f>'07 EPV Calculation'!B14</f>
        <v>611.2022867</v>
      </c>
      <c r="C15" s="6" t="s">
        <v>374</v>
      </c>
      <c r="D15" s="6"/>
      <c r="E15" s="6"/>
    </row>
    <row r="16">
      <c r="A16" s="6" t="s">
        <v>61</v>
      </c>
      <c r="B16" s="44">
        <f>B7/'07 EPV Calculation'!B18</f>
        <v>1.747293743</v>
      </c>
      <c r="C16" s="6" t="s">
        <v>375</v>
      </c>
      <c r="D16" s="6"/>
      <c r="E16" s="6"/>
    </row>
    <row r="17">
      <c r="A17" s="6" t="s">
        <v>62</v>
      </c>
      <c r="B17" s="23">
        <f>'07 EPV Calculation'!E20/B5-1</f>
        <v>-0.4276863841</v>
      </c>
      <c r="C17" s="6" t="s">
        <v>376</v>
      </c>
      <c r="D17" s="6"/>
      <c r="E17" s="6"/>
    </row>
    <row r="18">
      <c r="A18" s="6" t="s">
        <v>377</v>
      </c>
      <c r="B18" s="24" t="str">
        <f>IF(B17&gt;0.25,"Market prices below no-growth EPV",IF(B17&lt;-0.15,"Market prices above no-growth EPV","Market near EPV"))</f>
        <v>Market prices above no-growth EPV</v>
      </c>
      <c r="C18" s="6" t="s">
        <v>185</v>
      </c>
      <c r="D18" s="6"/>
      <c r="E18" s="6"/>
    </row>
    <row r="19">
      <c r="A19" s="6"/>
      <c r="B19" s="6"/>
      <c r="C19" s="6"/>
      <c r="D19" s="6"/>
      <c r="E19" s="6"/>
    </row>
    <row r="20">
      <c r="A20" s="6"/>
      <c r="B20" s="6"/>
      <c r="C20" s="6"/>
      <c r="D20" s="6"/>
      <c r="E20" s="6"/>
    </row>
    <row r="21" ht="19.5" customHeight="1">
      <c r="A21" s="9" t="s">
        <v>378</v>
      </c>
    </row>
    <row r="22" ht="15.75" customHeight="1">
      <c r="A22" s="20" t="s">
        <v>379</v>
      </c>
      <c r="B22" s="20" t="s">
        <v>380</v>
      </c>
      <c r="C22" s="20" t="s">
        <v>381</v>
      </c>
      <c r="D22" s="20" t="s">
        <v>382</v>
      </c>
      <c r="E22" s="20" t="s">
        <v>265</v>
      </c>
    </row>
    <row r="23" ht="46.5" customHeight="1">
      <c r="A23" s="6" t="s">
        <v>383</v>
      </c>
      <c r="B23" s="8" t="s">
        <v>384</v>
      </c>
      <c r="C23" s="8" t="s">
        <v>385</v>
      </c>
      <c r="D23" s="8" t="s">
        <v>386</v>
      </c>
      <c r="E23" s="8" t="s">
        <v>114</v>
      </c>
    </row>
    <row r="24" ht="46.5" customHeight="1">
      <c r="A24" s="6" t="s">
        <v>387</v>
      </c>
      <c r="B24" s="8" t="s">
        <v>388</v>
      </c>
      <c r="C24" s="8" t="s">
        <v>389</v>
      </c>
      <c r="D24" s="8" t="s">
        <v>390</v>
      </c>
      <c r="E24" s="7" t="s">
        <v>172</v>
      </c>
    </row>
    <row r="25" ht="46.5" customHeight="1">
      <c r="A25" s="6" t="s">
        <v>391</v>
      </c>
      <c r="B25" s="8" t="s">
        <v>392</v>
      </c>
      <c r="C25" s="8" t="s">
        <v>393</v>
      </c>
      <c r="D25" s="8" t="s">
        <v>394</v>
      </c>
      <c r="E25" s="7" t="s">
        <v>43</v>
      </c>
    </row>
    <row r="26" ht="46.5" customHeight="1">
      <c r="A26" s="6" t="s">
        <v>395</v>
      </c>
      <c r="B26" s="8" t="s">
        <v>396</v>
      </c>
      <c r="C26" s="8" t="s">
        <v>397</v>
      </c>
      <c r="D26" s="8" t="s">
        <v>398</v>
      </c>
      <c r="E26" s="7" t="s">
        <v>43</v>
      </c>
    </row>
    <row r="27" ht="46.5" customHeight="1">
      <c r="A27" s="6" t="s">
        <v>399</v>
      </c>
      <c r="B27" s="8" t="s">
        <v>400</v>
      </c>
      <c r="C27" s="8" t="s">
        <v>401</v>
      </c>
      <c r="D27" s="8" t="s">
        <v>402</v>
      </c>
      <c r="E27" s="7" t="s">
        <v>172</v>
      </c>
    </row>
    <row r="28" ht="46.5" customHeight="1">
      <c r="A28" s="6" t="s">
        <v>403</v>
      </c>
      <c r="B28" s="8" t="s">
        <v>404</v>
      </c>
      <c r="C28" s="8" t="s">
        <v>405</v>
      </c>
      <c r="D28" s="8" t="s">
        <v>406</v>
      </c>
      <c r="E28" s="7" t="s">
        <v>172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E4"/>
    <mergeCell ref="A21:E21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4.5"/>
    <col customWidth="1" min="3" max="11" width="16.0"/>
    <col customWidth="1" min="12" max="26" width="8.63"/>
  </cols>
  <sheetData>
    <row r="1" ht="27.75" customHeight="1">
      <c r="A1" s="1" t="s">
        <v>407</v>
      </c>
    </row>
    <row r="2">
      <c r="A2" s="2" t="s">
        <v>408</v>
      </c>
    </row>
    <row r="4" ht="19.5" customHeight="1">
      <c r="A4" s="3" t="s">
        <v>409</v>
      </c>
    </row>
    <row r="5">
      <c r="A5" s="20" t="s">
        <v>135</v>
      </c>
      <c r="B5" s="20" t="s">
        <v>322</v>
      </c>
      <c r="C5" s="20" t="s">
        <v>186</v>
      </c>
      <c r="D5" s="20" t="s">
        <v>185</v>
      </c>
      <c r="E5" s="20" t="s">
        <v>140</v>
      </c>
      <c r="F5" s="20" t="s">
        <v>187</v>
      </c>
      <c r="G5" s="20" t="s">
        <v>184</v>
      </c>
      <c r="H5" s="20" t="s">
        <v>410</v>
      </c>
      <c r="I5" s="6"/>
      <c r="J5" s="6"/>
      <c r="K5" s="6"/>
    </row>
    <row r="6">
      <c r="A6" s="6" t="s">
        <v>411</v>
      </c>
      <c r="B6" s="45">
        <f>'09 Market Expectations'!B7/'03 Normalized Earnings'!F10</f>
        <v>13.88526143</v>
      </c>
      <c r="C6" s="6" t="s">
        <v>412</v>
      </c>
      <c r="D6" s="6" t="s">
        <v>413</v>
      </c>
      <c r="E6" s="6" t="s">
        <v>414</v>
      </c>
      <c r="F6" s="6"/>
      <c r="G6" s="6" t="str">
        <f t="shared" ref="G6:G10" si="1">IF(B6="","Review","Review")</f>
        <v>Review</v>
      </c>
      <c r="H6" s="6"/>
      <c r="I6" s="6"/>
      <c r="J6" s="6"/>
      <c r="K6" s="6"/>
    </row>
    <row r="7">
      <c r="A7" s="6" t="s">
        <v>415</v>
      </c>
      <c r="B7" s="45">
        <f>'09 Market Expectations'!B11/'03 Normalized Earnings'!F16</f>
        <v>17.25776817</v>
      </c>
      <c r="C7" s="6" t="s">
        <v>416</v>
      </c>
      <c r="D7" s="6" t="s">
        <v>417</v>
      </c>
      <c r="E7" s="6" t="s">
        <v>414</v>
      </c>
      <c r="F7" s="6"/>
      <c r="G7" s="6" t="str">
        <f t="shared" si="1"/>
        <v>Review</v>
      </c>
      <c r="H7" s="6"/>
      <c r="I7" s="6"/>
      <c r="J7" s="6"/>
      <c r="K7" s="6"/>
    </row>
    <row r="8">
      <c r="A8" s="6" t="s">
        <v>418</v>
      </c>
      <c r="B8" s="45">
        <f>'09 Market Expectations'!B11/'03 Normalized Earnings'!F8</f>
        <v>11.41869838</v>
      </c>
      <c r="C8" s="6" t="s">
        <v>419</v>
      </c>
      <c r="D8" s="6" t="s">
        <v>420</v>
      </c>
      <c r="E8" s="6" t="s">
        <v>414</v>
      </c>
      <c r="F8" s="6"/>
      <c r="G8" s="6" t="str">
        <f t="shared" si="1"/>
        <v>Review</v>
      </c>
      <c r="H8" s="6"/>
      <c r="I8" s="6"/>
      <c r="J8" s="6"/>
      <c r="K8" s="6"/>
    </row>
    <row r="9">
      <c r="A9" s="6" t="s">
        <v>421</v>
      </c>
      <c r="B9" s="45">
        <f>'09 Market Expectations'!B11/'03 Normalized Earnings'!F6</f>
        <v>1.024833679</v>
      </c>
      <c r="C9" s="6" t="s">
        <v>422</v>
      </c>
      <c r="D9" s="6" t="s">
        <v>423</v>
      </c>
      <c r="E9" s="6" t="s">
        <v>414</v>
      </c>
      <c r="F9" s="6"/>
      <c r="G9" s="6" t="str">
        <f t="shared" si="1"/>
        <v>Review</v>
      </c>
      <c r="H9" s="6"/>
      <c r="I9" s="6"/>
      <c r="J9" s="6"/>
      <c r="K9" s="6"/>
    </row>
    <row r="10">
      <c r="A10" s="6" t="s">
        <v>424</v>
      </c>
      <c r="B10" s="45">
        <f>'06 Owner Earnings'!B9/'09 Market Expectations'!B7</f>
        <v>0.06353552844</v>
      </c>
      <c r="C10" s="6" t="s">
        <v>425</v>
      </c>
      <c r="D10" s="6" t="s">
        <v>426</v>
      </c>
      <c r="E10" s="6" t="s">
        <v>414</v>
      </c>
      <c r="F10" s="6"/>
      <c r="G10" s="6" t="str">
        <f t="shared" si="1"/>
        <v>Review</v>
      </c>
      <c r="H10" s="6"/>
      <c r="I10" s="6"/>
      <c r="J10" s="6"/>
      <c r="K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ht="19.5" customHeight="1">
      <c r="A13" s="9" t="s">
        <v>427</v>
      </c>
    </row>
    <row r="14">
      <c r="A14" s="20" t="s">
        <v>428</v>
      </c>
      <c r="B14" s="20" t="s">
        <v>7</v>
      </c>
      <c r="C14" s="20" t="s">
        <v>79</v>
      </c>
      <c r="D14" s="20" t="s">
        <v>429</v>
      </c>
      <c r="E14" s="20" t="s">
        <v>112</v>
      </c>
      <c r="F14" s="20" t="s">
        <v>430</v>
      </c>
      <c r="G14" s="20" t="s">
        <v>127</v>
      </c>
      <c r="H14" s="20" t="s">
        <v>431</v>
      </c>
      <c r="I14" s="20" t="s">
        <v>432</v>
      </c>
      <c r="J14" s="20" t="s">
        <v>433</v>
      </c>
      <c r="K14" s="20" t="s">
        <v>187</v>
      </c>
    </row>
    <row r="15">
      <c r="A15" s="7" t="s">
        <v>434</v>
      </c>
      <c r="B15" s="7" t="s">
        <v>435</v>
      </c>
      <c r="C15" s="46">
        <v>1164.5</v>
      </c>
      <c r="D15" s="46">
        <v>1316.0</v>
      </c>
      <c r="E15" s="46">
        <v>1475.0</v>
      </c>
      <c r="F15" s="46">
        <v>159.3</v>
      </c>
      <c r="G15" s="46">
        <v>105.0</v>
      </c>
      <c r="H15" s="47">
        <f t="shared" ref="H15:H19" si="2">IFERROR(D15/E15,"")</f>
        <v>0.8922033898</v>
      </c>
      <c r="I15" s="47">
        <f t="shared" ref="I15:I19" si="3">IFERROR(D15/F15,"")</f>
        <v>8.261142498</v>
      </c>
      <c r="J15" s="47">
        <f t="shared" ref="J15:J19" si="4">IFERROR(C15/G15,"")</f>
        <v>11.09047619</v>
      </c>
      <c r="K15" s="6" t="s">
        <v>436</v>
      </c>
    </row>
    <row r="16">
      <c r="A16" s="7" t="s">
        <v>437</v>
      </c>
      <c r="B16" s="7" t="s">
        <v>438</v>
      </c>
      <c r="C16" s="46">
        <v>322.4</v>
      </c>
      <c r="D16" s="46">
        <v>2245.0</v>
      </c>
      <c r="E16" s="46">
        <v>1828.7</v>
      </c>
      <c r="F16" s="46">
        <v>114.6</v>
      </c>
      <c r="G16" s="46">
        <v>41.3</v>
      </c>
      <c r="H16" s="47">
        <f t="shared" si="2"/>
        <v>1.227648056</v>
      </c>
      <c r="I16" s="47">
        <f t="shared" si="3"/>
        <v>19.58987784</v>
      </c>
      <c r="J16" s="47">
        <f t="shared" si="4"/>
        <v>7.8062954</v>
      </c>
      <c r="K16" s="6" t="s">
        <v>436</v>
      </c>
    </row>
    <row r="17">
      <c r="A17" s="7" t="s">
        <v>439</v>
      </c>
      <c r="B17" s="7" t="s">
        <v>440</v>
      </c>
      <c r="C17" s="46">
        <v>3793.4</v>
      </c>
      <c r="D17" s="46">
        <v>3710.0</v>
      </c>
      <c r="E17" s="46">
        <v>1908.0</v>
      </c>
      <c r="F17" s="46">
        <v>199.4</v>
      </c>
      <c r="G17" s="46">
        <v>167.3</v>
      </c>
      <c r="H17" s="47">
        <f t="shared" si="2"/>
        <v>1.944444444</v>
      </c>
      <c r="I17" s="47">
        <f t="shared" si="3"/>
        <v>18.60581745</v>
      </c>
      <c r="J17" s="47">
        <f t="shared" si="4"/>
        <v>22.6742379</v>
      </c>
      <c r="K17" s="6" t="s">
        <v>436</v>
      </c>
    </row>
    <row r="18">
      <c r="A18" s="7" t="s">
        <v>441</v>
      </c>
      <c r="B18" s="7" t="s">
        <v>442</v>
      </c>
      <c r="C18" s="46">
        <v>13381.7</v>
      </c>
      <c r="D18" s="46">
        <v>15190.0</v>
      </c>
      <c r="E18" s="46">
        <v>12100.0</v>
      </c>
      <c r="F18" s="46">
        <v>719.0</v>
      </c>
      <c r="G18" s="46">
        <v>478.2</v>
      </c>
      <c r="H18" s="47">
        <f t="shared" si="2"/>
        <v>1.255371901</v>
      </c>
      <c r="I18" s="47">
        <f t="shared" si="3"/>
        <v>21.12656467</v>
      </c>
      <c r="J18" s="47">
        <f t="shared" si="4"/>
        <v>27.98347972</v>
      </c>
      <c r="K18" s="6" t="s">
        <v>436</v>
      </c>
    </row>
    <row r="19">
      <c r="A19" s="7" t="s">
        <v>443</v>
      </c>
      <c r="B19" s="7" t="s">
        <v>444</v>
      </c>
      <c r="C19" s="46">
        <v>5060.0</v>
      </c>
      <c r="D19" s="46">
        <v>12420.0</v>
      </c>
      <c r="E19" s="46">
        <v>8158.1</v>
      </c>
      <c r="F19" s="46">
        <v>799.3</v>
      </c>
      <c r="G19" s="46">
        <v>335.7</v>
      </c>
      <c r="H19" s="47">
        <f t="shared" si="2"/>
        <v>1.522413307</v>
      </c>
      <c r="I19" s="47">
        <f t="shared" si="3"/>
        <v>15.53859627</v>
      </c>
      <c r="J19" s="47">
        <f t="shared" si="4"/>
        <v>15.07298183</v>
      </c>
      <c r="K19" s="6" t="s">
        <v>436</v>
      </c>
    </row>
    <row r="20">
      <c r="A20" s="6" t="s">
        <v>40</v>
      </c>
      <c r="B20" s="6"/>
      <c r="C20" s="6"/>
      <c r="D20" s="6"/>
      <c r="E20" s="6"/>
      <c r="F20" s="6"/>
      <c r="G20" s="6"/>
      <c r="H20" s="47">
        <f t="shared" ref="H20:J20" si="5">MEDIAN(H15:H19)</f>
        <v>1.255371901</v>
      </c>
      <c r="I20" s="47">
        <f t="shared" si="5"/>
        <v>18.60581745</v>
      </c>
      <c r="J20" s="47">
        <f t="shared" si="5"/>
        <v>15.07298183</v>
      </c>
      <c r="K20" s="6" t="s">
        <v>349</v>
      </c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ht="19.5" customHeight="1">
      <c r="A23" s="9" t="s">
        <v>445</v>
      </c>
    </row>
    <row r="24" ht="33.75" customHeight="1">
      <c r="A24" s="6" t="s">
        <v>446</v>
      </c>
      <c r="B24" s="41">
        <f>(I20*'03 Normalized Earnings'!F8+'00 Control'!B12+'00 Control'!B14-'00 Control'!B13)/'00 Control'!B11</f>
        <v>131.7466999</v>
      </c>
      <c r="C24" s="6" t="s">
        <v>447</v>
      </c>
      <c r="E24" s="6"/>
      <c r="F24" s="6"/>
      <c r="G24" s="6"/>
      <c r="H24" s="6"/>
      <c r="I24" s="6"/>
      <c r="J24" s="6"/>
      <c r="K24" s="6"/>
    </row>
    <row r="25" ht="33.75" customHeight="1">
      <c r="A25" s="6" t="s">
        <v>448</v>
      </c>
      <c r="B25" s="41">
        <f>(H20*'03 Normalized Earnings'!F6+'00 Control'!B12+'00 Control'!B14-'00 Control'!B13)/'00 Control'!B11</f>
        <v>97.17679726</v>
      </c>
      <c r="C25" s="6" t="s">
        <v>449</v>
      </c>
      <c r="E25" s="6"/>
      <c r="F25" s="6"/>
      <c r="G25" s="6"/>
      <c r="H25" s="6"/>
      <c r="I25" s="6"/>
      <c r="J25" s="6"/>
      <c r="K25" s="6"/>
    </row>
    <row r="26" ht="33.75" customHeight="1">
      <c r="A26" s="6" t="s">
        <v>450</v>
      </c>
      <c r="B26" s="41">
        <f>J20*'03 Normalized Earnings'!F10/'00 Control'!B11</f>
        <v>84.61770344</v>
      </c>
      <c r="C26" s="6" t="s">
        <v>451</v>
      </c>
      <c r="E26" s="6"/>
      <c r="F26" s="6"/>
      <c r="G26" s="6"/>
      <c r="H26" s="6"/>
      <c r="I26" s="6"/>
      <c r="J26" s="6"/>
      <c r="K26" s="6"/>
    </row>
    <row r="27" ht="33.75" customHeight="1">
      <c r="A27" s="6" t="s">
        <v>82</v>
      </c>
      <c r="B27" s="41">
        <f>'07 EPV Calculation'!E20</f>
        <v>44.61184636</v>
      </c>
      <c r="C27" s="6" t="s">
        <v>374</v>
      </c>
      <c r="D27" s="6"/>
      <c r="E27" s="6"/>
      <c r="F27" s="6"/>
      <c r="G27" s="6"/>
      <c r="H27" s="6"/>
      <c r="I27" s="6"/>
      <c r="J27" s="6"/>
      <c r="K27" s="6"/>
    </row>
    <row r="28" ht="33.75" customHeight="1">
      <c r="A28" s="6" t="s">
        <v>452</v>
      </c>
      <c r="B28" s="38" t="str">
        <f>IF(ABS(B24/B27-1)&gt;0.3,"Large gap vs peers; investigate comparability","No major gap")</f>
        <v>Large gap vs peers; investigate comparability</v>
      </c>
      <c r="C28" s="6" t="s">
        <v>185</v>
      </c>
      <c r="D28" s="6"/>
      <c r="E28" s="6"/>
      <c r="F28" s="6"/>
      <c r="G28" s="6"/>
      <c r="H28" s="6"/>
      <c r="I28" s="6"/>
      <c r="J28" s="6"/>
      <c r="K28" s="6"/>
    </row>
    <row r="29" ht="33.75" customHeight="1">
      <c r="A29" s="6" t="s">
        <v>361</v>
      </c>
      <c r="B29" s="38" t="s">
        <v>453</v>
      </c>
      <c r="C29" s="6" t="s">
        <v>454</v>
      </c>
      <c r="E29" s="6"/>
      <c r="F29" s="6"/>
      <c r="G29" s="6"/>
      <c r="H29" s="6"/>
      <c r="I29" s="6"/>
      <c r="J29" s="6"/>
      <c r="K29" s="6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C26:D26"/>
    <mergeCell ref="C29:D29"/>
    <mergeCell ref="A1:K1"/>
    <mergeCell ref="A2:K2"/>
    <mergeCell ref="A4:H4"/>
    <mergeCell ref="A13:K13"/>
    <mergeCell ref="A23:K23"/>
    <mergeCell ref="C24:D24"/>
    <mergeCell ref="C25:D25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455</v>
      </c>
    </row>
    <row r="2">
      <c r="A2" s="2" t="s">
        <v>456</v>
      </c>
    </row>
    <row r="4" ht="19.5" customHeight="1">
      <c r="A4" s="3" t="s">
        <v>457</v>
      </c>
    </row>
    <row r="5">
      <c r="A5" s="48" t="s">
        <v>458</v>
      </c>
      <c r="B5" s="48" t="s">
        <v>459</v>
      </c>
      <c r="C5" s="48" t="s">
        <v>460</v>
      </c>
      <c r="D5" s="48" t="s">
        <v>461</v>
      </c>
      <c r="E5" s="48" t="s">
        <v>462</v>
      </c>
      <c r="F5" s="48" t="s">
        <v>463</v>
      </c>
      <c r="G5" s="48" t="s">
        <v>464</v>
      </c>
      <c r="H5" s="48" t="s">
        <v>465</v>
      </c>
    </row>
    <row r="6">
      <c r="A6" s="49">
        <v>-0.2</v>
      </c>
      <c r="B6" s="50">
        <f>(('07 EPV Calculation'!$B$12*(1+$A6)/0.07)+'00 Control'!$B$12+'00 Control'!$B$14-'00 Control'!$B$13)/'00 Control'!$B$11</f>
        <v>49.08035262</v>
      </c>
      <c r="C6" s="50">
        <f>(('07 EPV Calculation'!$B$12*(1+$A6)/0.08)+'00 Control'!$B$12+'00 Control'!$B$14-'00 Control'!$B$13)/'00 Control'!$B$11</f>
        <v>42.0052177</v>
      </c>
      <c r="D6" s="50">
        <f>(('07 EPV Calculation'!$B$12*(1+$A6)/0.09)+'00 Control'!$B$12+'00 Control'!$B$14-'00 Control'!$B$13)/'00 Control'!$B$11</f>
        <v>36.50233499</v>
      </c>
      <c r="E6" s="50">
        <f>(('07 EPV Calculation'!$B$12*(1+$A6)/0.1)+'00 Control'!$B$12+'00 Control'!$B$14-'00 Control'!$B$13)/'00 Control'!$B$11</f>
        <v>32.10002882</v>
      </c>
      <c r="F6" s="50">
        <f>(('07 EPV Calculation'!$B$12*(1+$A6)/0.11)+'00 Control'!$B$12+'00 Control'!$B$14-'00 Control'!$B$13)/'00 Control'!$B$11</f>
        <v>28.49814195</v>
      </c>
      <c r="G6" s="50">
        <f>(('07 EPV Calculation'!$B$12*(1+$A6)/0.12)+'00 Control'!$B$12+'00 Control'!$B$14-'00 Control'!$B$13)/'00 Control'!$B$11</f>
        <v>25.49656956</v>
      </c>
      <c r="H6" s="50">
        <f>(('07 EPV Calculation'!$B$12*(1+$A6)/0.13)+'00 Control'!$B$12+'00 Control'!$B$14-'00 Control'!$B$13)/'00 Control'!$B$11</f>
        <v>22.95677754</v>
      </c>
    </row>
    <row r="7">
      <c r="A7" s="49">
        <v>-0.1</v>
      </c>
      <c r="B7" s="50">
        <f>(('07 EPV Calculation'!$B$12*(1+$A7)/0.07)+'00 Control'!$B$12+'00 Control'!$B$14-'00 Control'!$B$13)/'00 Control'!$B$11</f>
        <v>56.15548754</v>
      </c>
      <c r="C7" s="50">
        <f>(('07 EPV Calculation'!$B$12*(1+$A7)/0.08)+'00 Control'!$B$12+'00 Control'!$B$14-'00 Control'!$B$13)/'00 Control'!$B$11</f>
        <v>48.19596076</v>
      </c>
      <c r="D7" s="50">
        <f>(('07 EPV Calculation'!$B$12*(1+$A7)/0.09)+'00 Control'!$B$12+'00 Control'!$B$14-'00 Control'!$B$13)/'00 Control'!$B$11</f>
        <v>42.0052177</v>
      </c>
      <c r="E7" s="50">
        <f>(('07 EPV Calculation'!$B$12*(1+$A7)/0.1)+'00 Control'!$B$12+'00 Control'!$B$14-'00 Control'!$B$13)/'00 Control'!$B$11</f>
        <v>37.05262326</v>
      </c>
      <c r="F7" s="50">
        <f>(('07 EPV Calculation'!$B$12*(1+$A7)/0.11)+'00 Control'!$B$12+'00 Control'!$B$14-'00 Control'!$B$13)/'00 Control'!$B$11</f>
        <v>33.00050054</v>
      </c>
      <c r="G7" s="50">
        <f>(('07 EPV Calculation'!$B$12*(1+$A7)/0.12)+'00 Control'!$B$12+'00 Control'!$B$14-'00 Control'!$B$13)/'00 Control'!$B$11</f>
        <v>29.6237316</v>
      </c>
      <c r="H7" s="50">
        <f>(('07 EPV Calculation'!$B$12*(1+$A7)/0.13)+'00 Control'!$B$12+'00 Control'!$B$14-'00 Control'!$B$13)/'00 Control'!$B$11</f>
        <v>26.76646557</v>
      </c>
    </row>
    <row r="8">
      <c r="A8" s="49">
        <v>-0.05</v>
      </c>
      <c r="B8" s="50">
        <f>(('07 EPV Calculation'!$B$12*(1+$A8)/0.07)+'00 Control'!$B$12+'00 Control'!$B$14-'00 Control'!$B$13)/'00 Control'!$B$11</f>
        <v>59.693055</v>
      </c>
      <c r="C8" s="50">
        <f>(('07 EPV Calculation'!$B$12*(1+$A8)/0.08)+'00 Control'!$B$12+'00 Control'!$B$14-'00 Control'!$B$13)/'00 Control'!$B$11</f>
        <v>51.29133228</v>
      </c>
      <c r="D8" s="50">
        <f>(('07 EPV Calculation'!$B$12*(1+$A8)/0.09)+'00 Control'!$B$12+'00 Control'!$B$14-'00 Control'!$B$13)/'00 Control'!$B$11</f>
        <v>44.75665906</v>
      </c>
      <c r="E8" s="50">
        <f>(('07 EPV Calculation'!$B$12*(1+$A8)/0.1)+'00 Control'!$B$12+'00 Control'!$B$14-'00 Control'!$B$13)/'00 Control'!$B$11</f>
        <v>39.52892048</v>
      </c>
      <c r="F8" s="50">
        <f>(('07 EPV Calculation'!$B$12*(1+$A8)/0.11)+'00 Control'!$B$12+'00 Control'!$B$14-'00 Control'!$B$13)/'00 Control'!$B$11</f>
        <v>35.25167983</v>
      </c>
      <c r="G8" s="50">
        <f>(('07 EPV Calculation'!$B$12*(1+$A8)/0.12)+'00 Control'!$B$12+'00 Control'!$B$14-'00 Control'!$B$13)/'00 Control'!$B$11</f>
        <v>31.68731262</v>
      </c>
      <c r="H8" s="50">
        <f>(('07 EPV Calculation'!$B$12*(1+$A8)/0.13)+'00 Control'!$B$12+'00 Control'!$B$14-'00 Control'!$B$13)/'00 Control'!$B$11</f>
        <v>28.67130959</v>
      </c>
    </row>
    <row r="9">
      <c r="A9" s="49">
        <v>0.0</v>
      </c>
      <c r="B9" s="50">
        <f>(('07 EPV Calculation'!$B$12*(1+$A9)/0.07)+'00 Control'!$B$12+'00 Control'!$B$14-'00 Control'!$B$13)/'00 Control'!$B$11</f>
        <v>63.23062245</v>
      </c>
      <c r="C9" s="50">
        <f>(('07 EPV Calculation'!$B$12*(1+$A9)/0.08)+'00 Control'!$B$12+'00 Control'!$B$14-'00 Control'!$B$13)/'00 Control'!$B$11</f>
        <v>54.38670381</v>
      </c>
      <c r="D9" s="50">
        <f>(('07 EPV Calculation'!$B$12*(1+$A9)/0.09)+'00 Control'!$B$12+'00 Control'!$B$14-'00 Control'!$B$13)/'00 Control'!$B$11</f>
        <v>47.50810042</v>
      </c>
      <c r="E9" s="50">
        <f>(('07 EPV Calculation'!$B$12*(1+$A9)/0.1)+'00 Control'!$B$12+'00 Control'!$B$14-'00 Control'!$B$13)/'00 Control'!$B$11</f>
        <v>42.0052177</v>
      </c>
      <c r="F9" s="50">
        <f>(('07 EPV Calculation'!$B$12*(1+$A9)/0.11)+'00 Control'!$B$12+'00 Control'!$B$14-'00 Control'!$B$13)/'00 Control'!$B$11</f>
        <v>37.50285912</v>
      </c>
      <c r="G9" s="50">
        <f>(('07 EPV Calculation'!$B$12*(1+$A9)/0.12)+'00 Control'!$B$12+'00 Control'!$B$14-'00 Control'!$B$13)/'00 Control'!$B$11</f>
        <v>33.75089363</v>
      </c>
      <c r="H9" s="50">
        <f>(('07 EPV Calculation'!$B$12*(1+$A9)/0.13)+'00 Control'!$B$12+'00 Control'!$B$14-'00 Control'!$B$13)/'00 Control'!$B$11</f>
        <v>30.57615361</v>
      </c>
    </row>
    <row r="10">
      <c r="A10" s="49">
        <v>0.05</v>
      </c>
      <c r="B10" s="50">
        <f>(('07 EPV Calculation'!$B$12*(1+$A10)/0.07)+'00 Control'!$B$12+'00 Control'!$B$14-'00 Control'!$B$13)/'00 Control'!$B$11</f>
        <v>66.76818991</v>
      </c>
      <c r="C10" s="50">
        <f>(('07 EPV Calculation'!$B$12*(1+$A10)/0.08)+'00 Control'!$B$12+'00 Control'!$B$14-'00 Control'!$B$13)/'00 Control'!$B$11</f>
        <v>57.48207533</v>
      </c>
      <c r="D10" s="50">
        <f>(('07 EPV Calculation'!$B$12*(1+$A10)/0.09)+'00 Control'!$B$12+'00 Control'!$B$14-'00 Control'!$B$13)/'00 Control'!$B$11</f>
        <v>50.25954177</v>
      </c>
      <c r="E10" s="50">
        <f>(('07 EPV Calculation'!$B$12*(1+$A10)/0.1)+'00 Control'!$B$12+'00 Control'!$B$14-'00 Control'!$B$13)/'00 Control'!$B$11</f>
        <v>44.48151492</v>
      </c>
      <c r="F10" s="50">
        <f>(('07 EPV Calculation'!$B$12*(1+$A10)/0.11)+'00 Control'!$B$12+'00 Control'!$B$14-'00 Control'!$B$13)/'00 Control'!$B$11</f>
        <v>39.75403841</v>
      </c>
      <c r="G10" s="50">
        <f>(('07 EPV Calculation'!$B$12*(1+$A10)/0.12)+'00 Control'!$B$12+'00 Control'!$B$14-'00 Control'!$B$13)/'00 Control'!$B$11</f>
        <v>35.81447465</v>
      </c>
      <c r="H10" s="50">
        <f>(('07 EPV Calculation'!$B$12*(1+$A10)/0.13)+'00 Control'!$B$12+'00 Control'!$B$14-'00 Control'!$B$13)/'00 Control'!$B$11</f>
        <v>32.48099762</v>
      </c>
    </row>
    <row r="11">
      <c r="A11" s="49">
        <v>0.1</v>
      </c>
      <c r="B11" s="50">
        <f>(('07 EPV Calculation'!$B$12*(1+$A11)/0.07)+'00 Control'!$B$12+'00 Control'!$B$14-'00 Control'!$B$13)/'00 Control'!$B$11</f>
        <v>70.30575737</v>
      </c>
      <c r="C11" s="50">
        <f>(('07 EPV Calculation'!$B$12*(1+$A11)/0.08)+'00 Control'!$B$12+'00 Control'!$B$14-'00 Control'!$B$13)/'00 Control'!$B$11</f>
        <v>60.57744686</v>
      </c>
      <c r="D11" s="50">
        <f>(('07 EPV Calculation'!$B$12*(1+$A11)/0.09)+'00 Control'!$B$12+'00 Control'!$B$14-'00 Control'!$B$13)/'00 Control'!$B$11</f>
        <v>53.01098313</v>
      </c>
      <c r="E11" s="50">
        <f>(('07 EPV Calculation'!$B$12*(1+$A11)/0.1)+'00 Control'!$B$12+'00 Control'!$B$14-'00 Control'!$B$13)/'00 Control'!$B$11</f>
        <v>46.95781214</v>
      </c>
      <c r="F11" s="50">
        <f>(('07 EPV Calculation'!$B$12*(1+$A11)/0.11)+'00 Control'!$B$12+'00 Control'!$B$14-'00 Control'!$B$13)/'00 Control'!$B$11</f>
        <v>42.0052177</v>
      </c>
      <c r="G11" s="50">
        <f>(('07 EPV Calculation'!$B$12*(1+$A11)/0.12)+'00 Control'!$B$12+'00 Control'!$B$14-'00 Control'!$B$13)/'00 Control'!$B$11</f>
        <v>37.87805567</v>
      </c>
      <c r="H11" s="50">
        <f>(('07 EPV Calculation'!$B$12*(1+$A11)/0.13)+'00 Control'!$B$12+'00 Control'!$B$14-'00 Control'!$B$13)/'00 Control'!$B$11</f>
        <v>34.38584164</v>
      </c>
    </row>
    <row r="12">
      <c r="A12" s="49">
        <v>0.2</v>
      </c>
      <c r="B12" s="50">
        <f>(('07 EPV Calculation'!$B$12*(1+$A12)/0.07)+'00 Control'!$B$12+'00 Control'!$B$14-'00 Control'!$B$13)/'00 Control'!$B$11</f>
        <v>77.38089229</v>
      </c>
      <c r="C12" s="50">
        <f>(('07 EPV Calculation'!$B$12*(1+$A12)/0.08)+'00 Control'!$B$12+'00 Control'!$B$14-'00 Control'!$B$13)/'00 Control'!$B$11</f>
        <v>66.76818991</v>
      </c>
      <c r="D12" s="50">
        <f>(('07 EPV Calculation'!$B$12*(1+$A12)/0.09)+'00 Control'!$B$12+'00 Control'!$B$14-'00 Control'!$B$13)/'00 Control'!$B$11</f>
        <v>58.51386584</v>
      </c>
      <c r="E12" s="50">
        <f>(('07 EPV Calculation'!$B$12*(1+$A12)/0.1)+'00 Control'!$B$12+'00 Control'!$B$14-'00 Control'!$B$13)/'00 Control'!$B$11</f>
        <v>51.91040659</v>
      </c>
      <c r="F12" s="50">
        <f>(('07 EPV Calculation'!$B$12*(1+$A12)/0.11)+'00 Control'!$B$12+'00 Control'!$B$14-'00 Control'!$B$13)/'00 Control'!$B$11</f>
        <v>46.50757629</v>
      </c>
      <c r="G12" s="50">
        <f>(('07 EPV Calculation'!$B$12*(1+$A12)/0.12)+'00 Control'!$B$12+'00 Control'!$B$14-'00 Control'!$B$13)/'00 Control'!$B$11</f>
        <v>42.0052177</v>
      </c>
      <c r="H12" s="50">
        <f>(('07 EPV Calculation'!$B$12*(1+$A12)/0.13)+'00 Control'!$B$12+'00 Control'!$B$14-'00 Control'!$B$13)/'00 Control'!$B$11</f>
        <v>38.19552967</v>
      </c>
    </row>
    <row r="15" ht="19.5" customHeight="1">
      <c r="A15" s="3" t="s">
        <v>466</v>
      </c>
    </row>
    <row r="16">
      <c r="A16" s="48" t="s">
        <v>458</v>
      </c>
      <c r="B16" s="48" t="s">
        <v>459</v>
      </c>
      <c r="C16" s="48" t="s">
        <v>460</v>
      </c>
      <c r="D16" s="48" t="s">
        <v>461</v>
      </c>
      <c r="E16" s="48" t="s">
        <v>462</v>
      </c>
      <c r="F16" s="48" t="s">
        <v>463</v>
      </c>
      <c r="G16" s="48" t="s">
        <v>464</v>
      </c>
      <c r="H16" s="48" t="s">
        <v>465</v>
      </c>
    </row>
    <row r="17">
      <c r="A17" s="49">
        <v>-0.2</v>
      </c>
      <c r="B17" s="50">
        <f>((('07 EPV Calculation'!$B$12*(1+$A17)/0.07)+'00 Control'!$B$12+'00 Control'!$B$14-'00 Control'!$B$13)/'00 Control'!$B$11)*(1-'00 Control'!$B$21)</f>
        <v>39.2642821</v>
      </c>
      <c r="C17" s="50">
        <f>((('07 EPV Calculation'!$B$12*(1+$A17)/0.08)+'00 Control'!$B$12+'00 Control'!$B$14-'00 Control'!$B$13)/'00 Control'!$B$11)*(1-'00 Control'!$B$21)</f>
        <v>33.60417416</v>
      </c>
      <c r="D17" s="50">
        <f>((('07 EPV Calculation'!$B$12*(1+$A17)/0.09)+'00 Control'!$B$12+'00 Control'!$B$14-'00 Control'!$B$13)/'00 Control'!$B$11)*(1-'00 Control'!$B$21)</f>
        <v>29.20186799</v>
      </c>
      <c r="E17" s="50">
        <f>((('07 EPV Calculation'!$B$12*(1+$A17)/0.1)+'00 Control'!$B$12+'00 Control'!$B$14-'00 Control'!$B$13)/'00 Control'!$B$11)*(1-'00 Control'!$B$21)</f>
        <v>25.68002306</v>
      </c>
      <c r="F17" s="50">
        <f>((('07 EPV Calculation'!$B$12*(1+$A17)/0.11)+'00 Control'!$B$12+'00 Control'!$B$14-'00 Control'!$B$13)/'00 Control'!$B$11)*(1-'00 Control'!$B$21)</f>
        <v>22.79851356</v>
      </c>
      <c r="G17" s="50">
        <f>((('07 EPV Calculation'!$B$12*(1+$A17)/0.12)+'00 Control'!$B$12+'00 Control'!$B$14-'00 Control'!$B$13)/'00 Control'!$B$11)*(1-'00 Control'!$B$21)</f>
        <v>20.39725565</v>
      </c>
      <c r="H17" s="50">
        <f>((('07 EPV Calculation'!$B$12*(1+$A17)/0.13)+'00 Control'!$B$12+'00 Control'!$B$14-'00 Control'!$B$13)/'00 Control'!$B$11)*(1-'00 Control'!$B$21)</f>
        <v>18.36542203</v>
      </c>
    </row>
    <row r="18">
      <c r="A18" s="49">
        <v>-0.1</v>
      </c>
      <c r="B18" s="50">
        <f>((('07 EPV Calculation'!$B$12*(1+$A18)/0.07)+'00 Control'!$B$12+'00 Control'!$B$14-'00 Control'!$B$13)/'00 Control'!$B$11)*(1-'00 Control'!$B$21)</f>
        <v>44.92439003</v>
      </c>
      <c r="C18" s="50">
        <f>((('07 EPV Calculation'!$B$12*(1+$A18)/0.08)+'00 Control'!$B$12+'00 Control'!$B$14-'00 Control'!$B$13)/'00 Control'!$B$11)*(1-'00 Control'!$B$21)</f>
        <v>38.5567686</v>
      </c>
      <c r="D18" s="50">
        <f>((('07 EPV Calculation'!$B$12*(1+$A18)/0.09)+'00 Control'!$B$12+'00 Control'!$B$14-'00 Control'!$B$13)/'00 Control'!$B$11)*(1-'00 Control'!$B$21)</f>
        <v>33.60417416</v>
      </c>
      <c r="E18" s="50">
        <f>((('07 EPV Calculation'!$B$12*(1+$A18)/0.1)+'00 Control'!$B$12+'00 Control'!$B$14-'00 Control'!$B$13)/'00 Control'!$B$11)*(1-'00 Control'!$B$21)</f>
        <v>29.64209861</v>
      </c>
      <c r="F18" s="50">
        <f>((('07 EPV Calculation'!$B$12*(1+$A18)/0.11)+'00 Control'!$B$12+'00 Control'!$B$14-'00 Control'!$B$13)/'00 Control'!$B$11)*(1-'00 Control'!$B$21)</f>
        <v>26.40040043</v>
      </c>
      <c r="G18" s="50">
        <f>((('07 EPV Calculation'!$B$12*(1+$A18)/0.12)+'00 Control'!$B$12+'00 Control'!$B$14-'00 Control'!$B$13)/'00 Control'!$B$11)*(1-'00 Control'!$B$21)</f>
        <v>23.69898528</v>
      </c>
      <c r="H18" s="50">
        <f>((('07 EPV Calculation'!$B$12*(1+$A18)/0.13)+'00 Control'!$B$12+'00 Control'!$B$14-'00 Control'!$B$13)/'00 Control'!$B$11)*(1-'00 Control'!$B$21)</f>
        <v>21.41317246</v>
      </c>
    </row>
    <row r="19">
      <c r="A19" s="49">
        <v>-0.05</v>
      </c>
      <c r="B19" s="50">
        <f>((('07 EPV Calculation'!$B$12*(1+$A19)/0.07)+'00 Control'!$B$12+'00 Control'!$B$14-'00 Control'!$B$13)/'00 Control'!$B$11)*(1-'00 Control'!$B$21)</f>
        <v>47.754444</v>
      </c>
      <c r="C19" s="50">
        <f>((('07 EPV Calculation'!$B$12*(1+$A19)/0.08)+'00 Control'!$B$12+'00 Control'!$B$14-'00 Control'!$B$13)/'00 Control'!$B$11)*(1-'00 Control'!$B$21)</f>
        <v>41.03306583</v>
      </c>
      <c r="D19" s="50">
        <f>((('07 EPV Calculation'!$B$12*(1+$A19)/0.09)+'00 Control'!$B$12+'00 Control'!$B$14-'00 Control'!$B$13)/'00 Control'!$B$11)*(1-'00 Control'!$B$21)</f>
        <v>35.80532725</v>
      </c>
      <c r="E19" s="50">
        <f>((('07 EPV Calculation'!$B$12*(1+$A19)/0.1)+'00 Control'!$B$12+'00 Control'!$B$14-'00 Control'!$B$13)/'00 Control'!$B$11)*(1-'00 Control'!$B$21)</f>
        <v>31.62313639</v>
      </c>
      <c r="F19" s="50">
        <f>((('07 EPV Calculation'!$B$12*(1+$A19)/0.11)+'00 Control'!$B$12+'00 Control'!$B$14-'00 Control'!$B$13)/'00 Control'!$B$11)*(1-'00 Control'!$B$21)</f>
        <v>28.20134386</v>
      </c>
      <c r="G19" s="50">
        <f>((('07 EPV Calculation'!$B$12*(1+$A19)/0.12)+'00 Control'!$B$12+'00 Control'!$B$14-'00 Control'!$B$13)/'00 Control'!$B$11)*(1-'00 Control'!$B$21)</f>
        <v>25.34985009</v>
      </c>
      <c r="H19" s="50">
        <f>((('07 EPV Calculation'!$B$12*(1+$A19)/0.13)+'00 Control'!$B$12+'00 Control'!$B$14-'00 Control'!$B$13)/'00 Control'!$B$11)*(1-'00 Control'!$B$21)</f>
        <v>22.93704767</v>
      </c>
    </row>
    <row r="20">
      <c r="A20" s="49">
        <v>0.0</v>
      </c>
      <c r="B20" s="50">
        <f>((('07 EPV Calculation'!$B$12*(1+$A20)/0.07)+'00 Control'!$B$12+'00 Control'!$B$14-'00 Control'!$B$13)/'00 Control'!$B$11)*(1-'00 Control'!$B$21)</f>
        <v>50.58449796</v>
      </c>
      <c r="C20" s="50">
        <f>((('07 EPV Calculation'!$B$12*(1+$A20)/0.08)+'00 Control'!$B$12+'00 Control'!$B$14-'00 Control'!$B$13)/'00 Control'!$B$11)*(1-'00 Control'!$B$21)</f>
        <v>43.50936305</v>
      </c>
      <c r="D20" s="50">
        <f>((('07 EPV Calculation'!$B$12*(1+$A20)/0.09)+'00 Control'!$B$12+'00 Control'!$B$14-'00 Control'!$B$13)/'00 Control'!$B$11)*(1-'00 Control'!$B$21)</f>
        <v>38.00648033</v>
      </c>
      <c r="E20" s="50">
        <f>((('07 EPV Calculation'!$B$12*(1+$A20)/0.1)+'00 Control'!$B$12+'00 Control'!$B$14-'00 Control'!$B$13)/'00 Control'!$B$11)*(1-'00 Control'!$B$21)</f>
        <v>33.60417416</v>
      </c>
      <c r="F20" s="50">
        <f>((('07 EPV Calculation'!$B$12*(1+$A20)/0.11)+'00 Control'!$B$12+'00 Control'!$B$14-'00 Control'!$B$13)/'00 Control'!$B$11)*(1-'00 Control'!$B$21)</f>
        <v>30.0022873</v>
      </c>
      <c r="G20" s="50">
        <f>((('07 EPV Calculation'!$B$12*(1+$A20)/0.12)+'00 Control'!$B$12+'00 Control'!$B$14-'00 Control'!$B$13)/'00 Control'!$B$11)*(1-'00 Control'!$B$21)</f>
        <v>27.00071491</v>
      </c>
      <c r="H20" s="50">
        <f>((('07 EPV Calculation'!$B$12*(1+$A20)/0.13)+'00 Control'!$B$12+'00 Control'!$B$14-'00 Control'!$B$13)/'00 Control'!$B$11)*(1-'00 Control'!$B$21)</f>
        <v>24.46092289</v>
      </c>
    </row>
    <row r="21" ht="15.75" customHeight="1">
      <c r="A21" s="49">
        <v>0.05</v>
      </c>
      <c r="B21" s="50">
        <f>((('07 EPV Calculation'!$B$12*(1+$A21)/0.07)+'00 Control'!$B$12+'00 Control'!$B$14-'00 Control'!$B$13)/'00 Control'!$B$11)*(1-'00 Control'!$B$21)</f>
        <v>53.41455193</v>
      </c>
      <c r="C21" s="50">
        <f>((('07 EPV Calculation'!$B$12*(1+$A21)/0.08)+'00 Control'!$B$12+'00 Control'!$B$14-'00 Control'!$B$13)/'00 Control'!$B$11)*(1-'00 Control'!$B$21)</f>
        <v>45.98566027</v>
      </c>
      <c r="D21" s="50">
        <f>((('07 EPV Calculation'!$B$12*(1+$A21)/0.09)+'00 Control'!$B$12+'00 Control'!$B$14-'00 Control'!$B$13)/'00 Control'!$B$11)*(1-'00 Control'!$B$21)</f>
        <v>40.20763342</v>
      </c>
      <c r="E21" s="50">
        <f>((('07 EPV Calculation'!$B$12*(1+$A21)/0.1)+'00 Control'!$B$12+'00 Control'!$B$14-'00 Control'!$B$13)/'00 Control'!$B$11)*(1-'00 Control'!$B$21)</f>
        <v>35.58521194</v>
      </c>
      <c r="F21" s="50">
        <f>((('07 EPV Calculation'!$B$12*(1+$A21)/0.11)+'00 Control'!$B$12+'00 Control'!$B$14-'00 Control'!$B$13)/'00 Control'!$B$11)*(1-'00 Control'!$B$21)</f>
        <v>31.80323073</v>
      </c>
      <c r="G21" s="50">
        <f>((('07 EPV Calculation'!$B$12*(1+$A21)/0.12)+'00 Control'!$B$12+'00 Control'!$B$14-'00 Control'!$B$13)/'00 Control'!$B$11)*(1-'00 Control'!$B$21)</f>
        <v>28.65157972</v>
      </c>
      <c r="H21" s="50">
        <f>((('07 EPV Calculation'!$B$12*(1+$A21)/0.13)+'00 Control'!$B$12+'00 Control'!$B$14-'00 Control'!$B$13)/'00 Control'!$B$11)*(1-'00 Control'!$B$21)</f>
        <v>25.9847981</v>
      </c>
    </row>
    <row r="22" ht="15.75" customHeight="1">
      <c r="A22" s="49">
        <v>0.1</v>
      </c>
      <c r="B22" s="50">
        <f>((('07 EPV Calculation'!$B$12*(1+$A22)/0.07)+'00 Control'!$B$12+'00 Control'!$B$14-'00 Control'!$B$13)/'00 Control'!$B$11)*(1-'00 Control'!$B$21)</f>
        <v>56.2446059</v>
      </c>
      <c r="C22" s="50">
        <f>((('07 EPV Calculation'!$B$12*(1+$A22)/0.08)+'00 Control'!$B$12+'00 Control'!$B$14-'00 Control'!$B$13)/'00 Control'!$B$11)*(1-'00 Control'!$B$21)</f>
        <v>48.46195749</v>
      </c>
      <c r="D22" s="50">
        <f>((('07 EPV Calculation'!$B$12*(1+$A22)/0.09)+'00 Control'!$B$12+'00 Control'!$B$14-'00 Control'!$B$13)/'00 Control'!$B$11)*(1-'00 Control'!$B$21)</f>
        <v>42.4087865</v>
      </c>
      <c r="E22" s="50">
        <f>((('07 EPV Calculation'!$B$12*(1+$A22)/0.1)+'00 Control'!$B$12+'00 Control'!$B$14-'00 Control'!$B$13)/'00 Control'!$B$11)*(1-'00 Control'!$B$21)</f>
        <v>37.56624972</v>
      </c>
      <c r="F22" s="50">
        <f>((('07 EPV Calculation'!$B$12*(1+$A22)/0.11)+'00 Control'!$B$12+'00 Control'!$B$14-'00 Control'!$B$13)/'00 Control'!$B$11)*(1-'00 Control'!$B$21)</f>
        <v>33.60417416</v>
      </c>
      <c r="G22" s="50">
        <f>((('07 EPV Calculation'!$B$12*(1+$A22)/0.12)+'00 Control'!$B$12+'00 Control'!$B$14-'00 Control'!$B$13)/'00 Control'!$B$11)*(1-'00 Control'!$B$21)</f>
        <v>30.30244453</v>
      </c>
      <c r="H22" s="50">
        <f>((('07 EPV Calculation'!$B$12*(1+$A22)/0.13)+'00 Control'!$B$12+'00 Control'!$B$14-'00 Control'!$B$13)/'00 Control'!$B$11)*(1-'00 Control'!$B$21)</f>
        <v>27.50867331</v>
      </c>
    </row>
    <row r="23" ht="15.75" customHeight="1">
      <c r="A23" s="49">
        <v>0.2</v>
      </c>
      <c r="B23" s="50">
        <f>((('07 EPV Calculation'!$B$12*(1+$A23)/0.07)+'00 Control'!$B$12+'00 Control'!$B$14-'00 Control'!$B$13)/'00 Control'!$B$11)*(1-'00 Control'!$B$21)</f>
        <v>61.90471383</v>
      </c>
      <c r="C23" s="50">
        <f>((('07 EPV Calculation'!$B$12*(1+$A23)/0.08)+'00 Control'!$B$12+'00 Control'!$B$14-'00 Control'!$B$13)/'00 Control'!$B$11)*(1-'00 Control'!$B$21)</f>
        <v>53.41455193</v>
      </c>
      <c r="D23" s="50">
        <f>((('07 EPV Calculation'!$B$12*(1+$A23)/0.09)+'00 Control'!$B$12+'00 Control'!$B$14-'00 Control'!$B$13)/'00 Control'!$B$11)*(1-'00 Control'!$B$21)</f>
        <v>46.81109267</v>
      </c>
      <c r="E23" s="50">
        <f>((('07 EPV Calculation'!$B$12*(1+$A23)/0.1)+'00 Control'!$B$12+'00 Control'!$B$14-'00 Control'!$B$13)/'00 Control'!$B$11)*(1-'00 Control'!$B$21)</f>
        <v>41.52832527</v>
      </c>
      <c r="F23" s="50">
        <f>((('07 EPV Calculation'!$B$12*(1+$A23)/0.11)+'00 Control'!$B$12+'00 Control'!$B$14-'00 Control'!$B$13)/'00 Control'!$B$11)*(1-'00 Control'!$B$21)</f>
        <v>37.20606103</v>
      </c>
      <c r="G23" s="50">
        <f>((('07 EPV Calculation'!$B$12*(1+$A23)/0.12)+'00 Control'!$B$12+'00 Control'!$B$14-'00 Control'!$B$13)/'00 Control'!$B$11)*(1-'00 Control'!$B$21)</f>
        <v>33.60417416</v>
      </c>
      <c r="H23" s="50">
        <f>((('07 EPV Calculation'!$B$12*(1+$A23)/0.13)+'00 Control'!$B$12+'00 Control'!$B$14-'00 Control'!$B$13)/'00 Control'!$B$11)*(1-'00 Control'!$B$21)</f>
        <v>30.55642374</v>
      </c>
    </row>
    <row r="24" ht="15.75" customHeight="1"/>
    <row r="25" ht="15.75" customHeight="1"/>
    <row r="26" ht="19.5" customHeight="1">
      <c r="A26" s="3" t="s">
        <v>467</v>
      </c>
    </row>
    <row r="27" ht="15.75" customHeight="1">
      <c r="A27" s="37" t="s">
        <v>468</v>
      </c>
      <c r="B27" s="6"/>
      <c r="C27" s="6"/>
      <c r="D27" s="6"/>
      <c r="E27" s="6"/>
      <c r="F27" s="6"/>
      <c r="G27" s="6"/>
      <c r="H27" s="6"/>
    </row>
    <row r="28" ht="15.75" customHeight="1">
      <c r="A28" s="37" t="s">
        <v>469</v>
      </c>
      <c r="B28" s="6"/>
      <c r="C28" s="6"/>
      <c r="D28" s="6"/>
      <c r="E28" s="6"/>
      <c r="F28" s="6"/>
      <c r="G28" s="6"/>
      <c r="H28" s="6"/>
    </row>
    <row r="29" ht="15.75" customHeight="1">
      <c r="A29" s="37" t="s">
        <v>470</v>
      </c>
      <c r="B29" s="6"/>
      <c r="C29" s="6"/>
      <c r="D29" s="6"/>
      <c r="E29" s="6"/>
      <c r="F29" s="6"/>
      <c r="G29" s="6"/>
      <c r="H29" s="6"/>
    </row>
    <row r="30" ht="15.75" customHeight="1">
      <c r="A30" s="37" t="s">
        <v>471</v>
      </c>
      <c r="B30" s="6"/>
      <c r="C30" s="6"/>
      <c r="D30" s="6"/>
      <c r="E30" s="6"/>
      <c r="F30" s="6"/>
      <c r="G30" s="6"/>
      <c r="H30" s="6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H4"/>
    <mergeCell ref="A15:H15"/>
    <mergeCell ref="A26:H26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1.38"/>
    <col customWidth="1" min="3" max="11" width="16.0"/>
    <col customWidth="1" min="12" max="26" width="8.63"/>
  </cols>
  <sheetData>
    <row r="1" ht="27.75" customHeight="1">
      <c r="A1" s="1" t="s">
        <v>472</v>
      </c>
    </row>
    <row r="2">
      <c r="A2" s="2" t="s">
        <v>473</v>
      </c>
    </row>
    <row r="4" ht="19.5" customHeight="1">
      <c r="A4" s="3" t="s">
        <v>474</v>
      </c>
    </row>
    <row r="5">
      <c r="A5" s="6" t="s">
        <v>70</v>
      </c>
      <c r="B5" s="15" t="str">
        <f>'00 Control'!B5</f>
        <v>John B. Sanfilippo &amp; Son, Inc.</v>
      </c>
      <c r="C5" s="6" t="s">
        <v>71</v>
      </c>
      <c r="D5" s="6"/>
      <c r="E5" s="6"/>
    </row>
    <row r="6">
      <c r="A6" s="6" t="s">
        <v>7</v>
      </c>
      <c r="B6" s="15" t="str">
        <f>'00 Control'!B6</f>
        <v>JBSS</v>
      </c>
      <c r="C6" s="6" t="s">
        <v>71</v>
      </c>
      <c r="D6" s="6"/>
      <c r="E6" s="6"/>
    </row>
    <row r="7">
      <c r="A7" s="6" t="s">
        <v>82</v>
      </c>
      <c r="B7" s="12">
        <f>'07 EPV Calculation'!E20</f>
        <v>44.61184636</v>
      </c>
      <c r="C7" s="6" t="s">
        <v>475</v>
      </c>
      <c r="D7" s="6"/>
      <c r="E7" s="6"/>
    </row>
    <row r="8">
      <c r="A8" s="6" t="s">
        <v>84</v>
      </c>
      <c r="B8" s="12">
        <f>'07 EPV Calculation'!E21</f>
        <v>35.68947709</v>
      </c>
      <c r="C8" s="6" t="s">
        <v>476</v>
      </c>
      <c r="D8" s="6"/>
      <c r="E8" s="6"/>
    </row>
    <row r="9">
      <c r="A9" s="6" t="s">
        <v>326</v>
      </c>
      <c r="B9" s="12">
        <f>'00 Control'!B10</f>
        <v>77.95</v>
      </c>
      <c r="C9" s="6" t="s">
        <v>71</v>
      </c>
      <c r="D9" s="6"/>
      <c r="E9" s="6"/>
    </row>
    <row r="10">
      <c r="A10" s="6" t="s">
        <v>64</v>
      </c>
      <c r="B10" s="15" t="str">
        <f>IF(B9&lt;=B8,"Potential Buy",IF(B9&lt;=B7,"Waitlist","Reject / Too Expensive"))</f>
        <v>Reject / Too Expensive</v>
      </c>
      <c r="C10" s="6" t="s">
        <v>477</v>
      </c>
      <c r="D10" s="6"/>
      <c r="E10" s="6"/>
    </row>
    <row r="11">
      <c r="A11" s="6" t="s">
        <v>62</v>
      </c>
      <c r="B11" s="13">
        <f>B7/B9-1</f>
        <v>-0.4276863841</v>
      </c>
      <c r="C11" s="6" t="s">
        <v>89</v>
      </c>
      <c r="D11" s="6"/>
      <c r="E11" s="6"/>
    </row>
    <row r="12">
      <c r="A12" s="6" t="s">
        <v>63</v>
      </c>
      <c r="B12" s="14">
        <f>'04 Stability Analysis'!B16</f>
        <v>9</v>
      </c>
      <c r="C12" s="6" t="s">
        <v>478</v>
      </c>
      <c r="D12" s="6"/>
      <c r="E12" s="6"/>
    </row>
    <row r="13">
      <c r="A13" s="6" t="s">
        <v>60</v>
      </c>
      <c r="B13" s="19">
        <f>'08 Asset Value'!D17</f>
        <v>20.00258018</v>
      </c>
      <c r="C13" s="6" t="s">
        <v>479</v>
      </c>
      <c r="D13" s="6"/>
      <c r="E13" s="6"/>
    </row>
    <row r="14">
      <c r="A14" s="6" t="s">
        <v>480</v>
      </c>
      <c r="B14" s="19" t="str">
        <f>'09 Market Expectations'!B18</f>
        <v>Market prices above no-growth EPV</v>
      </c>
      <c r="C14" s="6" t="s">
        <v>481</v>
      </c>
      <c r="D14" s="6"/>
      <c r="E14" s="6"/>
    </row>
    <row r="15">
      <c r="A15" s="6"/>
      <c r="B15" s="6"/>
      <c r="C15" s="6"/>
      <c r="D15" s="6"/>
      <c r="E15" s="6"/>
    </row>
    <row r="16">
      <c r="A16" s="6"/>
      <c r="B16" s="6"/>
      <c r="C16" s="6"/>
      <c r="D16" s="6"/>
      <c r="E16" s="6"/>
    </row>
    <row r="17" ht="19.5" customHeight="1">
      <c r="A17" s="9" t="s">
        <v>482</v>
      </c>
    </row>
    <row r="18">
      <c r="A18" s="20" t="s">
        <v>379</v>
      </c>
      <c r="B18" s="20" t="s">
        <v>483</v>
      </c>
      <c r="C18" s="20" t="s">
        <v>484</v>
      </c>
      <c r="D18" s="20" t="s">
        <v>485</v>
      </c>
      <c r="E18" s="20" t="s">
        <v>187</v>
      </c>
    </row>
    <row r="19" ht="29.25" customHeight="1">
      <c r="A19" s="6" t="s">
        <v>486</v>
      </c>
      <c r="B19" s="41">
        <f t="shared" ref="B19:B20" si="1">B7</f>
        <v>44.61184636</v>
      </c>
      <c r="C19" s="6" t="s">
        <v>487</v>
      </c>
      <c r="D19" s="6"/>
      <c r="E19" s="28" t="s">
        <v>488</v>
      </c>
    </row>
    <row r="20" ht="29.25" customHeight="1">
      <c r="A20" s="6" t="s">
        <v>489</v>
      </c>
      <c r="B20" s="41">
        <f t="shared" si="1"/>
        <v>35.68947709</v>
      </c>
      <c r="C20" s="6" t="s">
        <v>490</v>
      </c>
      <c r="D20" s="6"/>
      <c r="E20" s="51" t="s">
        <v>491</v>
      </c>
    </row>
    <row r="21" ht="29.25" customHeight="1">
      <c r="A21" s="6" t="s">
        <v>492</v>
      </c>
      <c r="B21" s="38" t="str">
        <f>IF(B12&gt;=7,"Credible enough for EPV review","Needs deeper review")</f>
        <v>Credible enough for EPV review</v>
      </c>
      <c r="C21" s="6" t="s">
        <v>493</v>
      </c>
      <c r="D21" s="6"/>
      <c r="E21" s="51" t="s">
        <v>494</v>
      </c>
    </row>
    <row r="22" ht="29.25" customHeight="1">
      <c r="A22" s="6" t="s">
        <v>495</v>
      </c>
      <c r="B22" s="38" t="str">
        <f>'08 Asset Value'!B26</f>
        <v>EPV suggests franchise value</v>
      </c>
      <c r="C22" s="6" t="s">
        <v>496</v>
      </c>
      <c r="D22" s="6"/>
      <c r="E22" s="51" t="s">
        <v>497</v>
      </c>
    </row>
    <row r="23" ht="29.25" customHeight="1">
      <c r="A23" s="6" t="s">
        <v>498</v>
      </c>
      <c r="B23" s="38" t="s">
        <v>499</v>
      </c>
      <c r="C23" s="6"/>
      <c r="D23" s="6"/>
      <c r="E23" s="51" t="s">
        <v>500</v>
      </c>
    </row>
    <row r="24" ht="29.25" customHeight="1">
      <c r="A24" s="6" t="s">
        <v>501</v>
      </c>
      <c r="B24" s="7" t="s">
        <v>502</v>
      </c>
      <c r="C24" s="6" t="s">
        <v>503</v>
      </c>
      <c r="D24" s="6"/>
      <c r="E24" s="52" t="s">
        <v>504</v>
      </c>
    </row>
    <row r="25" ht="15.75" customHeight="1">
      <c r="A25" s="6" t="s">
        <v>94</v>
      </c>
      <c r="B25" s="16" t="s">
        <v>95</v>
      </c>
      <c r="C25" s="6" t="s">
        <v>505</v>
      </c>
      <c r="D25" s="6"/>
    </row>
    <row r="26" ht="15.75" customHeight="1">
      <c r="A26" s="6"/>
      <c r="B26" s="6"/>
      <c r="C26" s="6"/>
      <c r="D26" s="6"/>
    </row>
    <row r="27" ht="15.75" customHeight="1">
      <c r="A27" s="6"/>
      <c r="B27" s="6"/>
      <c r="C27" s="6"/>
      <c r="D27" s="6"/>
      <c r="E27" s="6"/>
    </row>
    <row r="28" ht="19.5" customHeight="1">
      <c r="A28" s="9" t="s">
        <v>506</v>
      </c>
    </row>
    <row r="29" ht="15.75" customHeight="1">
      <c r="A29" s="20" t="s">
        <v>265</v>
      </c>
      <c r="B29" s="20" t="s">
        <v>507</v>
      </c>
      <c r="C29" s="20" t="s">
        <v>381</v>
      </c>
      <c r="D29" s="20" t="s">
        <v>382</v>
      </c>
      <c r="E29" s="20" t="s">
        <v>361</v>
      </c>
    </row>
    <row r="30" ht="15.75" customHeight="1">
      <c r="A30" s="6" t="s">
        <v>508</v>
      </c>
      <c r="B30" s="7" t="s">
        <v>43</v>
      </c>
      <c r="C30" s="8" t="s">
        <v>509</v>
      </c>
      <c r="D30" s="7" t="s">
        <v>510</v>
      </c>
      <c r="E30" s="7" t="s">
        <v>511</v>
      </c>
    </row>
    <row r="31" ht="15.75" customHeight="1">
      <c r="A31" s="6" t="s">
        <v>512</v>
      </c>
      <c r="B31" s="7" t="s">
        <v>172</v>
      </c>
      <c r="C31" s="8" t="s">
        <v>513</v>
      </c>
      <c r="D31" s="7" t="s">
        <v>514</v>
      </c>
      <c r="E31" s="7" t="s">
        <v>515</v>
      </c>
    </row>
    <row r="32" ht="15.75" customHeight="1">
      <c r="A32" s="6" t="s">
        <v>516</v>
      </c>
      <c r="B32" s="7" t="s">
        <v>172</v>
      </c>
      <c r="C32" s="8" t="s">
        <v>517</v>
      </c>
      <c r="D32" s="7" t="s">
        <v>518</v>
      </c>
      <c r="E32" s="7" t="s">
        <v>519</v>
      </c>
    </row>
    <row r="33" ht="15.75" customHeight="1">
      <c r="A33" s="6" t="s">
        <v>520</v>
      </c>
      <c r="B33" s="7" t="s">
        <v>43</v>
      </c>
      <c r="C33" s="8" t="s">
        <v>521</v>
      </c>
      <c r="D33" s="7" t="s">
        <v>522</v>
      </c>
      <c r="E33" s="7" t="s">
        <v>523</v>
      </c>
    </row>
    <row r="34" ht="15.75" customHeight="1">
      <c r="A34" s="6" t="s">
        <v>524</v>
      </c>
      <c r="B34" s="7" t="s">
        <v>114</v>
      </c>
      <c r="C34" s="8" t="s">
        <v>525</v>
      </c>
      <c r="D34" s="7" t="s">
        <v>526</v>
      </c>
      <c r="E34" s="7" t="s">
        <v>527</v>
      </c>
    </row>
    <row r="35" ht="15.75" customHeight="1">
      <c r="A35" s="6" t="s">
        <v>528</v>
      </c>
      <c r="B35" s="7" t="s">
        <v>43</v>
      </c>
      <c r="C35" s="8" t="s">
        <v>529</v>
      </c>
      <c r="D35" s="7" t="s">
        <v>530</v>
      </c>
      <c r="E35" s="7" t="s">
        <v>531</v>
      </c>
    </row>
    <row r="36" ht="15.75" customHeight="1">
      <c r="A36" s="6" t="s">
        <v>532</v>
      </c>
      <c r="B36" s="7" t="s">
        <v>43</v>
      </c>
      <c r="C36" s="8" t="s">
        <v>533</v>
      </c>
      <c r="D36" s="7" t="s">
        <v>534</v>
      </c>
      <c r="E36" s="7" t="s">
        <v>535</v>
      </c>
    </row>
    <row r="37" ht="15.75" customHeight="1">
      <c r="A37" s="6" t="s">
        <v>536</v>
      </c>
      <c r="B37" s="7" t="s">
        <v>537</v>
      </c>
      <c r="C37" s="8" t="s">
        <v>538</v>
      </c>
      <c r="D37" s="7" t="s">
        <v>539</v>
      </c>
      <c r="E37" s="7" t="s">
        <v>540</v>
      </c>
    </row>
    <row r="38" ht="15.75" customHeight="1"/>
    <row r="39" ht="15.75" customHeight="1"/>
    <row r="40" ht="15.75" customHeight="1">
      <c r="A40" s="9" t="s">
        <v>541</v>
      </c>
    </row>
    <row r="41" ht="29.25" customHeight="1">
      <c r="A41" s="2" t="s">
        <v>542</v>
      </c>
    </row>
    <row r="42" ht="15.75" customHeight="1"/>
    <row r="43" ht="15.75" customHeight="1">
      <c r="A43" s="28" t="s">
        <v>543</v>
      </c>
      <c r="B43" s="12">
        <f>'07 EPV Calculation'!B20</f>
        <v>44.61184636</v>
      </c>
      <c r="D43" s="20" t="s">
        <v>187</v>
      </c>
    </row>
    <row r="44" ht="15.75" customHeight="1">
      <c r="A44" s="28" t="s">
        <v>17</v>
      </c>
      <c r="B44" s="12">
        <f>'00 Control'!B10</f>
        <v>77.95</v>
      </c>
      <c r="D44" s="53" t="s">
        <v>544</v>
      </c>
    </row>
    <row r="45" ht="15.75" customHeight="1">
      <c r="A45" s="28" t="s">
        <v>545</v>
      </c>
      <c r="B45" s="34">
        <f>'00 Control'!B20</f>
        <v>0.095</v>
      </c>
    </row>
    <row r="46" ht="15.75" customHeight="1">
      <c r="A46" s="28" t="s">
        <v>546</v>
      </c>
      <c r="B46" s="54">
        <v>0.18</v>
      </c>
    </row>
    <row r="47" ht="15.75" customHeight="1">
      <c r="A47" s="28" t="s">
        <v>547</v>
      </c>
      <c r="B47" s="54">
        <v>0.15</v>
      </c>
    </row>
    <row r="48" ht="15.75" customHeight="1">
      <c r="A48" s="28" t="s">
        <v>548</v>
      </c>
      <c r="B48" s="55">
        <f>B46*B47</f>
        <v>0.027</v>
      </c>
    </row>
    <row r="49" ht="15.75" customHeight="1">
      <c r="A49" s="28" t="s">
        <v>549</v>
      </c>
      <c r="B49" s="56">
        <f>B46-B45</f>
        <v>0.085</v>
      </c>
    </row>
    <row r="50" ht="15.75" customHeight="1">
      <c r="A50" s="28" t="s">
        <v>550</v>
      </c>
      <c r="B50" s="57">
        <f>1/B45</f>
        <v>10.52631579</v>
      </c>
    </row>
    <row r="51" ht="15.75" customHeight="1">
      <c r="A51" s="28" t="s">
        <v>551</v>
      </c>
      <c r="B51" s="58">
        <f>IF(B48&gt;=B45,"Invalid: growth &gt;= required return",(1-B48/B46)/(B45-B48))</f>
        <v>12.5</v>
      </c>
    </row>
    <row r="52" ht="15.75" customHeight="1">
      <c r="A52" s="28" t="s">
        <v>552</v>
      </c>
      <c r="B52" s="56">
        <f>B51/B50-1</f>
        <v>0.1875</v>
      </c>
    </row>
    <row r="53" ht="15.75" customHeight="1">
      <c r="A53" s="28" t="s">
        <v>553</v>
      </c>
      <c r="B53" s="57">
        <f>B43*(B51/B50)</f>
        <v>52.97656755</v>
      </c>
    </row>
    <row r="54" ht="15.75" customHeight="1">
      <c r="A54" s="28" t="s">
        <v>37</v>
      </c>
      <c r="B54" s="34">
        <f>'00 Control'!B21</f>
        <v>0.2</v>
      </c>
    </row>
    <row r="55" ht="15.75" customHeight="1">
      <c r="A55" s="28" t="s">
        <v>554</v>
      </c>
      <c r="B55" s="57">
        <f>B53*(1-B54)</f>
        <v>42.38125404</v>
      </c>
    </row>
    <row r="56" ht="15.75" customHeight="1">
      <c r="A56" s="28" t="s">
        <v>555</v>
      </c>
      <c r="B56" s="56">
        <f>B53/B44-1</f>
        <v>-0.3203775812</v>
      </c>
    </row>
    <row r="57" ht="15.75" customHeight="1">
      <c r="A57" s="28" t="s">
        <v>556</v>
      </c>
      <c r="B57" s="59" t="str">
        <f>IF(B44&lt;=B55,"Potential Buy",IF(B44&lt;=B53,"Waitlist","Reject / Too Expensive"))</f>
        <v>Reject / Too Expensive</v>
      </c>
    </row>
    <row r="58" ht="15.75" customHeight="1">
      <c r="A58" s="28" t="s">
        <v>557</v>
      </c>
      <c r="B58" s="60" t="str">
        <f>IF(B48&gt;4%,"Growth assumption may be too aggressive",IF(B52&gt;40%,"Franchise premium may be too aggressive","Conservative / acceptable overlay"))</f>
        <v>Conservative / acceptable overlay</v>
      </c>
    </row>
    <row r="59" ht="15.75" customHeight="1"/>
    <row r="60" ht="15.75" customHeight="1"/>
    <row r="61" ht="15.75" customHeight="1">
      <c r="A61" s="9" t="s">
        <v>558</v>
      </c>
    </row>
    <row r="62" ht="15.75" customHeight="1">
      <c r="A62" s="28"/>
    </row>
    <row r="63" ht="15.75" customHeight="1">
      <c r="A63" s="28" t="s">
        <v>559</v>
      </c>
      <c r="B63" s="28" t="s">
        <v>131</v>
      </c>
      <c r="C63" s="28" t="s">
        <v>547</v>
      </c>
      <c r="D63" s="28" t="s">
        <v>560</v>
      </c>
      <c r="E63" s="28" t="s">
        <v>561</v>
      </c>
      <c r="F63" s="28" t="s">
        <v>562</v>
      </c>
      <c r="G63" s="28" t="s">
        <v>563</v>
      </c>
      <c r="H63" s="28" t="s">
        <v>161</v>
      </c>
    </row>
    <row r="64" ht="15.75" customHeight="1">
      <c r="A64" s="28" t="s">
        <v>564</v>
      </c>
      <c r="B64" s="54">
        <v>0.15</v>
      </c>
      <c r="C64" s="54">
        <v>0.1</v>
      </c>
      <c r="D64" s="61">
        <f t="shared" ref="D64:D66" si="2">B64*C64</f>
        <v>0.015</v>
      </c>
      <c r="E64" s="58">
        <f>IF(D64&gt;='00 Control'!$B$20,"Invalid",(1-D64/B64)/('00 Control'!$B$20-D64))</f>
        <v>11.25</v>
      </c>
      <c r="F64" s="57">
        <f t="shared" ref="F64:F66" si="3">$B$43*(E64/$B$50)</f>
        <v>47.67891079</v>
      </c>
      <c r="G64" s="57">
        <f>F64*(1-'00 Control'!$B$21)</f>
        <v>38.14312864</v>
      </c>
      <c r="H64" s="59" t="str">
        <f>IF('00 Control'!$B$10&lt;=G64,"Potential Buy",IF('00 Control'!$B$10&lt;=F64,"Waitlist","Reject / Too Expensive"))</f>
        <v>Reject / Too Expensive</v>
      </c>
    </row>
    <row r="65" ht="15.75" customHeight="1">
      <c r="A65" s="28" t="s">
        <v>565</v>
      </c>
      <c r="B65" s="54">
        <v>0.18</v>
      </c>
      <c r="C65" s="54">
        <v>0.15</v>
      </c>
      <c r="D65" s="61">
        <f t="shared" si="2"/>
        <v>0.027</v>
      </c>
      <c r="E65" s="58">
        <f>IF(D65&gt;='00 Control'!$B$20,"Invalid",(1-D65/B65)/('00 Control'!$B$20-D65))</f>
        <v>12.5</v>
      </c>
      <c r="F65" s="57">
        <f t="shared" si="3"/>
        <v>52.97656755</v>
      </c>
      <c r="G65" s="57">
        <f>F65*(1-'00 Control'!$B$21)</f>
        <v>42.38125404</v>
      </c>
      <c r="H65" s="59" t="str">
        <f>IF('00 Control'!$B$10&lt;=G65,"Potential Buy",IF('00 Control'!$B$10&lt;=F65,"Waitlist","Reject / Too Expensive"))</f>
        <v>Reject / Too Expensive</v>
      </c>
    </row>
    <row r="66" ht="15.75" customHeight="1">
      <c r="A66" s="28" t="s">
        <v>566</v>
      </c>
      <c r="B66" s="54">
        <v>0.2</v>
      </c>
      <c r="C66" s="54">
        <v>0.2</v>
      </c>
      <c r="D66" s="61">
        <f t="shared" si="2"/>
        <v>0.04</v>
      </c>
      <c r="E66" s="58">
        <f>IF(D66&gt;='00 Control'!$B$20,"Invalid",(1-D66/B66)/('00 Control'!$B$20-D66))</f>
        <v>14.54545455</v>
      </c>
      <c r="F66" s="57">
        <f t="shared" si="3"/>
        <v>61.64546042</v>
      </c>
      <c r="G66" s="57">
        <f>F66*(1-'00 Control'!$B$21)</f>
        <v>49.31636834</v>
      </c>
      <c r="H66" s="59" t="str">
        <f>IF('00 Control'!$B$10&lt;=G66,"Potential Buy",IF('00 Control'!$B$10&lt;=F66,"Waitlist","Reject / Too Expensive"))</f>
        <v>Reject / Too Expensive</v>
      </c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0">
    <mergeCell ref="A28:E28"/>
    <mergeCell ref="E24:I26"/>
    <mergeCell ref="A1:K1"/>
    <mergeCell ref="A2:K2"/>
    <mergeCell ref="A4:E4"/>
    <mergeCell ref="A17:E17"/>
    <mergeCell ref="A40:E40"/>
    <mergeCell ref="A41:E41"/>
    <mergeCell ref="A61:E61"/>
    <mergeCell ref="D44:H47"/>
  </mergeCells>
  <dataValidations>
    <dataValidation type="list" allowBlank="1" sqref="B25">
      <formula1>"Not Started,Drafting,Ready,Complete"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6.5"/>
    <col customWidth="1" min="3" max="5" width="16.0"/>
    <col customWidth="1" min="6" max="6" width="23.63"/>
    <col customWidth="1" min="7" max="11" width="16.0"/>
    <col customWidth="1" min="12" max="26" width="8.63"/>
  </cols>
  <sheetData>
    <row r="1" ht="27.75" customHeight="1">
      <c r="A1" s="1" t="s">
        <v>567</v>
      </c>
    </row>
    <row r="2">
      <c r="A2" s="2" t="s">
        <v>568</v>
      </c>
    </row>
    <row r="4" ht="19.5" customHeight="1">
      <c r="A4" s="3" t="s">
        <v>569</v>
      </c>
    </row>
    <row r="5">
      <c r="A5" s="20" t="s">
        <v>570</v>
      </c>
      <c r="B5" s="20" t="s">
        <v>379</v>
      </c>
      <c r="C5" s="20" t="s">
        <v>381</v>
      </c>
      <c r="D5" s="20" t="s">
        <v>239</v>
      </c>
      <c r="E5" s="20" t="s">
        <v>507</v>
      </c>
      <c r="F5" s="20" t="s">
        <v>571</v>
      </c>
      <c r="G5" s="20" t="s">
        <v>572</v>
      </c>
      <c r="H5" s="20" t="s">
        <v>573</v>
      </c>
    </row>
    <row r="6">
      <c r="A6" s="6" t="s">
        <v>112</v>
      </c>
      <c r="B6" s="6" t="s">
        <v>574</v>
      </c>
      <c r="C6" s="6" t="s">
        <v>575</v>
      </c>
      <c r="D6" s="6" t="s">
        <v>576</v>
      </c>
      <c r="E6" s="7" t="s">
        <v>95</v>
      </c>
      <c r="F6" s="7" t="s">
        <v>577</v>
      </c>
      <c r="G6" s="7" t="s">
        <v>578</v>
      </c>
      <c r="H6" s="7" t="s">
        <v>579</v>
      </c>
    </row>
    <row r="7">
      <c r="A7" s="6" t="s">
        <v>112</v>
      </c>
      <c r="B7" s="6" t="s">
        <v>580</v>
      </c>
      <c r="C7" s="6" t="s">
        <v>581</v>
      </c>
      <c r="D7" s="6" t="s">
        <v>582</v>
      </c>
      <c r="E7" s="7" t="s">
        <v>95</v>
      </c>
      <c r="F7" s="7" t="s">
        <v>583</v>
      </c>
      <c r="G7" s="8" t="s">
        <v>584</v>
      </c>
      <c r="H7" s="7" t="s">
        <v>585</v>
      </c>
    </row>
    <row r="8">
      <c r="A8" s="6" t="s">
        <v>586</v>
      </c>
      <c r="B8" s="6" t="s">
        <v>587</v>
      </c>
      <c r="C8" s="6" t="s">
        <v>588</v>
      </c>
      <c r="D8" s="6" t="s">
        <v>589</v>
      </c>
      <c r="E8" s="7" t="s">
        <v>95</v>
      </c>
      <c r="F8" s="7" t="s">
        <v>590</v>
      </c>
      <c r="G8" s="7" t="s">
        <v>578</v>
      </c>
      <c r="H8" s="7" t="s">
        <v>591</v>
      </c>
    </row>
    <row r="9">
      <c r="A9" s="6" t="s">
        <v>586</v>
      </c>
      <c r="B9" s="6" t="s">
        <v>592</v>
      </c>
      <c r="C9" s="6" t="s">
        <v>593</v>
      </c>
      <c r="D9" s="6" t="s">
        <v>594</v>
      </c>
      <c r="E9" s="7" t="s">
        <v>95</v>
      </c>
      <c r="F9" s="7" t="s">
        <v>595</v>
      </c>
      <c r="G9" s="8" t="s">
        <v>578</v>
      </c>
      <c r="H9" s="7" t="s">
        <v>596</v>
      </c>
    </row>
    <row r="10">
      <c r="A10" s="6" t="s">
        <v>597</v>
      </c>
      <c r="B10" s="6" t="s">
        <v>598</v>
      </c>
      <c r="C10" s="6" t="s">
        <v>599</v>
      </c>
      <c r="D10" s="6" t="s">
        <v>600</v>
      </c>
      <c r="E10" s="7" t="s">
        <v>95</v>
      </c>
      <c r="F10" s="7" t="s">
        <v>601</v>
      </c>
      <c r="G10" s="7" t="s">
        <v>578</v>
      </c>
      <c r="H10" s="7" t="s">
        <v>602</v>
      </c>
    </row>
    <row r="11">
      <c r="A11" s="6" t="s">
        <v>603</v>
      </c>
      <c r="B11" s="6" t="s">
        <v>604</v>
      </c>
      <c r="C11" s="6" t="s">
        <v>605</v>
      </c>
      <c r="D11" s="6" t="s">
        <v>606</v>
      </c>
      <c r="E11" s="7" t="s">
        <v>95</v>
      </c>
      <c r="F11" s="7" t="s">
        <v>607</v>
      </c>
      <c r="G11" s="8" t="s">
        <v>578</v>
      </c>
      <c r="H11" s="7" t="s">
        <v>608</v>
      </c>
    </row>
    <row r="12">
      <c r="A12" s="6" t="s">
        <v>609</v>
      </c>
      <c r="B12" s="6" t="s">
        <v>610</v>
      </c>
      <c r="C12" s="6" t="s">
        <v>611</v>
      </c>
      <c r="D12" s="6" t="s">
        <v>612</v>
      </c>
      <c r="E12" s="7" t="s">
        <v>95</v>
      </c>
      <c r="F12" s="7" t="s">
        <v>613</v>
      </c>
      <c r="G12" s="7" t="s">
        <v>537</v>
      </c>
      <c r="H12" s="7" t="s">
        <v>614</v>
      </c>
    </row>
    <row r="13">
      <c r="A13" s="6" t="s">
        <v>615</v>
      </c>
      <c r="B13" s="6" t="s">
        <v>616</v>
      </c>
      <c r="C13" s="6" t="s">
        <v>617</v>
      </c>
      <c r="D13" s="6" t="s">
        <v>618</v>
      </c>
      <c r="E13" s="7" t="s">
        <v>95</v>
      </c>
      <c r="F13" s="7" t="s">
        <v>619</v>
      </c>
      <c r="G13" s="7" t="s">
        <v>578</v>
      </c>
      <c r="H13" s="7" t="s">
        <v>620</v>
      </c>
    </row>
    <row r="14">
      <c r="A14" s="6" t="s">
        <v>621</v>
      </c>
      <c r="B14" s="6" t="s">
        <v>622</v>
      </c>
      <c r="C14" s="6" t="s">
        <v>623</v>
      </c>
      <c r="D14" s="6" t="s">
        <v>624</v>
      </c>
      <c r="E14" s="7" t="s">
        <v>95</v>
      </c>
      <c r="F14" s="7" t="s">
        <v>625</v>
      </c>
      <c r="G14" s="7" t="s">
        <v>578</v>
      </c>
      <c r="H14" s="7" t="s">
        <v>626</v>
      </c>
    </row>
    <row r="15">
      <c r="A15" s="6" t="s">
        <v>627</v>
      </c>
      <c r="B15" s="6" t="s">
        <v>628</v>
      </c>
      <c r="C15" s="6" t="s">
        <v>629</v>
      </c>
      <c r="D15" s="6" t="s">
        <v>630</v>
      </c>
      <c r="E15" s="7" t="s">
        <v>95</v>
      </c>
      <c r="F15" s="7" t="s">
        <v>631</v>
      </c>
      <c r="G15" s="7" t="s">
        <v>537</v>
      </c>
      <c r="H15" s="7" t="s">
        <v>632</v>
      </c>
    </row>
    <row r="16">
      <c r="A16" s="6" t="s">
        <v>633</v>
      </c>
      <c r="B16" s="6" t="s">
        <v>634</v>
      </c>
      <c r="C16" s="6" t="s">
        <v>635</v>
      </c>
      <c r="D16" s="6" t="s">
        <v>636</v>
      </c>
      <c r="E16" s="7" t="s">
        <v>95</v>
      </c>
      <c r="F16" s="7" t="s">
        <v>637</v>
      </c>
      <c r="G16" s="7" t="s">
        <v>537</v>
      </c>
      <c r="H16" s="7" t="s">
        <v>638</v>
      </c>
    </row>
    <row r="17">
      <c r="A17" s="6" t="s">
        <v>639</v>
      </c>
      <c r="B17" s="6" t="s">
        <v>640</v>
      </c>
      <c r="C17" s="6" t="s">
        <v>641</v>
      </c>
      <c r="D17" s="6" t="s">
        <v>642</v>
      </c>
      <c r="E17" s="7" t="s">
        <v>95</v>
      </c>
      <c r="F17" s="7" t="s">
        <v>643</v>
      </c>
      <c r="G17" s="8" t="s">
        <v>578</v>
      </c>
      <c r="H17" s="7" t="s">
        <v>644</v>
      </c>
    </row>
    <row r="20" ht="19.5" customHeight="1">
      <c r="A20" s="3" t="s">
        <v>645</v>
      </c>
    </row>
    <row r="21" ht="15.75" customHeight="1">
      <c r="A21" s="29" t="s">
        <v>63</v>
      </c>
      <c r="B21" s="62">
        <f>'04 Stability Analysis'!B16</f>
        <v>9</v>
      </c>
      <c r="C21" s="29" t="s">
        <v>646</v>
      </c>
    </row>
    <row r="22" ht="15.75" customHeight="1">
      <c r="A22" s="29" t="s">
        <v>647</v>
      </c>
      <c r="B22" s="63" t="str">
        <f>'05 Maintenance Capex'!B19</f>
        <v>Selected capex reasonably near D&amp;A</v>
      </c>
      <c r="C22" s="29" t="s">
        <v>648</v>
      </c>
    </row>
    <row r="23" ht="15.75" customHeight="1">
      <c r="A23" s="29" t="s">
        <v>377</v>
      </c>
      <c r="B23" s="64" t="str">
        <f>'09 Market Expectations'!B18</f>
        <v>Market prices above no-growth EPV</v>
      </c>
      <c r="C23" s="29" t="s">
        <v>481</v>
      </c>
    </row>
    <row r="24" ht="15.75" customHeight="1">
      <c r="A24" s="29" t="s">
        <v>649</v>
      </c>
      <c r="B24" s="63" t="str">
        <f>'08 Asset Value'!B27</f>
        <v>None automatic</v>
      </c>
      <c r="C24" s="29" t="s">
        <v>650</v>
      </c>
    </row>
    <row r="25" ht="15.75" customHeight="1">
      <c r="A25" s="29" t="s">
        <v>64</v>
      </c>
      <c r="B25" s="63" t="str">
        <f>'12 Final Conclusion'!B10</f>
        <v>Reject / Too Expensive</v>
      </c>
      <c r="C25" s="29" t="s">
        <v>651</v>
      </c>
    </row>
    <row r="26" ht="15.75" customHeight="1">
      <c r="A26" s="29" t="s">
        <v>652</v>
      </c>
      <c r="B26" s="29" t="s">
        <v>653</v>
      </c>
    </row>
    <row r="27" ht="15.75" customHeight="1">
      <c r="A27" s="29" t="s">
        <v>654</v>
      </c>
      <c r="B27" s="65" t="s">
        <v>655</v>
      </c>
      <c r="C27" s="29" t="s">
        <v>5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K1"/>
    <mergeCell ref="A2:K2"/>
    <mergeCell ref="A4:H4"/>
    <mergeCell ref="A20:H20"/>
  </mergeCells>
  <dataValidations>
    <dataValidation type="list" allowBlank="1" sqref="E6:E17">
      <formula1>"Open,In Progress,Complete,N/A"</formula1>
    </dataValidation>
    <dataValidation type="list" allowBlank="1" sqref="G6:G17">
      <formula1>"Low,Medium,High"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656</v>
      </c>
    </row>
    <row r="2">
      <c r="A2" s="2" t="s">
        <v>657</v>
      </c>
    </row>
    <row r="4" ht="19.5" customHeight="1">
      <c r="A4" s="3" t="s">
        <v>658</v>
      </c>
    </row>
    <row r="5">
      <c r="A5" s="20" t="s">
        <v>659</v>
      </c>
      <c r="B5" s="20" t="s">
        <v>140</v>
      </c>
      <c r="C5" s="20" t="s">
        <v>660</v>
      </c>
      <c r="D5" s="20" t="s">
        <v>661</v>
      </c>
      <c r="E5" s="20" t="s">
        <v>662</v>
      </c>
      <c r="F5" s="20" t="s">
        <v>187</v>
      </c>
    </row>
    <row r="6">
      <c r="A6" s="6" t="s">
        <v>663</v>
      </c>
      <c r="B6" s="6" t="s">
        <v>664</v>
      </c>
      <c r="C6" s="6" t="s">
        <v>665</v>
      </c>
      <c r="D6" s="6" t="s">
        <v>666</v>
      </c>
      <c r="E6" s="6" t="s">
        <v>667</v>
      </c>
      <c r="F6" s="6" t="s">
        <v>668</v>
      </c>
    </row>
    <row r="7">
      <c r="A7" s="6" t="s">
        <v>669</v>
      </c>
      <c r="B7" s="6" t="s">
        <v>670</v>
      </c>
      <c r="C7" s="6" t="s">
        <v>671</v>
      </c>
      <c r="D7" s="6" t="s">
        <v>672</v>
      </c>
      <c r="E7" s="6" t="s">
        <v>673</v>
      </c>
      <c r="F7" s="6" t="s">
        <v>674</v>
      </c>
    </row>
    <row r="8">
      <c r="A8" s="6" t="s">
        <v>675</v>
      </c>
      <c r="B8" s="6" t="s">
        <v>676</v>
      </c>
      <c r="C8" s="6" t="s">
        <v>677</v>
      </c>
      <c r="D8" s="6" t="s">
        <v>678</v>
      </c>
      <c r="E8" s="6" t="s">
        <v>673</v>
      </c>
      <c r="F8" s="6" t="s">
        <v>679</v>
      </c>
    </row>
    <row r="9">
      <c r="A9" s="6" t="s">
        <v>680</v>
      </c>
      <c r="B9" s="6" t="s">
        <v>681</v>
      </c>
      <c r="C9" s="6" t="s">
        <v>682</v>
      </c>
      <c r="D9" s="6" t="s">
        <v>683</v>
      </c>
      <c r="E9" s="6" t="s">
        <v>684</v>
      </c>
      <c r="F9" s="6" t="s">
        <v>685</v>
      </c>
    </row>
    <row r="10">
      <c r="A10" s="6" t="s">
        <v>686</v>
      </c>
      <c r="B10" s="6" t="s">
        <v>687</v>
      </c>
      <c r="C10" s="6" t="s">
        <v>688</v>
      </c>
      <c r="D10" s="6" t="s">
        <v>689</v>
      </c>
      <c r="E10" s="6" t="s">
        <v>690</v>
      </c>
      <c r="F10" s="6" t="s">
        <v>691</v>
      </c>
    </row>
    <row r="11">
      <c r="A11" s="6" t="s">
        <v>692</v>
      </c>
      <c r="B11" s="6" t="s">
        <v>693</v>
      </c>
      <c r="C11" s="6" t="s">
        <v>694</v>
      </c>
      <c r="D11" s="6" t="s">
        <v>695</v>
      </c>
      <c r="E11" s="6" t="s">
        <v>696</v>
      </c>
      <c r="F11" s="6" t="s">
        <v>697</v>
      </c>
    </row>
    <row r="12">
      <c r="A12" s="6"/>
      <c r="B12" s="6"/>
      <c r="C12" s="6"/>
      <c r="D12" s="6"/>
      <c r="E12" s="6"/>
      <c r="F12" s="6"/>
    </row>
    <row r="13">
      <c r="A13" s="6"/>
      <c r="B13" s="6"/>
      <c r="C13" s="6"/>
      <c r="D13" s="6"/>
      <c r="E13" s="6"/>
      <c r="F13" s="6"/>
    </row>
    <row r="14" ht="19.5" customHeight="1">
      <c r="A14" s="9" t="s">
        <v>698</v>
      </c>
    </row>
    <row r="15">
      <c r="A15" s="20" t="s">
        <v>699</v>
      </c>
      <c r="B15" s="20" t="s">
        <v>700</v>
      </c>
      <c r="C15" s="20" t="s">
        <v>701</v>
      </c>
      <c r="D15" s="20" t="s">
        <v>702</v>
      </c>
      <c r="E15" s="20" t="s">
        <v>703</v>
      </c>
      <c r="F15" s="20" t="s">
        <v>187</v>
      </c>
    </row>
    <row r="16">
      <c r="A16" s="6" t="s">
        <v>704</v>
      </c>
      <c r="B16" s="6" t="s">
        <v>705</v>
      </c>
      <c r="C16" s="66" t="s">
        <v>706</v>
      </c>
      <c r="D16" s="8" t="s">
        <v>707</v>
      </c>
      <c r="E16" s="67">
        <v>46183.0</v>
      </c>
      <c r="F16" s="8"/>
    </row>
    <row r="17">
      <c r="A17" s="6" t="s">
        <v>704</v>
      </c>
      <c r="B17" s="6" t="s">
        <v>708</v>
      </c>
      <c r="C17" s="66" t="s">
        <v>706</v>
      </c>
      <c r="D17" s="8" t="s">
        <v>707</v>
      </c>
      <c r="E17" s="67">
        <v>46183.0</v>
      </c>
      <c r="F17" s="8"/>
    </row>
    <row r="18">
      <c r="A18" s="6" t="s">
        <v>709</v>
      </c>
      <c r="B18" s="6" t="s">
        <v>710</v>
      </c>
      <c r="C18" s="66" t="s">
        <v>706</v>
      </c>
      <c r="D18" s="7" t="s">
        <v>711</v>
      </c>
      <c r="E18" s="67">
        <v>46183.0</v>
      </c>
      <c r="F18" s="8"/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4">
    <mergeCell ref="A1:K1"/>
    <mergeCell ref="A2:K2"/>
    <mergeCell ref="A4:F4"/>
    <mergeCell ref="A14:F14"/>
  </mergeCells>
  <hyperlinks>
    <hyperlink r:id="rId1" ref="C16"/>
    <hyperlink r:id="rId2" ref="C17"/>
    <hyperlink r:id="rId3" ref="C18"/>
  </hyperlinks>
  <printOptions/>
  <pageMargins bottom="0.75" footer="0.0" header="0.0" left="0.7" right="0.7" top="0.75"/>
  <pageSetup orientation="landscape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11" width="16.0"/>
    <col customWidth="1" min="12" max="26" width="8.63"/>
  </cols>
  <sheetData>
    <row r="1" ht="27.75" customHeight="1">
      <c r="A1" s="1" t="s">
        <v>712</v>
      </c>
    </row>
    <row r="2">
      <c r="A2" s="2" t="s">
        <v>713</v>
      </c>
    </row>
    <row r="4" ht="19.5" customHeight="1">
      <c r="A4" s="3" t="s">
        <v>714</v>
      </c>
    </row>
    <row r="5">
      <c r="A5" s="20" t="s">
        <v>715</v>
      </c>
      <c r="B5" s="20" t="s">
        <v>716</v>
      </c>
      <c r="C5" s="20" t="s">
        <v>717</v>
      </c>
      <c r="D5" s="20" t="s">
        <v>718</v>
      </c>
      <c r="E5" s="20" t="s">
        <v>719</v>
      </c>
      <c r="F5" s="20" t="s">
        <v>720</v>
      </c>
      <c r="G5" s="20" t="s">
        <v>721</v>
      </c>
      <c r="H5" s="20" t="s">
        <v>187</v>
      </c>
    </row>
    <row r="6">
      <c r="A6" s="6">
        <v>1.0</v>
      </c>
      <c r="B6" s="6" t="s">
        <v>722</v>
      </c>
      <c r="C6" s="6" t="s">
        <v>723</v>
      </c>
      <c r="D6" s="6" t="s">
        <v>724</v>
      </c>
      <c r="E6" s="6" t="s">
        <v>725</v>
      </c>
      <c r="F6" s="6" t="s">
        <v>726</v>
      </c>
      <c r="G6" s="6" t="s">
        <v>727</v>
      </c>
      <c r="H6" s="6" t="s">
        <v>728</v>
      </c>
    </row>
    <row r="7">
      <c r="A7" s="6">
        <v>2.0</v>
      </c>
      <c r="B7" s="6" t="s">
        <v>729</v>
      </c>
      <c r="C7" s="6" t="s">
        <v>730</v>
      </c>
      <c r="D7" s="6" t="s">
        <v>731</v>
      </c>
      <c r="E7" s="6" t="s">
        <v>732</v>
      </c>
      <c r="F7" s="6" t="s">
        <v>733</v>
      </c>
      <c r="G7" s="6" t="s">
        <v>734</v>
      </c>
      <c r="H7" s="6" t="s">
        <v>735</v>
      </c>
    </row>
    <row r="8">
      <c r="A8" s="6">
        <v>3.0</v>
      </c>
      <c r="B8" s="6" t="s">
        <v>736</v>
      </c>
      <c r="C8" s="6" t="s">
        <v>737</v>
      </c>
      <c r="D8" s="6" t="s">
        <v>738</v>
      </c>
      <c r="E8" s="6" t="s">
        <v>739</v>
      </c>
      <c r="F8" s="6" t="s">
        <v>740</v>
      </c>
      <c r="G8" s="6" t="s">
        <v>741</v>
      </c>
      <c r="H8" s="6" t="s">
        <v>742</v>
      </c>
    </row>
    <row r="9">
      <c r="A9" s="6">
        <v>4.0</v>
      </c>
      <c r="B9" s="6" t="s">
        <v>743</v>
      </c>
      <c r="C9" s="6" t="s">
        <v>744</v>
      </c>
      <c r="D9" s="6" t="s">
        <v>745</v>
      </c>
      <c r="E9" s="6" t="s">
        <v>746</v>
      </c>
      <c r="F9" s="6" t="s">
        <v>747</v>
      </c>
      <c r="G9" s="6" t="s">
        <v>748</v>
      </c>
      <c r="H9" s="6" t="s">
        <v>749</v>
      </c>
    </row>
    <row r="10">
      <c r="A10" s="6">
        <v>5.0</v>
      </c>
      <c r="B10" s="6" t="s">
        <v>750</v>
      </c>
      <c r="C10" s="6" t="s">
        <v>751</v>
      </c>
      <c r="D10" s="6" t="s">
        <v>752</v>
      </c>
      <c r="E10" s="6" t="s">
        <v>753</v>
      </c>
      <c r="F10" s="6" t="s">
        <v>754</v>
      </c>
      <c r="G10" s="6" t="s">
        <v>755</v>
      </c>
      <c r="H10" s="6" t="s">
        <v>756</v>
      </c>
    </row>
    <row r="11">
      <c r="A11" s="6">
        <v>6.0</v>
      </c>
      <c r="B11" s="6" t="s">
        <v>757</v>
      </c>
      <c r="C11" s="6" t="s">
        <v>758</v>
      </c>
      <c r="D11" s="6" t="s">
        <v>759</v>
      </c>
      <c r="E11" s="6" t="s">
        <v>760</v>
      </c>
      <c r="F11" s="6" t="s">
        <v>747</v>
      </c>
      <c r="G11" s="6" t="s">
        <v>761</v>
      </c>
      <c r="H11" s="6" t="s">
        <v>762</v>
      </c>
    </row>
    <row r="12">
      <c r="A12" s="6">
        <v>7.0</v>
      </c>
      <c r="B12" s="6" t="s">
        <v>763</v>
      </c>
      <c r="C12" s="6" t="s">
        <v>764</v>
      </c>
      <c r="D12" s="6" t="s">
        <v>765</v>
      </c>
      <c r="E12" s="6" t="s">
        <v>766</v>
      </c>
      <c r="F12" s="6" t="s">
        <v>767</v>
      </c>
      <c r="G12" s="6" t="s">
        <v>315</v>
      </c>
      <c r="H12" s="6" t="s">
        <v>768</v>
      </c>
    </row>
    <row r="13">
      <c r="A13" s="6">
        <v>8.0</v>
      </c>
      <c r="B13" s="6" t="s">
        <v>769</v>
      </c>
      <c r="C13" s="6" t="s">
        <v>770</v>
      </c>
      <c r="D13" s="6" t="s">
        <v>771</v>
      </c>
      <c r="E13" s="6" t="s">
        <v>772</v>
      </c>
      <c r="F13" s="6" t="s">
        <v>747</v>
      </c>
      <c r="G13" s="6" t="s">
        <v>773</v>
      </c>
      <c r="H13" s="6" t="s">
        <v>774</v>
      </c>
    </row>
    <row r="14">
      <c r="A14" s="6">
        <v>9.0</v>
      </c>
      <c r="B14" s="6" t="s">
        <v>775</v>
      </c>
      <c r="C14" s="6" t="s">
        <v>776</v>
      </c>
      <c r="D14" s="6" t="s">
        <v>777</v>
      </c>
      <c r="E14" s="6" t="s">
        <v>778</v>
      </c>
      <c r="F14" s="6" t="s">
        <v>747</v>
      </c>
      <c r="G14" s="6" t="s">
        <v>779</v>
      </c>
      <c r="H14" s="6" t="s">
        <v>780</v>
      </c>
    </row>
    <row r="15">
      <c r="A15" s="6">
        <v>10.0</v>
      </c>
      <c r="B15" s="6" t="s">
        <v>781</v>
      </c>
      <c r="C15" s="6" t="s">
        <v>782</v>
      </c>
      <c r="D15" s="6" t="s">
        <v>783</v>
      </c>
      <c r="E15" s="6" t="s">
        <v>784</v>
      </c>
      <c r="F15" s="6" t="s">
        <v>747</v>
      </c>
      <c r="G15" s="6" t="s">
        <v>785</v>
      </c>
      <c r="H15" s="6" t="s">
        <v>786</v>
      </c>
    </row>
    <row r="16">
      <c r="A16" s="6">
        <v>11.0</v>
      </c>
      <c r="B16" s="6" t="s">
        <v>787</v>
      </c>
      <c r="C16" s="6" t="s">
        <v>788</v>
      </c>
      <c r="D16" s="6" t="s">
        <v>789</v>
      </c>
      <c r="E16" s="6" t="s">
        <v>790</v>
      </c>
      <c r="F16" s="6" t="s">
        <v>747</v>
      </c>
      <c r="G16" s="6" t="s">
        <v>791</v>
      </c>
      <c r="H16" s="6" t="s">
        <v>792</v>
      </c>
    </row>
    <row r="17">
      <c r="A17" s="6">
        <v>12.0</v>
      </c>
      <c r="B17" s="6" t="s">
        <v>793</v>
      </c>
      <c r="C17" s="6" t="s">
        <v>794</v>
      </c>
      <c r="D17" s="6" t="s">
        <v>795</v>
      </c>
      <c r="E17" s="6" t="s">
        <v>796</v>
      </c>
      <c r="F17" s="6" t="s">
        <v>797</v>
      </c>
      <c r="G17" s="6" t="s">
        <v>798</v>
      </c>
      <c r="H17" s="6" t="s">
        <v>799</v>
      </c>
    </row>
    <row r="18">
      <c r="A18" s="6">
        <v>13.0</v>
      </c>
      <c r="B18" s="6" t="s">
        <v>800</v>
      </c>
      <c r="C18" s="6" t="s">
        <v>801</v>
      </c>
      <c r="D18" s="6" t="s">
        <v>802</v>
      </c>
      <c r="E18" s="6" t="s">
        <v>803</v>
      </c>
      <c r="F18" s="6" t="s">
        <v>797</v>
      </c>
      <c r="G18" s="6" t="s">
        <v>804</v>
      </c>
      <c r="H18" s="6" t="s">
        <v>805</v>
      </c>
    </row>
    <row r="19">
      <c r="A19" s="6"/>
      <c r="B19" s="6"/>
      <c r="C19" s="6"/>
      <c r="D19" s="6"/>
      <c r="E19" s="6"/>
      <c r="F19" s="6"/>
      <c r="G19" s="6"/>
      <c r="H19" s="6"/>
    </row>
    <row r="20">
      <c r="A20" s="6"/>
      <c r="B20" s="6"/>
      <c r="C20" s="6"/>
      <c r="D20" s="6"/>
      <c r="E20" s="6"/>
      <c r="F20" s="6"/>
      <c r="G20" s="6"/>
      <c r="H20" s="6"/>
    </row>
    <row r="21" ht="15.75" customHeight="1">
      <c r="A21" s="6"/>
      <c r="B21" s="6"/>
      <c r="C21" s="6"/>
      <c r="D21" s="6"/>
      <c r="E21" s="6"/>
      <c r="F21" s="6"/>
      <c r="G21" s="6"/>
      <c r="H21" s="6"/>
    </row>
    <row r="22" ht="19.5" customHeight="1">
      <c r="A22" s="9" t="s">
        <v>806</v>
      </c>
    </row>
    <row r="23" ht="15.75" customHeight="1">
      <c r="A23" s="20" t="s">
        <v>807</v>
      </c>
      <c r="B23" s="20" t="s">
        <v>808</v>
      </c>
      <c r="C23" s="20" t="s">
        <v>809</v>
      </c>
      <c r="D23" s="20" t="s">
        <v>810</v>
      </c>
      <c r="E23" s="20" t="s">
        <v>361</v>
      </c>
      <c r="F23" s="20"/>
      <c r="G23" s="20"/>
      <c r="H23" s="20"/>
    </row>
    <row r="24" ht="15.75" customHeight="1">
      <c r="A24" s="6" t="s">
        <v>811</v>
      </c>
      <c r="B24" s="6" t="s">
        <v>812</v>
      </c>
      <c r="C24" s="6" t="s">
        <v>813</v>
      </c>
      <c r="D24" s="6" t="s">
        <v>814</v>
      </c>
      <c r="E24" s="6" t="s">
        <v>815</v>
      </c>
      <c r="F24" s="6"/>
      <c r="G24" s="6"/>
      <c r="H24" s="6"/>
    </row>
    <row r="25" ht="15.75" customHeight="1">
      <c r="A25" s="6" t="s">
        <v>816</v>
      </c>
      <c r="B25" s="6" t="s">
        <v>186</v>
      </c>
      <c r="C25" s="6" t="s">
        <v>817</v>
      </c>
      <c r="D25" s="6" t="s">
        <v>818</v>
      </c>
      <c r="E25" s="6" t="s">
        <v>819</v>
      </c>
      <c r="F25" s="6"/>
      <c r="G25" s="6"/>
      <c r="H25" s="6"/>
    </row>
    <row r="26" ht="15.75" customHeight="1">
      <c r="A26" s="6" t="s">
        <v>820</v>
      </c>
      <c r="B26" s="6" t="s">
        <v>821</v>
      </c>
      <c r="C26" s="6" t="s">
        <v>822</v>
      </c>
      <c r="D26" s="6" t="s">
        <v>823</v>
      </c>
      <c r="E26" s="6" t="s">
        <v>824</v>
      </c>
      <c r="F26" s="6"/>
      <c r="G26" s="6"/>
      <c r="H26" s="6"/>
    </row>
    <row r="27" ht="15.75" customHeight="1">
      <c r="A27" s="6" t="s">
        <v>825</v>
      </c>
      <c r="B27" s="6" t="s">
        <v>826</v>
      </c>
      <c r="C27" s="6" t="s">
        <v>827</v>
      </c>
      <c r="D27" s="6" t="s">
        <v>828</v>
      </c>
      <c r="E27" s="6" t="s">
        <v>829</v>
      </c>
      <c r="F27" s="6"/>
      <c r="G27" s="6"/>
      <c r="H27" s="6"/>
    </row>
    <row r="28" ht="15.75" customHeight="1">
      <c r="A28" s="6" t="s">
        <v>830</v>
      </c>
      <c r="B28" s="6" t="s">
        <v>831</v>
      </c>
      <c r="C28" s="6" t="s">
        <v>827</v>
      </c>
      <c r="D28" s="6" t="s">
        <v>832</v>
      </c>
      <c r="E28" s="6" t="s">
        <v>833</v>
      </c>
      <c r="F28" s="6"/>
      <c r="G28" s="6"/>
      <c r="H28" s="6"/>
    </row>
    <row r="29" ht="15.75" customHeight="1">
      <c r="A29" s="6" t="s">
        <v>834</v>
      </c>
      <c r="B29" s="6" t="s">
        <v>835</v>
      </c>
      <c r="C29" s="6" t="s">
        <v>836</v>
      </c>
      <c r="D29" s="6" t="s">
        <v>837</v>
      </c>
      <c r="E29" s="6" t="s">
        <v>838</v>
      </c>
      <c r="F29" s="6"/>
      <c r="G29" s="6"/>
      <c r="H29" s="6"/>
    </row>
    <row r="30" ht="15.75" customHeight="1">
      <c r="A30" s="6" t="s">
        <v>839</v>
      </c>
      <c r="B30" s="6" t="s">
        <v>840</v>
      </c>
      <c r="C30" s="6" t="s">
        <v>841</v>
      </c>
      <c r="D30" s="6" t="s">
        <v>842</v>
      </c>
      <c r="E30" s="6" t="s">
        <v>843</v>
      </c>
      <c r="F30" s="6"/>
      <c r="G30" s="6"/>
      <c r="H30" s="6"/>
    </row>
    <row r="31" ht="15.75" customHeight="1">
      <c r="A31" s="6"/>
      <c r="B31" s="6"/>
      <c r="C31" s="6"/>
      <c r="D31" s="6"/>
      <c r="E31" s="6"/>
      <c r="F31" s="6"/>
      <c r="G31" s="6"/>
      <c r="H31" s="6"/>
    </row>
    <row r="32" ht="15.75" customHeight="1">
      <c r="A32" s="6"/>
      <c r="B32" s="6"/>
      <c r="C32" s="6"/>
      <c r="D32" s="6"/>
      <c r="E32" s="6"/>
      <c r="F32" s="6"/>
      <c r="G32" s="6"/>
      <c r="H32" s="6"/>
    </row>
    <row r="33" ht="19.5" customHeight="1">
      <c r="A33" s="9" t="s">
        <v>844</v>
      </c>
    </row>
    <row r="34" ht="15.75" customHeight="1">
      <c r="A34" s="20" t="s">
        <v>716</v>
      </c>
      <c r="B34" s="20" t="s">
        <v>845</v>
      </c>
      <c r="C34" s="20" t="s">
        <v>846</v>
      </c>
      <c r="D34" s="20" t="s">
        <v>187</v>
      </c>
      <c r="E34" s="20"/>
      <c r="F34" s="20"/>
      <c r="G34" s="20"/>
      <c r="H34" s="20"/>
    </row>
    <row r="35" ht="15.75" customHeight="1">
      <c r="A35" s="6" t="s">
        <v>729</v>
      </c>
      <c r="B35" s="6" t="s">
        <v>847</v>
      </c>
      <c r="C35" s="6" t="s">
        <v>848</v>
      </c>
      <c r="D35" s="6" t="s">
        <v>849</v>
      </c>
      <c r="E35" s="6"/>
      <c r="F35" s="6"/>
      <c r="G35" s="6"/>
      <c r="H35" s="6"/>
    </row>
    <row r="36" ht="15.75" customHeight="1">
      <c r="A36" s="6" t="s">
        <v>736</v>
      </c>
      <c r="B36" s="6" t="s">
        <v>850</v>
      </c>
      <c r="C36" s="6" t="s">
        <v>851</v>
      </c>
      <c r="D36" s="6" t="s">
        <v>852</v>
      </c>
      <c r="E36" s="6"/>
      <c r="F36" s="6"/>
      <c r="G36" s="6"/>
      <c r="H36" s="6"/>
    </row>
    <row r="37" ht="15.75" customHeight="1">
      <c r="A37" s="6" t="s">
        <v>750</v>
      </c>
      <c r="B37" s="6" t="s">
        <v>853</v>
      </c>
      <c r="C37" s="6" t="s">
        <v>854</v>
      </c>
      <c r="D37" s="6" t="s">
        <v>855</v>
      </c>
      <c r="E37" s="6"/>
      <c r="F37" s="6"/>
      <c r="G37" s="6"/>
      <c r="H37" s="6"/>
    </row>
    <row r="38" ht="15.75" customHeight="1">
      <c r="A38" s="6" t="s">
        <v>763</v>
      </c>
      <c r="B38" s="6" t="s">
        <v>856</v>
      </c>
      <c r="C38" s="6" t="s">
        <v>857</v>
      </c>
      <c r="D38" s="6" t="s">
        <v>858</v>
      </c>
      <c r="E38" s="6"/>
      <c r="F38" s="6"/>
      <c r="G38" s="6"/>
      <c r="H38" s="6"/>
    </row>
    <row r="39" ht="15.75" customHeight="1">
      <c r="A39" s="6" t="s">
        <v>787</v>
      </c>
      <c r="B39" s="6" t="s">
        <v>859</v>
      </c>
      <c r="C39" s="6" t="s">
        <v>860</v>
      </c>
      <c r="D39" s="6" t="s">
        <v>861</v>
      </c>
      <c r="E39" s="6"/>
      <c r="F39" s="6"/>
      <c r="G39" s="6"/>
      <c r="H39" s="6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K1"/>
    <mergeCell ref="A2:K2"/>
    <mergeCell ref="A4:H4"/>
    <mergeCell ref="A22:H22"/>
    <mergeCell ref="A33:H33"/>
  </mergeCells>
  <printOptions/>
  <pageMargins bottom="0.75" footer="0.0" header="0.0" left="0.7" right="0.7" top="0.75"/>
  <pageSetup orientation="landscape"/>
  <drawing r:id="rId1"/>
</worksheet>
</file>