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se 1" sheetId="1" r:id="rId4"/>
    <sheet state="visible" name="Phase 1.5 (Cigar Butts)" sheetId="2" r:id="rId5"/>
    <sheet state="visible" name="Phase 2" sheetId="3" r:id="rId6"/>
  </sheets>
  <definedNames/>
  <calcPr/>
  <extLst>
    <ext uri="GoogleSheetsCustomDataVersion2">
      <go:sheetsCustomData xmlns:go="http://customooxmlschemas.google.com/" r:id="rId7" roundtripDataChecksum="++IXa7JZkvXX/xQYHOsWwaNKn0KOXgOYfeS152ClLD0="/>
    </ext>
  </extLst>
</workbook>
</file>

<file path=xl/sharedStrings.xml><?xml version="1.0" encoding="utf-8"?>
<sst xmlns="http://schemas.openxmlformats.org/spreadsheetml/2006/main" count="2025" uniqueCount="750">
  <si>
    <t>Entity Name</t>
  </si>
  <si>
    <t>Understandability</t>
  </si>
  <si>
    <t>Revenue</t>
  </si>
  <si>
    <t>Net Income</t>
  </si>
  <si>
    <t>Dilution</t>
  </si>
  <si>
    <t>Debt</t>
  </si>
  <si>
    <t>Moat Potential</t>
  </si>
  <si>
    <t>Industry</t>
  </si>
  <si>
    <t>Customer Base</t>
  </si>
  <si>
    <t>Results</t>
  </si>
  <si>
    <t>Cigar Butts</t>
  </si>
  <si>
    <t>Notes</t>
  </si>
  <si>
    <t>Accel Entertainment, Inc. (NYSE:ACEL)</t>
  </si>
  <si>
    <t>Yes</t>
  </si>
  <si>
    <t>Increasing</t>
  </si>
  <si>
    <t>Decreasing</t>
  </si>
  <si>
    <t>Stable</t>
  </si>
  <si>
    <t>Large</t>
  </si>
  <si>
    <t>ACNB Corporation (NASDAQCM:ACNB)</t>
  </si>
  <si>
    <t>No</t>
  </si>
  <si>
    <t>Acorn Energy, Inc. (NASDAQCM:ACFN)</t>
  </si>
  <si>
    <t>Growing</t>
  </si>
  <si>
    <t>Medium</t>
  </si>
  <si>
    <t>Holding company of Omnimetrix</t>
  </si>
  <si>
    <t>ACRES Commercial Realty Corp. (NYSE:ACR)</t>
  </si>
  <si>
    <t>Adams Natural Resources Fund, Inc. (NYSE:PEO)</t>
  </si>
  <si>
    <t xml:space="preserve">  </t>
  </si>
  <si>
    <t>Advanced Flower Capital Inc. (NASDAQGM:AFCG)</t>
  </si>
  <si>
    <t>AdvanSix Inc. (NYSE:ASIX)</t>
  </si>
  <si>
    <t>AerSale Corporation (NASDAQCM:ASLE)</t>
  </si>
  <si>
    <t>Affinity Bancshares, Inc. (NASDAQCM:AFBI)</t>
  </si>
  <si>
    <t>Agriculture &amp; Natural Solutions Acquisition Corporation (NASDAQGM:ANSC)</t>
  </si>
  <si>
    <t>Aimei Health Technology Co., Ltd (NASDAQGM:AFJK)</t>
  </si>
  <si>
    <t>AirJoule Technologies Corporation (NASDAQCM:AIRJ)</t>
  </si>
  <si>
    <t>AiRWA Inc. (NASDAQCM:YYAI)</t>
  </si>
  <si>
    <t>Alchemy Investments Acquisition Corp 1 (NASDAQCM:ALCY)</t>
  </si>
  <si>
    <t>Aldel Financial II Inc. (NASDAQGM:ALDF)</t>
  </si>
  <si>
    <t>Alerus Financial Corporation (NASDAQCM:ALRS)</t>
  </si>
  <si>
    <t>Alliance Entertainment Holding Corporation (NASDAQCM:AENT)</t>
  </si>
  <si>
    <t>Declining</t>
  </si>
  <si>
    <t>Short?</t>
  </si>
  <si>
    <t>Alpha Modus Holdings, Inc. (NASDAQCM:AMOD)</t>
  </si>
  <si>
    <t>Amerant Bancorp Inc. (NYSE:AMTB)</t>
  </si>
  <si>
    <t>American Coastal Insurance Corporation (NASDAQCM:ACIC)</t>
  </si>
  <si>
    <t>American Integrity Insurance Group, Inc. (NYSE:AII)</t>
  </si>
  <si>
    <t>American Public Education, Inc. (NASDAQGS:APEI)</t>
  </si>
  <si>
    <t>American Woodmark Corporation (NASDAQGS:AMWD)</t>
  </si>
  <si>
    <t>America's Car-Mart, Inc. (NASDAQGS:CRMT)</t>
  </si>
  <si>
    <t>AMERISAFE, Inc. (NASDAQGS:AMSF)</t>
  </si>
  <si>
    <t>AmeriServ Financial, Inc. (NASDAQGM:ASRV)</t>
  </si>
  <si>
    <t>Ames National Corporation (NASDAQCM:ATLO)</t>
  </si>
  <si>
    <t>Ampco-Pittsburgh Corporation (NYSE:AP)</t>
  </si>
  <si>
    <t>Amplify Energy Corp. (NYSE:AMPY)</t>
  </si>
  <si>
    <t>AMREP Corporation (NYSE:AXR)</t>
  </si>
  <si>
    <t>Andersen Group Inc. (NYSE:ANDG)</t>
  </si>
  <si>
    <t>Andretti Acquisition Corp. II (NASDAQGM:POLE)</t>
  </si>
  <si>
    <t>Angel Oak Mortgage REIT, Inc. (NYSE:AOMR)</t>
  </si>
  <si>
    <t>Angi Inc. (NASDAQGS:ANGI)</t>
  </si>
  <si>
    <t>Apogee Enterprises, Inc. (NASDAQGS:APOG)</t>
  </si>
  <si>
    <t>Volatile</t>
  </si>
  <si>
    <t>Arko Corp. (NASDAQCM:ARKO)</t>
  </si>
  <si>
    <t>Armada Acquisition Corp. II (NASDAQGM:XRPN)</t>
  </si>
  <si>
    <t>Armada Hoffler Properties, Inc. (NYSE:AHH)</t>
  </si>
  <si>
    <t>Arrow Financial Corporation (NASDAQGS:AROW)</t>
  </si>
  <si>
    <t>ARS Pharmaceuticals, Inc. (NASDAQGM:SPRY)</t>
  </si>
  <si>
    <t>Artesian Resources Corporation (NASDAQGS:ARTN.A)</t>
  </si>
  <si>
    <t>Slight leeway on debt and dilution due to moat</t>
  </si>
  <si>
    <t>Art's-Way Manufacturing Co., Inc. (NASDAQCM:ARTW)</t>
  </si>
  <si>
    <t>Aspen Aerogels, Inc. (NYSE:ASPN)</t>
  </si>
  <si>
    <t>Astrana Health, Inc. (NASDAQCM:ASTH)</t>
  </si>
  <si>
    <t>Ategrity Specialty Insurance Company Holdings (NYSE:ASIC)</t>
  </si>
  <si>
    <t>Atlanticus Holdings Corporation (NASDAQGS:ATLC)</t>
  </si>
  <si>
    <t>Auburn National Bancorporation, Inc. (NASDAQGM:AUBN)</t>
  </si>
  <si>
    <t>Aviat Networks, Inc. (NASDAQGS:AVNW)</t>
  </si>
  <si>
    <t>Bank of the James Financial Group, Inc. (NASDAQCM:BOTJ)</t>
  </si>
  <si>
    <t>Bank7 Corp. (NASDAQGS:BSVN)</t>
  </si>
  <si>
    <t>Bankwell Financial Group, Inc. (NASDAQGM:BWFG)</t>
  </si>
  <si>
    <t>Barrett Business Services, Inc. (NASDAQGS:BBSI)</t>
  </si>
  <si>
    <t>Do not know enough yet to determine moat but fundamentals are great</t>
  </si>
  <si>
    <t>Bassett Furniture Industries, Incorporated (NASDAQGS:BSET)</t>
  </si>
  <si>
    <t>BayCom Corp (NASDAQGS:BCML)</t>
  </si>
  <si>
    <t>Bayview Acquisition Corp (NASDAQGM:BAYA)</t>
  </si>
  <si>
    <t>Beazer Homes USA, Inc. (NYSE:BZH)</t>
  </si>
  <si>
    <t>Potentially debt issues, moat undertermined</t>
  </si>
  <si>
    <t>biote Corp. (NASDAQGM:BTMD)</t>
  </si>
  <si>
    <t>Hormone company</t>
  </si>
  <si>
    <t>Bit Digital, Inc. (NASDAQCM:BTBT)</t>
  </si>
  <si>
    <t>Bitcoin Depot Inc. (NASDAQCM:BTM)</t>
  </si>
  <si>
    <t>BJ's Restaurants, Inc. (NASDAQGS:BJRI)</t>
  </si>
  <si>
    <t>Black Hawk Acquisition Corporation (NASDAQGM:BKHA)</t>
  </si>
  <si>
    <t>Bloomia Holdings, Inc. (NASDAQCM:TULP)</t>
  </si>
  <si>
    <t>BlueLinx Holdings Inc. (NYSE:BXC)</t>
  </si>
  <si>
    <t>Bold Eagle Acquisition Corp. (NASDAQGM:BEAG)</t>
  </si>
  <si>
    <t>Boston Omaha Corporation (NYSE:BOC)</t>
  </si>
  <si>
    <t>Bowhead Specialty Holdings Inc. (NYSE:BOW)</t>
  </si>
  <si>
    <t>Bowman Consulting Group Ltd. (NASDAQGM:BWMN)</t>
  </si>
  <si>
    <t>Moat undetermined</t>
  </si>
  <si>
    <t>Braemar Hotels &amp; Resorts Inc. (NYSE:BHR)</t>
  </si>
  <si>
    <t>Marked not understandable because they are currently being sold</t>
  </si>
  <si>
    <t>Bridgewater Bancshares, Inc. (NASDAQCM:BWB)</t>
  </si>
  <si>
    <t>Brilliant Earth Group, Inc. (NASDAQGM:BRLT)</t>
  </si>
  <si>
    <t>Broadway Financial Corporation (NASDAQCM:BYFC)</t>
  </si>
  <si>
    <t>Broadwind, Inc. (NASDAQCM:BWEN)</t>
  </si>
  <si>
    <t>Build-A-Bear Workshop, Inc. (NYSE:BBW)</t>
  </si>
  <si>
    <t>Business First Bancshares, Inc. (NASDAQGS:BFST)</t>
  </si>
  <si>
    <t>BV Financial, Inc. (NASDAQCM:BVFL)</t>
  </si>
  <si>
    <t>Byrna Technologies Inc. (NASDAQCM:BYRN)</t>
  </si>
  <si>
    <t>C&amp;F Financial Corporation (NASDAQGS:CFFI)</t>
  </si>
  <si>
    <t>Cable One, Inc. (NYSE:CABO)</t>
  </si>
  <si>
    <t>Calavo Growers, Inc. (NASDAQGS:CVGW)</t>
  </si>
  <si>
    <t>Caleres, Inc. (NYSE:CAL)</t>
  </si>
  <si>
    <t>California BanCorp (NASDAQCM:BCAL)</t>
  </si>
  <si>
    <t>Camden National Corporation (NASDAQGS:CAC)</t>
  </si>
  <si>
    <t>Cango Inc. (NYSE:CANG)</t>
  </si>
  <si>
    <t>Cantaloupe, Inc. (NASDAQGS:CTLP)</t>
  </si>
  <si>
    <t>Canterbury Park Holding Corporation (NASDAQGM:CPHC)</t>
  </si>
  <si>
    <t>Capital Bancorp, Inc. (NASDAQGS:CBNK)</t>
  </si>
  <si>
    <t>Capital City Bank Group, Inc. (NASDAQGS:CCBG)</t>
  </si>
  <si>
    <t>Capitol Federal Financial, Inc. (NASDAQGS:CFFN)</t>
  </si>
  <si>
    <t>Cardinal Infrastructure Group Inc. (NASDAQGS:CDNL)</t>
  </si>
  <si>
    <t>Marked not understandable because they went public too recent</t>
  </si>
  <si>
    <t>CareCloud, Inc. (NASDAQGM:CCLD)</t>
  </si>
  <si>
    <t>Carriage Services, Inc. (NYSE:CSV)</t>
  </si>
  <si>
    <t>Debt is given leeway</t>
  </si>
  <si>
    <t>Cars.com Inc. (NYSE:CARS)</t>
  </si>
  <si>
    <t>Carter Bankshares, Inc. (NASDAQGS:CARE)</t>
  </si>
  <si>
    <t>Cass Information Systems, Inc. (NASDAQGS:CASS)</t>
  </si>
  <si>
    <t>Castle Biosciences, Inc. (NASDAQGM:CSTL)</t>
  </si>
  <si>
    <t>Catalyst Bancorp, Inc. (NASDAQCM:CLST)</t>
  </si>
  <si>
    <t>Cayson Acquisition Corp (NASDAQGM:CAPN)</t>
  </si>
  <si>
    <t>CB Financial Services, Inc. (NASDAQGM:CBFV)</t>
  </si>
  <si>
    <t>Central Pacific Financial Corp. (NYSE:CPF)</t>
  </si>
  <si>
    <t>Central Plains Bancshares, Inc. (NASDAQCM:CPBI)</t>
  </si>
  <si>
    <t>Centurion Acquisition Corp. (NASDAQGM:ALF)</t>
  </si>
  <si>
    <t>CF Bankshares Inc. (NASDAQCM:CFBK)</t>
  </si>
  <si>
    <t>Chain Bridge Bancorp, Inc. (NYSE:CBNA)</t>
  </si>
  <si>
    <t>Champions Oncology, Inc. (NASDAQCM:CSBR)</t>
  </si>
  <si>
    <t>Charlton Aria Acquisition Corporation (NASDAQGM:CHAR)</t>
  </si>
  <si>
    <t>Chatham Lodging Trust (NYSE:CLDT)</t>
  </si>
  <si>
    <t>Borderline understandable as it is an REIT</t>
  </si>
  <si>
    <t>Chemung Financial Corporation (NASDAQGS:CHMG)</t>
  </si>
  <si>
    <t>Cherry Hill Mortgage Investment Corporation (NYSE:CHMI)</t>
  </si>
  <si>
    <t>Chicago Atlantic Real Estate Finance, Inc. (NASDAQGM:REFI)</t>
  </si>
  <si>
    <t>ChoiceOne Financial Services, Inc. (NASDAQCM:COFS)</t>
  </si>
  <si>
    <t>Churchill Capital Corp IX (NASDAQGM:CCIX)</t>
  </si>
  <si>
    <t>Cineverse Corp. (NASDAQCM:CNVS)</t>
  </si>
  <si>
    <t>Citizens &amp; Northern Corporation (NASDAQCM:CZNC)</t>
  </si>
  <si>
    <t>Citizens Community Bancorp, Inc. (NASDAQGM:CZWI)</t>
  </si>
  <si>
    <t>Citizens Financial Services, Inc. (NASDAQCM:CZFS)</t>
  </si>
  <si>
    <t>Citizens, Inc. (NYSE:CIA)</t>
  </si>
  <si>
    <t>Civista Bancshares, Inc. (NASDAQCM:CIVB)</t>
  </si>
  <si>
    <t>Clearwater Paper Corporation (NYSE:CLW)</t>
  </si>
  <si>
    <t>Unable to determine moat</t>
  </si>
  <si>
    <t>Climb Global Solutions, Inc. (NASDAQGM:CLMB)</t>
  </si>
  <si>
    <t>CN Healthy Food Tech Group Corp. (NASDAQCM:UCFI)</t>
  </si>
  <si>
    <t>CNB Financial Corporation (NASDAQGS:CCNE)</t>
  </si>
  <si>
    <t>CO2 Energy Transition Corp. (NASDAQGM:NOEM)</t>
  </si>
  <si>
    <t>CoastalSouth Bancshares, Inc. (NYSE:COSO)</t>
  </si>
  <si>
    <t>Coda Octopus Group, Inc. (NASDAQCM:CODA)</t>
  </si>
  <si>
    <t>Dilution is there but no debt and decent fundamentals, will take research to understand</t>
  </si>
  <si>
    <t>Coffee Holding Co., Inc. (NASDAQCM:JVA)</t>
  </si>
  <si>
    <t>Coherus Oncology, Inc. (NASDAQGM:CHRS)</t>
  </si>
  <si>
    <t>Colony Bankcorp, Inc. (NYSE:CBAN)</t>
  </si>
  <si>
    <t>Commercial Bancgroup, Inc. (NASDAQCM:CBK)</t>
  </si>
  <si>
    <t>Community Bancorp (NASDAQCM:CMTV)</t>
  </si>
  <si>
    <t>Community West Bancshares (NASDAQCM:CWBC)</t>
  </si>
  <si>
    <t>Comstock Holding Companies, Inc. (NASDAQCM:CHCI)</t>
  </si>
  <si>
    <t>Concrete Pumping Holdings, Inc. (NASDAQCM:BBCP)</t>
  </si>
  <si>
    <t>Conduent Incorporated (NASDAQGS:CNDT)</t>
  </si>
  <si>
    <t>Consensus Cloud Solutions, Inc. (NASDAQGS:CCSI)</t>
  </si>
  <si>
    <t>Consumer Portfolio Services, Inc. (NASDAQGM:CPSS)</t>
  </si>
  <si>
    <t>Core Laboratories Inc. (NYSE:CLB)</t>
  </si>
  <si>
    <t>Interesting fundamentals so marked not understandable because they went public too recent</t>
  </si>
  <si>
    <t>Covenant Logistics Group, Inc. (NYSE:CVLG)</t>
  </si>
  <si>
    <t>CPI Card Group Inc. (NASDAQGM:PMTS)</t>
  </si>
  <si>
    <t>Cracker Barrel Old Country Store, Inc. (NASDAQGS:CBRL)</t>
  </si>
  <si>
    <t>Debt marked as 2 due to the excellence in all other fields, usually 3</t>
  </si>
  <si>
    <t>Crane Harbor Acquisition Corp. (NASDAQGM:CHAC)</t>
  </si>
  <si>
    <t>Crawford &amp; Company (NYSE:CRD.B)</t>
  </si>
  <si>
    <t>Crexendo, Inc. (NASDAQCM:CXDO)</t>
  </si>
  <si>
    <t>Cricut, Inc. (NASDAQGS:CRCT)</t>
  </si>
  <si>
    <t>Revenue are Net Income are not great but very understandable business and good in other criteria/moat</t>
  </si>
  <si>
    <t>Cross Timbers Royalty Trust (NYSE:CRT)</t>
  </si>
  <si>
    <t>CrossAmerica Partners LP (NYSE:CAPL)</t>
  </si>
  <si>
    <t>Debt and dillution need to be looked into but very solid revenue and net incoem numbers</t>
  </si>
  <si>
    <t>Cycurion, Inc. (NASDAQGM:CYCU)</t>
  </si>
  <si>
    <t>CytomX Therapeutics, Inc. (NASDAQGS:CTMX)</t>
  </si>
  <si>
    <t>Daily Journal Corporation (NASDAQCM:DJCO)</t>
  </si>
  <si>
    <t>What would seem like a dying industry and business has steadily increased revenue</t>
  </si>
  <si>
    <t>Data Storage Corporation (NASDAQCM:DTST)</t>
  </si>
  <si>
    <t>Dave &amp; Buster's Entertainment, Inc. (NASDAQGS:PLAY)</t>
  </si>
  <si>
    <t>Dillution is a problem and debt is pushing 3</t>
  </si>
  <si>
    <t>Daxor Corporation (NASDAQCM:DXR)</t>
  </si>
  <si>
    <t>Destination XL Group, Inc. (NASDAQGM:DXLG)</t>
  </si>
  <si>
    <t>Diamond Hill Investment Group, Inc. (NASDAQGS:DHIL)</t>
  </si>
  <si>
    <t>Dine Brands Global, Inc. (NYSE:DIN)</t>
  </si>
  <si>
    <t>I am going to pass because of the net income irregularity combined with the debt but it should be watched for value</t>
  </si>
  <si>
    <t>DLH Holdings Corp. (NASDAQCM:DLHC)</t>
  </si>
  <si>
    <t>DocGo Inc. (NASDAQCM:DCGO)</t>
  </si>
  <si>
    <t>Donegal Group Inc. (NASDAQGS:DGIC.A)</t>
  </si>
  <si>
    <t>Douglas Dynamics, Inc. (NYSE:PLOW)</t>
  </si>
  <si>
    <t>Moat undetermined and potentially smaller customer base</t>
  </si>
  <si>
    <t>Drilling Tools International Corporation (NASDAQCM:DTI)</t>
  </si>
  <si>
    <t>DT Cloud Star Acquisition Corporation (NASDAQGM:DTSQ)</t>
  </si>
  <si>
    <t>Eagle Bancorp Montana, Inc. (NASDAQGM:EBMT)</t>
  </si>
  <si>
    <t>Eagle Financial Services, Inc. (NASDAQCM:EFSI)</t>
  </si>
  <si>
    <t>Eastman Kodak Company (NYSE:KODK)</t>
  </si>
  <si>
    <t>ECB Bancorp, Inc. (NASDAQCM:ECBK)</t>
  </si>
  <si>
    <t>Edgewell Personal Care Company (NYSE:EPC)</t>
  </si>
  <si>
    <t>eGain Corporation (NASDAQCM:EGAN)</t>
  </si>
  <si>
    <t>eHealth, Inc. (NASDAQGS:EHTH)</t>
  </si>
  <si>
    <t>Eightco Holdings Inc. (NASDAQCM:ORBS)</t>
  </si>
  <si>
    <t>El Pollo Loco Holdings, Inc. (NASDAQGS:LOCO)</t>
  </si>
  <si>
    <t>Look into net income swings and use of FCF</t>
  </si>
  <si>
    <t>Electro-Sensors, Inc. (NASDAQCM:ELSE)</t>
  </si>
  <si>
    <t>Understandability and moat need to be further researched</t>
  </si>
  <si>
    <t>Ellington Credit Company (NYSE:EARN)</t>
  </si>
  <si>
    <t>Embecta Corp. (NASDAQGS:EMBC)</t>
  </si>
  <si>
    <t>Potentially understandable but bad fundamentals and short track record</t>
  </si>
  <si>
    <t>Emerald Holding, Inc. (NYSE:EEX)</t>
  </si>
  <si>
    <t>Dillution and debt really need to be studied, potentially valid due to COVID's affect on the business nature</t>
  </si>
  <si>
    <t>Employers Holdings, Inc. (NYSE:EIG)</t>
  </si>
  <si>
    <t>Energy Recovery, Inc. (NASDAQGS:ERII)</t>
  </si>
  <si>
    <t>Debt apparently zero but unsure and dillution needs to be studied</t>
  </si>
  <si>
    <t>Energy Services of America Corporation (NASDAQCM:ESOA)</t>
  </si>
  <si>
    <t>Look into moat and net income</t>
  </si>
  <si>
    <t>Ennis, Inc. (NYSE:EBF)</t>
  </si>
  <si>
    <t>Entrada Therapeutics, Inc. (NASDAQGM:TRDA)</t>
  </si>
  <si>
    <t>Equity Bancshares, Inc. (NYSE:EQBK)</t>
  </si>
  <si>
    <t>EQV Ventures Acquisition Corp. (NYSE:FTW)</t>
  </si>
  <si>
    <t>Escalade, Incorporated (NASDAQGM:ESCA)</t>
  </si>
  <si>
    <t>Revenue and net income decreased in past five years and moat unsure</t>
  </si>
  <si>
    <t>ESH Acquisition Corp. (NASDAQCM:ESHA)</t>
  </si>
  <si>
    <t>Esquire Financial Holdings, Inc. (NASDAQCM:ESQ)</t>
  </si>
  <si>
    <t>Ethan Allen Interiors Inc. (NYSE:ETD)</t>
  </si>
  <si>
    <t>Revenue and Net Income saw all time highs in early 2000s but seem to have settled into a potentially stable growth</t>
  </si>
  <si>
    <t>Ethos Technologies Inc. (NASDAQGS:LIFE)</t>
  </si>
  <si>
    <t>European Wax Center, Inc. (NASDAQGS:EWCZ)</t>
  </si>
  <si>
    <t>EverQuote, Inc. (NASDAQGM:EVER)</t>
  </si>
  <si>
    <t>Everspin Technologies, Inc. (NASDAQGM:MRAM)</t>
  </si>
  <si>
    <t>Interesting but too complex to determine moat</t>
  </si>
  <si>
    <t>Falcon's Beyond Global, Inc. (NASDAQGM:FBYD)</t>
  </si>
  <si>
    <t>Farmers &amp; Merchants Bancorp, Inc. (NASDAQCM:FMAO)</t>
  </si>
  <si>
    <t>Farmers National Banc Corp. (NASDAQCM:FMNB)</t>
  </si>
  <si>
    <t>Farmland Partners Inc. (NYSE:FPI)</t>
  </si>
  <si>
    <t>Dillution was given the pass due to the fundamentals</t>
  </si>
  <si>
    <t>FatPipe, Inc. (NASDAQCM:FATN)</t>
  </si>
  <si>
    <t>Fidelity D &amp; D Bancorp, Inc. (NASDAQGM:FDBC)</t>
  </si>
  <si>
    <t>Finance of America Companies Inc. (NYSE:FOA)</t>
  </si>
  <si>
    <t>Financial Institutions, Inc. (NASDAQGS:FISI)</t>
  </si>
  <si>
    <t>Finward Bancorp (NASDAQCM:FNWD)</t>
  </si>
  <si>
    <t>FinWise Bancorp (NASDAQGM:FINW)</t>
  </si>
  <si>
    <t>First Bank (NASDAQGM:FRBA)</t>
  </si>
  <si>
    <t>First Business Financial Services, Inc. (NASDAQGS:FBIZ)</t>
  </si>
  <si>
    <t>First Capital, Inc. (NASDAQCM:FCAP)</t>
  </si>
  <si>
    <t>First Community Bankshares, Inc. (NASDAQGS:FCBC)</t>
  </si>
  <si>
    <t>First Community Corporation (NASDAQCM:FCCO)</t>
  </si>
  <si>
    <t>First Financial Corporation (NASDAQGS:THFF)</t>
  </si>
  <si>
    <t>First National Corporation (NASDAQCM:FXNC)</t>
  </si>
  <si>
    <t>First United Corporation (NASDAQGS:FUNC)</t>
  </si>
  <si>
    <t>First US Bancshares, Inc. (NASDAQCM:FUSB)</t>
  </si>
  <si>
    <t>First Western Financial, Inc. (NASDAQGS:MYFW)</t>
  </si>
  <si>
    <t>FiscalNote Holdings, Inc. (NYSE:NOTE)</t>
  </si>
  <si>
    <t>FitLife Brands, Inc. (NASDAQCM:FTLF)</t>
  </si>
  <si>
    <t>Dillution given pass due to other fundamental's strength</t>
  </si>
  <si>
    <t>Five Point Holdings, LLC (NYSE:FPH)</t>
  </si>
  <si>
    <t>Five Star Bancorp (NASDAQGS:FSBC)</t>
  </si>
  <si>
    <t>Flag Ship Acquisition Corporation (NASDAQGM:FSHP)</t>
  </si>
  <si>
    <t>Flexsteel Industries, Inc. (NASDAQGS:FLXS)</t>
  </si>
  <si>
    <t>Flotek Industries, Inc. (NYSE:FTK)</t>
  </si>
  <si>
    <t>Flowco Holdings Inc. (NYSE:FLOC)</t>
  </si>
  <si>
    <t>Flushing Financial Corporation (NASDAQGS:FFIC)</t>
  </si>
  <si>
    <t>FONAR Corporation (NASDAQCM:FONR)</t>
  </si>
  <si>
    <t>Fox Factory Holding Corp. (NASDAQGS:FOXF)</t>
  </si>
  <si>
    <t>Debt and dillution given leeway due to other fundamentals strength</t>
  </si>
  <si>
    <t>Franklin BSP Realty Trust, Inc. (NYSE:FBRT)</t>
  </si>
  <si>
    <t>Franklin Covey Co. (NYSE:FC)</t>
  </si>
  <si>
    <t>Franklin Financial Services Corporation (NASDAQCM:FRAF)</t>
  </si>
  <si>
    <t>Frequency Electronics, Inc. (NASDAQGM:FEIM)</t>
  </si>
  <si>
    <t>Friedman Industries, Incorporated (NASDAQGS:FRD)</t>
  </si>
  <si>
    <t>Debt given leeway and revenue/net income somewhat volatile</t>
  </si>
  <si>
    <t>FRP Holdings, Inc. (NASDAQGS:FRPH)</t>
  </si>
  <si>
    <t>FS Bancorp, Inc. (NASDAQCM:FSBW)</t>
  </si>
  <si>
    <t>FutureFuel Corp. (NYSE:FF)</t>
  </si>
  <si>
    <t>FVCBankcorp, Inc. (NASDAQCM:FVCB)</t>
  </si>
  <si>
    <t>GBank Financial Holdings Inc. (NASDAQCM:GBFH)</t>
  </si>
  <si>
    <t>GCM Grosvenor Inc. (NASDAQGM:GCMG)</t>
  </si>
  <si>
    <t>GEN Restaurant Group, Inc. (NASDAQGM:GENK)</t>
  </si>
  <si>
    <t>Dillution hard to determine at first glance and also very freshly went public</t>
  </si>
  <si>
    <t>Genco Shipping &amp; Trading Limited (NYSE:GNK)</t>
  </si>
  <si>
    <t>121 total customers</t>
  </si>
  <si>
    <t>Genie Energy Ltd. (NYSE:GNE)</t>
  </si>
  <si>
    <t>Net income was negative for multiple periods pre 2017 and moat is not determined</t>
  </si>
  <si>
    <t>Gentherm Incorporated (NASDAQGS:THRM)</t>
  </si>
  <si>
    <t>Net income has seen swings despite very steady revenue increases, moat undetermined</t>
  </si>
  <si>
    <t>Getty Images Holdings, Inc. (NYSE:GETY)</t>
  </si>
  <si>
    <t>GigCapital7 Corp. (NASDAQGM:GIG)</t>
  </si>
  <si>
    <t>Gladstone Commercial Corporation (NASDAQGS:GOOD)</t>
  </si>
  <si>
    <t>Gladstone Land Corporation (NASDAQGM:LAND)</t>
  </si>
  <si>
    <t>Global Indemnity Group, LLC (NASDAQGS:GBLI)</t>
  </si>
  <si>
    <t>Global Medical REIT Inc. (NYSE:GMRE)</t>
  </si>
  <si>
    <t>Global Self Storage, Inc. (NASDAQCM:SELF)</t>
  </si>
  <si>
    <t>Debt and dillution need to be inspected</t>
  </si>
  <si>
    <t>Global Water Resources, Inc. (NASDAQGM:GWRS)</t>
  </si>
  <si>
    <t>Leeway on debt since it is a utility</t>
  </si>
  <si>
    <t>Gogo Inc. (NASDAQGS:GOGO)</t>
  </si>
  <si>
    <t>Golden Entertainment, Inc. (NASDAQGM:GDEN)</t>
  </si>
  <si>
    <t>Revenue and net income are volatile but over the long term increasing</t>
  </si>
  <si>
    <t>Good Times Restaurants Inc. (NASDAQCM:GTIM)</t>
  </si>
  <si>
    <t>PASS</t>
  </si>
  <si>
    <t>Tight margins and negative net income multiple periods but not as of recent</t>
  </si>
  <si>
    <t>GoodRx Holdings, Inc. (NASDAQGS:GDRX)</t>
  </si>
  <si>
    <t>GP-Act III Acquisition Corp. (NASDAQGM:GPAT)</t>
  </si>
  <si>
    <t>GrabAGun Digital Holdings Inc. (NYSE:PEW)</t>
  </si>
  <si>
    <t>Graham Corporation (NYSE:GHM)</t>
  </si>
  <si>
    <t>Granite Ridge Resources, Inc. (NYSE:GRNT)</t>
  </si>
  <si>
    <t>FAIL</t>
  </si>
  <si>
    <t>Marked fail due to short history of public records combined with large volatility</t>
  </si>
  <si>
    <t>Gray Media, Inc. (NYSE:GTN)</t>
  </si>
  <si>
    <t>Great Elm Group, Inc. (NASDAQGS:GEG)</t>
  </si>
  <si>
    <t>Great Southern Bancorp, Inc. (NASDAQGS:GSBC)</t>
  </si>
  <si>
    <t>Greene County Bancorp, Inc. (NASDAQCM:GCBC)</t>
  </si>
  <si>
    <t>Greenland Technologies Holding Corporation (NASDAQCM:GTEC)</t>
  </si>
  <si>
    <t>Greystone Housing Impact Investors LP (NYSE:GHI)</t>
  </si>
  <si>
    <t>Grid Dynamics Holdings, Inc. (NASDAQCM:GDYN)</t>
  </si>
  <si>
    <t>Gyre Therapeutics, Inc. (NASDAQCM:GYRE)</t>
  </si>
  <si>
    <t>Hamilton Beach Brands Holding Company (NYSE:HBB)</t>
  </si>
  <si>
    <t>Hanmi Financial Corporation (NASDAQGS:HAFC)</t>
  </si>
  <si>
    <t>Hanover Bancorp, Inc. (NASDAQGS:HNVR)</t>
  </si>
  <si>
    <t>Haverty Furniture Companies, Inc. (NYSE:HVT)</t>
  </si>
  <si>
    <t>Over the past ten years revenue and net income have gone up and back down, more periods would help</t>
  </si>
  <si>
    <t>Hawthorn Bancshares, Inc. (NASDAQGS:HWBK)</t>
  </si>
  <si>
    <t>Haymaker Acquisition Corp. 4 (NYSE:HYAC)</t>
  </si>
  <si>
    <t>HBT Financial, Inc. (NASDAQGS:HBT)</t>
  </si>
  <si>
    <t>Health In Tech, Inc. (NASDAQCM:HIT)</t>
  </si>
  <si>
    <t>HealthStream, Inc. (NASDAQGS:HSTM)</t>
  </si>
  <si>
    <t>Helen of Troy Limited (NASDAQGS:HELE)</t>
  </si>
  <si>
    <t>Very consistent slowly increasing revenue, somewhat volatile net income, dillution is best so far</t>
  </si>
  <si>
    <t>Hennessy Advisors, Inc. (NASDAQGM:HNNA)</t>
  </si>
  <si>
    <t>Heritage Commerce Corp (NASDAQGS:HTBK)</t>
  </si>
  <si>
    <t>Heritage Distilling Holding Company, Inc. (NASDAQCM:IPST)</t>
  </si>
  <si>
    <t>Just recently went public</t>
  </si>
  <si>
    <t>Heritage Global Inc. (NASDAQCM:HGBL)</t>
  </si>
  <si>
    <t>Heritage Insurance Holdings, Inc. (NYSE:HRTG)</t>
  </si>
  <si>
    <t>HighPeak Energy, Inc. (NASDAQGM:HPK)</t>
  </si>
  <si>
    <t>Hingham Institution for Savings (NASDAQGM:HIFS)</t>
  </si>
  <si>
    <t>HireQuest, Inc. (NASDAQCM:HQI)</t>
  </si>
  <si>
    <t>Home Bancorp, Inc. (NASDAQGS:HBCP)</t>
  </si>
  <si>
    <t>Home Federal Bancorp, Inc. of Louisiana (NASDAQCM:HFBL)</t>
  </si>
  <si>
    <t>HomeTrust Bancshares, Inc. (NYSE:HTB)</t>
  </si>
  <si>
    <t>Horizon Space Acquisition II Corp. (NASDAQGM:HSPT)</t>
  </si>
  <si>
    <t>Hour Loop, Inc. (NASDAQCM:HOUR)</t>
  </si>
  <si>
    <t>Hovnanian Enterprises, Inc. (NYSE:HOV)</t>
  </si>
  <si>
    <t>Hudson Technologies, Inc. (NASDAQCM:HDSN)</t>
  </si>
  <si>
    <t>Hyster-Yale, Inc. (NYSE:HY)</t>
  </si>
  <si>
    <t>Cannot determine dillution at first glance, very large revenue values</t>
  </si>
  <si>
    <t>i3 Verticals, Inc. (NASDAQGS:IIIV)</t>
  </si>
  <si>
    <t>IB Acquisition Corp. (NASDAQGM:IBAC)</t>
  </si>
  <si>
    <t>IBEX Limited (NASDAQGM:IBEX)</t>
  </si>
  <si>
    <t>Ibotta, Inc. (NYSE:IBTA)</t>
  </si>
  <si>
    <t>Identiv, Inc. (NASDAQCM:INVE)</t>
  </si>
  <si>
    <t>IF Bancorp, Inc. (NASDAQCM:IROQ)</t>
  </si>
  <si>
    <t>Immersion Corporation (NASDAQGS:IMMR)</t>
  </si>
  <si>
    <t>Independent Bank Corporation (NASDAQGS:IBCP)</t>
  </si>
  <si>
    <t>Infinity Natural Resources, Inc. (NYSE:INR)</t>
  </si>
  <si>
    <t>Inflection Point Acquisition Corp. IV (NASDAQGM:BACQ)</t>
  </si>
  <si>
    <t>Information Services Group, Inc. (NASDAQGM:III)</t>
  </si>
  <si>
    <t>Innovative Aerosystems, Inc. (NASDAQGS:ISSC)</t>
  </si>
  <si>
    <t>Inseego Corp. (NASDAQGS:INSG)</t>
  </si>
  <si>
    <t>Inspired Entertainment, Inc. (NASDAQCM:INSE)</t>
  </si>
  <si>
    <t>Insteel Industries Inc. (NYSE:IIIN)</t>
  </si>
  <si>
    <t>International Money Express, Inc. (NASDAQCM:IMXI)</t>
  </si>
  <si>
    <t>Invesco Mortgage Capital Inc. (NYSE:IVR)</t>
  </si>
  <si>
    <t>Investar Holding Corporation (NASDAQGM:ISTR)</t>
  </si>
  <si>
    <t>Investors Title Company (NASDAQGS:ITIC)</t>
  </si>
  <si>
    <t>Ironwood Pharmaceuticals, Inc. (NASDAQGS:IRWD)</t>
  </si>
  <si>
    <t>Isabella Bank Corporation (NASDAQCM:ISBA)</t>
  </si>
  <si>
    <t>J.Jill, Inc. (NYSE:JILL)</t>
  </si>
  <si>
    <t>Jackson Acquisition Company II (NYSE:JACS)</t>
  </si>
  <si>
    <t>JAKKS Pacific, Inc. (NASDAQGS:JAKK)</t>
  </si>
  <si>
    <t>Janus International Group, Inc. (NYSE:JBI)</t>
  </si>
  <si>
    <t>JFB Construction Holdings (NASDAQCM:JFB)</t>
  </si>
  <si>
    <t>John B. Sanfilippo &amp; Son, Inc. (NASDAQGS:JBSS)</t>
  </si>
  <si>
    <t>John Marshall Bancorp, Inc. (NASDAQCM:JMSB)</t>
  </si>
  <si>
    <t>Karat Packaging Inc. (NASDAQGS:KRT)</t>
  </si>
  <si>
    <t>Kearny Financial Corp. (NASDAQGS:KRNY)</t>
  </si>
  <si>
    <t>Keen Vision Acquisition Corporation (NASDAQGM:KVAC)</t>
  </si>
  <si>
    <t>Kentucky First Federal Bancorp (NASDAQGM:KFFB)</t>
  </si>
  <si>
    <t>Kewaunee Scientific Corporation (NASDAQGM:KEQU)</t>
  </si>
  <si>
    <t>Kforce Inc. (NYSE:KFRC)</t>
  </si>
  <si>
    <t>Kimball Electronics, Inc. (NASDAQGS:KE)</t>
  </si>
  <si>
    <t>Kingstone Companies, Inc. (NASDAQCM:KINS)</t>
  </si>
  <si>
    <t>Kiora Pharmaceuticals, Inc. (NASDAQCM:KPRX)</t>
  </si>
  <si>
    <t>Koppers Holdings Inc. (NYSE:KOP)</t>
  </si>
  <si>
    <t>Kosmos Energy Ltd. (NYSE:KOS)</t>
  </si>
  <si>
    <t>Krispy Kreme, Inc. (NASDAQGS:DNUT)</t>
  </si>
  <si>
    <t>Kronos Worldwide, Inc. (NYSE:KRO)</t>
  </si>
  <si>
    <t>L.B. Foster Company (NASDAQGS:FSTR)</t>
  </si>
  <si>
    <t>Lake Shore Bancorp, Inc. (NASDAQGM:LSBK)</t>
  </si>
  <si>
    <t>Lakeshore Acquisition III Corp. (NASDAQGM:LCCC)</t>
  </si>
  <si>
    <t>Landmark Bancorp, Inc. (NASDAQGM:LARK)</t>
  </si>
  <si>
    <t>Lands' End, Inc. (NASDAQCM:LE)</t>
  </si>
  <si>
    <t>Launch One Acquisition Corp. (NASDAQGM:LPAA)</t>
  </si>
  <si>
    <t>Launch Two Acquisition Corp. (NASDAQGM:LPBB)</t>
  </si>
  <si>
    <t>LCNB Corp. (NASDAQCM:LCNB)</t>
  </si>
  <si>
    <t>Legacy Housing Corporation (NASDAQGS:LEGH)</t>
  </si>
  <si>
    <t>LifeVantage Corporation (NASDAQCM:LFVN)</t>
  </si>
  <si>
    <t>Lifeway Foods, Inc. (NASDAQGM:LWAY)</t>
  </si>
  <si>
    <t>Lincoln Educational Services Corporation (NASDAQGS:LINC)</t>
  </si>
  <si>
    <t>LINKBANCORP, Inc. (NASDAQCM:LNKB)</t>
  </si>
  <si>
    <t>Linkhome Holdings Inc. (NASDAQCM:LHAI)</t>
  </si>
  <si>
    <t>Lionheart Holdings (NASDAQGM:CUB)</t>
  </si>
  <si>
    <t>Lipocine Inc. (NASDAQCM:LPCN)</t>
  </si>
  <si>
    <t>Live Ventures Incorporated (NASDAQCM:LIVE)</t>
  </si>
  <si>
    <t>LSI Industries Inc. (NASDAQGS:LYTS)</t>
  </si>
  <si>
    <t>Lument Finance Trust, Inc. (NYSE:LFT)</t>
  </si>
  <si>
    <t>Luxfer Holdings PLC (NYSE:LXFR)</t>
  </si>
  <si>
    <t>M3-Brigade Acquisition V Corp. (NASDAQGM:MBAV)</t>
  </si>
  <si>
    <t>Magyar Bancorp, Inc. (NASDAQGM:MGYR)</t>
  </si>
  <si>
    <t>MainStreet Bancshares, Inc. (NASDAQCM:MNSB)</t>
  </si>
  <si>
    <t>Maison Solutions Inc. (NASDAQCM:MSS)</t>
  </si>
  <si>
    <t>Malibu Boats, Inc. (NASDAQGM:MBUU)</t>
  </si>
  <si>
    <t>Mama's Creations, Inc. (NASDAQCM:MAMA)</t>
  </si>
  <si>
    <t>Dillution somewhat increasing</t>
  </si>
  <si>
    <t>Manhattan Bridge Capital, Inc. (NASDAQCM:LOAN)</t>
  </si>
  <si>
    <t>Mannatech, Incorporated (NASDAQCM:MTEX)</t>
  </si>
  <si>
    <t>Marathon Bancorp, Inc. (NASDAQCM:MBBC)</t>
  </si>
  <si>
    <t>Marine Petroleum Trust (NASDAQCM:MARP.S)</t>
  </si>
  <si>
    <t>Marine Products Corporation (NYSE:MPX)</t>
  </si>
  <si>
    <t>MarketWise, Inc. (NASDAQGM:MKTW)</t>
  </si>
  <si>
    <t>Massimo Group (NASDAQCM:MAMO)</t>
  </si>
  <si>
    <t>MasterCraft Boat Holdings, Inc. (NASDAQGM:MCFT)</t>
  </si>
  <si>
    <t>Mayville Engineering Company, Inc. (NYSE:MEC)</t>
  </si>
  <si>
    <t>MDB Capital Holdings, LLC (NASDAQCM:MDBH)</t>
  </si>
  <si>
    <t>Medalist Diversified REIT, Inc. (NASDAQCM:MDRR)</t>
  </si>
  <si>
    <t>Medallion Financial Corp. (NASDAQGS:MFIN)</t>
  </si>
  <si>
    <t>MediaAlpha, Inc. (NYSE:MAX)</t>
  </si>
  <si>
    <t>Medifast, Inc. (NYSE:MED)</t>
  </si>
  <si>
    <t>Melar Acquisition Corp. I (NASDAQGM:MACI)</t>
  </si>
  <si>
    <t>Mercantile Bank Corporation (NASDAQGS:MBWM)</t>
  </si>
  <si>
    <t>Meridian Corporation (NASDAQGS:MRBK)</t>
  </si>
  <si>
    <t>Mesa Royalty Trust (NYSE:MTR)</t>
  </si>
  <si>
    <t>Mesabi Trust (NYSE:MSB)</t>
  </si>
  <si>
    <t>Metallus Inc. (NYSE:MTUS)</t>
  </si>
  <si>
    <t>MetroCity Bankshares, Inc. (NASDAQGS:MCBS)</t>
  </si>
  <si>
    <t>Metropolitan Bank Holding Corp. (NYSE:MCB)</t>
  </si>
  <si>
    <t>MFA Financial, Inc. (NYSE:MFA)</t>
  </si>
  <si>
    <t>MGP Ingredients, Inc. (NASDAQGS:MGPI)</t>
  </si>
  <si>
    <t>Mid Penn Bancorp, Inc. (NASDAQGM:MPB)</t>
  </si>
  <si>
    <t>Middlefield Banc Corp. (NASDAQCM:MBCN)</t>
  </si>
  <si>
    <t>Middlesex Water Company (NASDAQGS:MSEX)</t>
  </si>
  <si>
    <t>Miller Industries, Inc. (NYSE:MLR)</t>
  </si>
  <si>
    <t>MiMedx Group, Inc. (NASDAQCM:MDXG)</t>
  </si>
  <si>
    <t>MIND Technology, Inc. (NASDAQCM:MIND)</t>
  </si>
  <si>
    <t>Minerva Neurosciences, Inc. (NASDAQCM:NERV)</t>
  </si>
  <si>
    <t>Mission Produce, Inc. (NASDAQGS:AVO)</t>
  </si>
  <si>
    <t>Mistras Group, Inc. (NYSE:MG)</t>
  </si>
  <si>
    <t>Mitek Systems, Inc. (NASDAQCM:MITK)</t>
  </si>
  <si>
    <t>Modiv Industrial, Inc. (NYSE:MDV)</t>
  </si>
  <si>
    <t>Montauk Renewables, Inc. (NASDAQCM:MNTK)</t>
  </si>
  <si>
    <t>Mount Logan Capital Inc. (NASDAQGM:MLCI)</t>
  </si>
  <si>
    <t>Mountain Lake Acquisition Corp. (NASDAQGM:MLAC)</t>
  </si>
  <si>
    <t>Movado Group, Inc. (NYSE:MOV)</t>
  </si>
  <si>
    <t>MV Oil Trust (NYSE:MVO)</t>
  </si>
  <si>
    <t>MVB Financial Corp. (NASDAQCM:MVBF)</t>
  </si>
  <si>
    <t>Myers Industries, Inc. (NYSE:MYE)</t>
  </si>
  <si>
    <t>NACCO Industries, Inc. (NYSE:NC)</t>
  </si>
  <si>
    <t>Nathan's Famous, Inc. (NASDAQGS:NATH)</t>
  </si>
  <si>
    <t>National Bankshares, Inc. (NASDAQCM:NKSH)</t>
  </si>
  <si>
    <t>National Presto Industries, Inc. (NYSE:NPK)</t>
  </si>
  <si>
    <t>National Research Corporation (NASDAQGS:NRC)</t>
  </si>
  <si>
    <t>Natural Gas Services Group, Inc. (NYSE:NGS)</t>
  </si>
  <si>
    <t>Natural Grocers by Vitamin Cottage, Inc. (NYSE:NGVC)</t>
  </si>
  <si>
    <t>Nature's Sunshine Products, Inc. (NASDAQCM:NATR)</t>
  </si>
  <si>
    <t>NB Bancorp, Inc. (NASDAQCM:NBBK)</t>
  </si>
  <si>
    <t>NCS Multistage Holdings, Inc. (NASDAQCM:NCSM)</t>
  </si>
  <si>
    <t>Nephros, Inc. (NASDAQCM:NEPH)</t>
  </si>
  <si>
    <t>NerdWallet, Inc. (NASDAQGM:NRDS)</t>
  </si>
  <si>
    <t>NetSol Technologies, Inc. (NASDAQCM:NTWK)</t>
  </si>
  <si>
    <t>Newbury Street II Acquisition Corp (NASDAQGM:NTWO)</t>
  </si>
  <si>
    <t>NewtekOne, Inc. (NASDAQGM:NEWT)</t>
  </si>
  <si>
    <t>NexPoint Real Estate Finance, Inc. (NYSE:NREF)</t>
  </si>
  <si>
    <t>NexPoint Residential Trust, Inc. (NYSE:NXRT)</t>
  </si>
  <si>
    <t>Niagen Bioscience, Inc. (NASDAQCM:NAGE)</t>
  </si>
  <si>
    <t>NL Industries, Inc. (NYSE:NL)</t>
  </si>
  <si>
    <t>North European Oil Royalty Trust (NYSE:NRT)</t>
  </si>
  <si>
    <t>Northeast Community Bancorp, Inc. (NASDAQCM:NECB)</t>
  </si>
  <si>
    <t>Northern Technologies International Corporation (NASDAQGM:NTIC)</t>
  </si>
  <si>
    <t>Northfield Bancorp, Inc. (Staten Island, NY) (NASDAQGS:NFBK)</t>
  </si>
  <si>
    <t>Northpointe Bancshares, Inc. (NYSE:NPB)</t>
  </si>
  <si>
    <t>Northrim BanCorp, Inc. (NASDAQGS:NRIM)</t>
  </si>
  <si>
    <t>Norwood Financial Corp. (NASDAQGM:NWFL)</t>
  </si>
  <si>
    <t>Nutex Health Inc. (NASDAQCM:NUTX)</t>
  </si>
  <si>
    <t>NVE Corporation (NASDAQCM:NVEC)</t>
  </si>
  <si>
    <t>NWPX Infrastructure, Inc. (NASDAQGS:NWPX)</t>
  </si>
  <si>
    <t>Oak Valley Bancorp (NASDAQCM:OVLY)</t>
  </si>
  <si>
    <t>Oaktree Acquisition Corp. III Life Sciences (NASDAQGM:OACC)</t>
  </si>
  <si>
    <t>Odyssey Marine Exploration, Inc. (NASDAQCM:OMEX)</t>
  </si>
  <si>
    <t>Ohio Valley Banc Corp. (NASDAQGM:OVBC)</t>
  </si>
  <si>
    <t>Oil-Dri Corporation of America (NYSE:ODC)</t>
  </si>
  <si>
    <t>Olaplex Holdings, Inc. (NASDAQGS:OLPX)</t>
  </si>
  <si>
    <t>Olympic Steel, Inc. (NASDAQGS:ZEUS)</t>
  </si>
  <si>
    <t>Omega Flex, Inc. (NASDAQGM:OFLX)</t>
  </si>
  <si>
    <t>One Liberty Properties, Inc. (NYSE:OLP)</t>
  </si>
  <si>
    <t>OneSpan Inc. (NASDAQCM:OSPN)</t>
  </si>
  <si>
    <t>Onity Group Inc. (NYSE:ONIT)</t>
  </si>
  <si>
    <t>OP Bancorp (NASDAQGM:OPBK)</t>
  </si>
  <si>
    <t>OPAL Fuels Inc. (NASDAQCM:OPAL)</t>
  </si>
  <si>
    <t>Oppenheimer Holdings Inc. (NYSE:OPY)</t>
  </si>
  <si>
    <t>OppFi Inc. (NYSE:OPFI)</t>
  </si>
  <si>
    <t>Optex Systems Holdings, Inc (NASDAQCM:OPXS)</t>
  </si>
  <si>
    <t>Orange County Bancorp, Inc. (NASDAQCM:OBT)</t>
  </si>
  <si>
    <t>Organogenesis Holdings Inc. (NASDAQCM:ORGO)</t>
  </si>
  <si>
    <t>Orrstown Financial Services, Inc. (NASDAQCM:ORRF)</t>
  </si>
  <si>
    <t>Oxford Industries, Inc. (NYSE:OXM)</t>
  </si>
  <si>
    <t>Pangaea Logistics Solutions Ltd. (NASDAQCM:PANL)</t>
  </si>
  <si>
    <t>Park Aerospace Corp. (NYSE:PKE)</t>
  </si>
  <si>
    <t>Park Dental Partners, Inc. (NASDAQCM:PARK)</t>
  </si>
  <si>
    <t>Parke Bancorp, Inc. (NASDAQCM:PKBK)</t>
  </si>
  <si>
    <t>Park-Ohio Holdings Corp. (NASDAQGS:PKOH)</t>
  </si>
  <si>
    <t>PAVmed Inc. (NASDAQCM:PAVM)</t>
  </si>
  <si>
    <t>Paysign, Inc. (NASDAQCM:PAYS)</t>
  </si>
  <si>
    <t>PCB Bancorp (NASDAQGS:PCB)</t>
  </si>
  <si>
    <t>Peapack-Gladstone Financial Corporation (NASDAQGS:PGC)</t>
  </si>
  <si>
    <t>Penguin Solutions, Inc. (NASDAQGS:PENG)</t>
  </si>
  <si>
    <t>Peoples Bancorp of North Carolina, Inc. (NASDAQGM:PEBK)</t>
  </si>
  <si>
    <t>Peoples Financial Services Corp. (NASDAQGS:PFIS)</t>
  </si>
  <si>
    <t>Perceptive Capital Solutions Corp (NASDAQGM:PCSC)</t>
  </si>
  <si>
    <t>Perma-Pipe International Holdings, Inc. (NASDAQGM:PPIH)</t>
  </si>
  <si>
    <t>Permian Basin Royalty Trust (NYSE:PBT)</t>
  </si>
  <si>
    <t>Permianville Royalty Trust (NYSE:PVL)</t>
  </si>
  <si>
    <t>PermRock Royalty Trust (NYSE:PRT)</t>
  </si>
  <si>
    <t>PharmaCyte Biotech, Inc. (NASDAQCM:PMCB)</t>
  </si>
  <si>
    <t>PhenixFIN Corporation (NASDAQGM:PFX)</t>
  </si>
  <si>
    <t>Pioneer Bancorp, Inc. (NASDAQCM:PBFS)</t>
  </si>
  <si>
    <t>Pioneer Power Solutions, Inc. (NASDAQCM:PPSI)</t>
  </si>
  <si>
    <t>Plumas Bancorp (NASDAQCM:PLBC)</t>
  </si>
  <si>
    <t>Ponce Financial Group, Inc. (NASDAQGM:PDLB)</t>
  </si>
  <si>
    <t>Portillo's Inc. (NASDAQGS:PTLO)</t>
  </si>
  <si>
    <t>Postal Realty Trust, Inc. (NYSE:PSTL)</t>
  </si>
  <si>
    <t>PRA Group, Inc. (NASDAQGS:PRAA)</t>
  </si>
  <si>
    <t>Precision BioSciences, Inc. (NASDAQCM:DTIL)</t>
  </si>
  <si>
    <t>Presurance Holdings, Inc. (NASDAQCM:PRHI)</t>
  </si>
  <si>
    <t>PrimeEnergy Resources Corporation (NASDAQCM:PNRG)</t>
  </si>
  <si>
    <t>Primis Financial Corp. (NASDAQGM:FRST)</t>
  </si>
  <si>
    <t>Princeton Bancorp, Inc. (NASDAQGS:BPRN)</t>
  </si>
  <si>
    <t>Priority Technology Holdings, Inc. (NASDAQCM:PRTH)</t>
  </si>
  <si>
    <t>Pro-Dex, Inc. (NASDAQCM:PDEX)</t>
  </si>
  <si>
    <t>Provident Financial Holdings, Inc. (NASDAQGS:PROV)</t>
  </si>
  <si>
    <t>PubMatic, Inc. (NASDAQGM:PUBM)</t>
  </si>
  <si>
    <t>Puma Biotechnology, Inc. (NASDAQGS:PBYI)</t>
  </si>
  <si>
    <t>Pure Cycle Corporation (NASDAQCM:PCYO)</t>
  </si>
  <si>
    <t>Quetta Acquisition Corporation (NASDAQGM:QETA)</t>
  </si>
  <si>
    <t>QuinStreet, Inc. (NASDAQGS:QNST)</t>
  </si>
  <si>
    <t>Ranger Energy Services, Inc. (NYSE:RNGR)</t>
  </si>
  <si>
    <t>Rapid7, Inc. (NASDAQGM:RPD)</t>
  </si>
  <si>
    <t>Rave Restaurant Group, Inc. (NASDAQCM:RAVE)</t>
  </si>
  <si>
    <t>RBB Bancorp (NASDAQGS:RBB)</t>
  </si>
  <si>
    <t>RCI Hospitality Holdings, Inc. (NASDAQGM:RICK)</t>
  </si>
  <si>
    <t>RCM Technologies, Inc. (NASDAQGM:RCMT)</t>
  </si>
  <si>
    <t>RE/MAX Holdings, Inc. (NYSE:RMAX)</t>
  </si>
  <si>
    <t>Red River Bancshares, Inc. (NASDAQGS:RRBI)</t>
  </si>
  <si>
    <t>Red Violet, Inc. (NASDAQCM:RDVT)</t>
  </si>
  <si>
    <t>Redwood Trust, Inc. (NYSE:RWT)</t>
  </si>
  <si>
    <t>Regional Management Corp. (NYSE:RM)</t>
  </si>
  <si>
    <t>Regis Corporation (NASDAQGM:RGS)</t>
  </si>
  <si>
    <t>ReposiTrak, Inc. (NYSE:TRAK)</t>
  </si>
  <si>
    <t>Republic Airways Holdings Inc. (NASDAQGS:RJET)</t>
  </si>
  <si>
    <t>Research Solutions, Inc. (NASDAQCM:RSSS)</t>
  </si>
  <si>
    <t>Reservoir Media, Inc. (NASDAQGM:RSVR)</t>
  </si>
  <si>
    <t>RF Industries, Ltd. (NASDAQGM:RFIL)</t>
  </si>
  <si>
    <t>RGC Resources, Inc. (NASDAQGM:RGCO)</t>
  </si>
  <si>
    <t>Rhinebeck Bancorp, Inc. (NASDAQCM:RBKB)</t>
  </si>
  <si>
    <t>Ribbon Communications Inc. (NASDAQGS:RBBN)</t>
  </si>
  <si>
    <t>Richmond Mutual Bancorporation, Inc. (NASDAQCM:RMBI)</t>
  </si>
  <si>
    <t>Rigel Pharmaceuticals, Inc. (NASDAQGS:RIGL)</t>
  </si>
  <si>
    <t>Rithm Acquisition Corp. (NYSE:RAC.U)</t>
  </si>
  <si>
    <t>Riverview Bancorp, Inc. (NASDAQGS:RVSB)</t>
  </si>
  <si>
    <t>Rocky Brands, Inc. (NASDAQGS:RCKY)</t>
  </si>
  <si>
    <t>Roman DBDR Acquisition Corp. II (NASDAQGM:DRDB)</t>
  </si>
  <si>
    <t>Root, Inc. (NASDAQGS:ROOT)</t>
  </si>
  <si>
    <t>Sadot Group Inc. (NASDAQCM:SDOT)</t>
  </si>
  <si>
    <t>Saga Communications, Inc. (NASDAQGM:SGA)</t>
  </si>
  <si>
    <t>San Juan Basin Royalty Trust (NYSE:SJT)</t>
  </si>
  <si>
    <t>SandRidge Energy, Inc. (NYSE:SD)</t>
  </si>
  <si>
    <t>Saul Centers, Inc. (NYSE:BFS)</t>
  </si>
  <si>
    <t>SB Financial Group, Inc. (NASDAQCM:SBFG)</t>
  </si>
  <si>
    <t>SBC Medical Group Holdings Incorporated (NASDAQGM:SBC)</t>
  </si>
  <si>
    <t>ScanSource, Inc. (NASDAQGS:SCSC)</t>
  </si>
  <si>
    <t>Scienture Holdings, Inc. (NASDAQCM:SCNX)</t>
  </si>
  <si>
    <t>Security National Financial Corporation (NASDAQGM:SNFC.A)</t>
  </si>
  <si>
    <t>SelectQuote, Inc. (NYSE:SLQT)</t>
  </si>
  <si>
    <t>Seneca Foods Corporation (NASDAQGS:SENE.A)</t>
  </si>
  <si>
    <t>Sensus Healthcare, Inc. (NASDAQCM:SRTS)</t>
  </si>
  <si>
    <t>Seres Therapeutics, Inc. (NASDAQGS:MCRB)</t>
  </si>
  <si>
    <t>Seven Hills Realty Trust (NASDAQCM:SEVN)</t>
  </si>
  <si>
    <t>Shenandoah Telecommunications Company (NASDAQGS:SHEN)</t>
  </si>
  <si>
    <t>Shoe Carnival, Inc. (NASDAQGS:SCVL)</t>
  </si>
  <si>
    <t>Shore Bancshares, Inc. (NASDAQGS:SHBI)</t>
  </si>
  <si>
    <t>Shutterstock, Inc. (NYSE:SSTK)</t>
  </si>
  <si>
    <t>Siebert Financial Corp. (NASDAQCM:SIEB)</t>
  </si>
  <si>
    <t>Sierra Bancorp (NASDAQGS:BSRR)</t>
  </si>
  <si>
    <t>SIGA Technologies, Inc. (NASDAQGM:SIGA)</t>
  </si>
  <si>
    <t>SilverBox Corp IV (NYSE:SBXD)</t>
  </si>
  <si>
    <t>Silvercrest Asset Management Group Inc. (NASDAQGM:SAMG)</t>
  </si>
  <si>
    <t>SIM Acquisition Corp. I (NASDAQGM:SIMA)</t>
  </si>
  <si>
    <t>SITE Centers Corp. (NYSE:SITC)</t>
  </si>
  <si>
    <t>Smart Sand, Inc. (NASDAQGS:SND)</t>
  </si>
  <si>
    <t>SmartFinancial, Inc. (NYSE:SMBK)</t>
  </si>
  <si>
    <t>Smith &amp; Wesson Brands, Inc. (NASDAQGS:SWBI)</t>
  </si>
  <si>
    <t>Smith Douglas Homes Corp. (NYSE:SDHC)</t>
  </si>
  <si>
    <t>Smith-Midland Corporation (NASDAQCM:SMID)</t>
  </si>
  <si>
    <t>Snail, Inc. (NASDAQCM:SNAL)</t>
  </si>
  <si>
    <t>SOLAI Limited (NYSE:SLAI)</t>
  </si>
  <si>
    <t>Solesence, Inc. (NASDAQCM:SLSN)</t>
  </si>
  <si>
    <t>Sono-Tek Corporation (NASDAQCM:SOTK)</t>
  </si>
  <si>
    <t>Sotherly Hotels Inc. (NASDAQCM:SOHO)</t>
  </si>
  <si>
    <t>Sound Financial Bancorp, Inc. (NASDAQCM:SFBC)</t>
  </si>
  <si>
    <t>South Plains Financial, Inc. (NASDAQGS:SPFI)</t>
  </si>
  <si>
    <t>Southern First Bancshares, Inc. (NASDAQGM:SFST)</t>
  </si>
  <si>
    <t>Southern Missouri Bancorp, Inc. (NASDAQGM:SMBC)</t>
  </si>
  <si>
    <t>Spark I Acquisition Corporation (NASDAQGM:SPKL)</t>
  </si>
  <si>
    <t>Spok Holdings, Inc. (NASDAQGS:SPOK)</t>
  </si>
  <si>
    <t>SR Bancorp, Inc. (NASDAQCM:SRBK)</t>
  </si>
  <si>
    <t>Stabilis Solutions, Inc. (NASDAQCM:SLNG)</t>
  </si>
  <si>
    <t>Standard Motor Products, Inc. (NYSE:SMP)</t>
  </si>
  <si>
    <t>Star Group, L.P. (NYSE:SGU)</t>
  </si>
  <si>
    <t>Strattec Security Corporation (NASDAQGM:STRT)</t>
  </si>
  <si>
    <t>Sturm, Ruger &amp; Company, Inc. (NYSE:RGR)</t>
  </si>
  <si>
    <t>SUI Group Holdings Limited (NASDAQCM:SUIG)</t>
  </si>
  <si>
    <t>Summit Hotel Properties, Inc. (NYSE:INN)</t>
  </si>
  <si>
    <t>Summit State Bank (NASDAQGM:SSBI)</t>
  </si>
  <si>
    <t>SunCoke Energy, Inc. (NYSE:SXC)</t>
  </si>
  <si>
    <t>Sunrise Realty Trust, Inc. (NASDAQCM:SUNS)</t>
  </si>
  <si>
    <t>Superior Group of Companies, Inc. (NASDAQGM:SGC)</t>
  </si>
  <si>
    <t>SWK Holdings Corporation (NASDAQGM:SWKH)</t>
  </si>
  <si>
    <t>Synchronoss Technologies, Inc. (NASDAQCM:SNCR)</t>
  </si>
  <si>
    <t>Synergy CHC Corp. (NASDAQCM:SNYR)</t>
  </si>
  <si>
    <t>Tactile Systems Technology, Inc. (NASDAQGM:TCMD)</t>
  </si>
  <si>
    <t>Talkspace, Inc. (NASDAQCM:TALK)</t>
  </si>
  <si>
    <t>Tandy Leather Factory, Inc. (NASDAQCM:TLF)</t>
  </si>
  <si>
    <t>Target Hospitality Corp. (NASDAQCM:TH)</t>
  </si>
  <si>
    <t>TaskUs, Inc. (NASDAQGS:TASK)</t>
  </si>
  <si>
    <t>Tavia Acquisition Corp. (NASDAQGM:TAVI)</t>
  </si>
  <si>
    <t>Taylor Devices, Inc. (NASDAQCM:TAYD)</t>
  </si>
  <si>
    <t>Tejon Ranch Co. (NYSE:TRC)</t>
  </si>
  <si>
    <t>The E.W. Scripps Company (NASDAQGS:SSP)</t>
  </si>
  <si>
    <t>The First Bancorp, Inc. (NASDAQGS:FNLC)</t>
  </si>
  <si>
    <t>The Hackett Group, Inc. (NASDAQGS:HCKT)</t>
  </si>
  <si>
    <t>The Lovesac Company (NASDAQGM:LOVE)</t>
  </si>
  <si>
    <t>The Manitowoc Company, Inc. (NYSE:MTW)</t>
  </si>
  <si>
    <t>The RMR Group Inc. (NASDAQCM:RMR)</t>
  </si>
  <si>
    <t>The York Water Company (NASDAQGS:YORW)</t>
  </si>
  <si>
    <t>Third Coast Bancshares, Inc. (NYSE:TCBX)</t>
  </si>
  <si>
    <t>Timberland Bancorp, Inc. (NASDAQGM:TSBK)</t>
  </si>
  <si>
    <t>Tiptree Inc. (NASDAQCM:TIPT)</t>
  </si>
  <si>
    <t>Torrid Holdings Inc. (NYSE:CURV)</t>
  </si>
  <si>
    <t>TPG Mortgage Investment Trust, Inc. (NYSE:MITT)</t>
  </si>
  <si>
    <t>TPG RE Finance Trust, Inc. (NYSE:TRTX)</t>
  </si>
  <si>
    <t>Trailblazer Merger Corporation I (NASDAQGM:TBMC)</t>
  </si>
  <si>
    <t>Transcat, Inc. (NASDAQGM:TRNS)</t>
  </si>
  <si>
    <t>Transcontinental Realty Investors, Inc. (NYSE:TCI)</t>
  </si>
  <si>
    <t>Travelzoo (NASDAQGS:TZOO)</t>
  </si>
  <si>
    <t>TrustCo Bank Corp NY (NASDAQGS:TRST)</t>
  </si>
  <si>
    <t>TSS, Inc. (NASDAQCM:TSSI)</t>
  </si>
  <si>
    <t>Turtle Beach Corporation (NASDAQGM:TBCH)</t>
  </si>
  <si>
    <t>TWFG, Inc. (NASDAQGS:TWFG)</t>
  </si>
  <si>
    <t>TXO Partners, L.P. (NYSE:TXO)</t>
  </si>
  <si>
    <t>Udemy, Inc. (NASDAQGS:UDMY)</t>
  </si>
  <si>
    <t>Ultralife Corporation (NASDAQGM:ULBI)</t>
  </si>
  <si>
    <t>Union Bankshares, Inc. (NASDAQGM:UNB)</t>
  </si>
  <si>
    <t>United Bancorp, Inc. (NASDAQCM:UBCP)</t>
  </si>
  <si>
    <t>United Fire Group, Inc. (NASDAQGS:UFCS)</t>
  </si>
  <si>
    <t>United Homes Group, Inc. (NASDAQGM:UHG)</t>
  </si>
  <si>
    <t>United Security Bancshares (NASDAQGS:UBFO)</t>
  </si>
  <si>
    <t>United-Guardian, Inc. (NASDAQGM:UG)</t>
  </si>
  <si>
    <t>Unitil Corporation (NYSE:UTL)</t>
  </si>
  <si>
    <t>Unity Bancorp, Inc. (NASDAQGM:UNTY)</t>
  </si>
  <si>
    <t>Universal Health Realty Income Trust (NYSE:UHT)</t>
  </si>
  <si>
    <t>Universal Insurance Holdings, Inc. (NYSE:UVE)</t>
  </si>
  <si>
    <t>Universal Logistics Holdings, Inc. (NASDAQGS:ULH)</t>
  </si>
  <si>
    <t>USANA Health Sciences, Inc. (NYSE:USNA)</t>
  </si>
  <si>
    <t>USCB Financial Holdings, Inc. (NASDAQGM:USCB)</t>
  </si>
  <si>
    <t>Usio, Inc. (NASDAQGM:USIO)</t>
  </si>
  <si>
    <t>Utah Medical Products, Inc. (NASDAQGS:UTMD)</t>
  </si>
  <si>
    <t>Utz Brands, Inc. (NYSE:UTZ)</t>
  </si>
  <si>
    <t>VAALCO Energy, Inc. (NYSE:EGY)</t>
  </si>
  <si>
    <t>Valhi, Inc. (NYSE:VHI)</t>
  </si>
  <si>
    <t>Value Line, Inc. (NASDAQCM:VALU)</t>
  </si>
  <si>
    <t>Velocity Financial, Inc. (NYSE:VEL)</t>
  </si>
  <si>
    <t>Viant Technology Inc. (NASDAQGS:DSP)</t>
  </si>
  <si>
    <t>Viemed Healthcare, Inc. (NASDAQCM:VMD)</t>
  </si>
  <si>
    <t>Village Super Market, Inc. (NASDAQGS:VLGE.A)</t>
  </si>
  <si>
    <t>Vine Hill Capital Investment Corp. (NASDAQGM:VCIC)</t>
  </si>
  <si>
    <t>Virco Mfg. Corporation (NASDAQGM:VIRC)</t>
  </si>
  <si>
    <t>Virginia National Bankshares Corporation (NASDAQCM:VABK)</t>
  </si>
  <si>
    <t>VirTra, Inc. (NASDAQCM:VTSI)</t>
  </si>
  <si>
    <t>Virtus Investment Partners, Inc. (NYSE:VRTS)</t>
  </si>
  <si>
    <t>Vishay Precision Group, Inc. (NYSE:VPG)</t>
  </si>
  <si>
    <t>Vitesse Energy, Inc. (NYSE:VTS)</t>
  </si>
  <si>
    <t>Vivid Seats Inc. (NASDAQGS:SEAT)</t>
  </si>
  <si>
    <t>Voyager Acquisition Corp. (NASDAQGM:VACH)</t>
  </si>
  <si>
    <t>Wabash National Corporation (NYSE:WNC)</t>
  </si>
  <si>
    <t>Washington Trust Bancorp, Inc. (NASDAQGS:WASH)</t>
  </si>
  <si>
    <t>Waterstone Financial, Inc. (NASDAQGS:WSBF)</t>
  </si>
  <si>
    <t>West Bancorporation, Inc. (NASDAQGS:WTBA)</t>
  </si>
  <si>
    <t>Western New England Bancorp, Inc. (NASDAQGS:WNEB)</t>
  </si>
  <si>
    <t>Westlake Chemical Partners LP (NYSE:WLKP)</t>
  </si>
  <si>
    <t>Westwood Holdings Group, Inc. (NYSE:WHG)</t>
  </si>
  <si>
    <t>Weyco Group, Inc. (NASDAQGS:WEYS)</t>
  </si>
  <si>
    <t>Wheeler Real Estate Investment Trust, Inc. (NASDAQCM:WHLR)</t>
  </si>
  <si>
    <t>Where Food Comes From, Inc. (NASDAQCM:WFCF)</t>
  </si>
  <si>
    <t>WhiteFiber, Inc. (NASDAQCM:WYFI)</t>
  </si>
  <si>
    <t>Whitestone REIT (NYSE:WSR)</t>
  </si>
  <si>
    <t>Willow Lane Acquisition Corp. (NASDAQGM:WLAC)</t>
  </si>
  <si>
    <t>WM Technology, Inc. (NASDAQGS:MAPS)</t>
  </si>
  <si>
    <t>World Acceptance Corporation (NASDAQGS:WRLD)</t>
  </si>
  <si>
    <t>Pass/Fail</t>
  </si>
  <si>
    <t>Assessment Link</t>
  </si>
  <si>
    <t>P/E</t>
  </si>
  <si>
    <t>Valuation Template</t>
  </si>
  <si>
    <t>Declining / Cigar-Butt / Runoff Cash Flow Template</t>
  </si>
  <si>
    <t>Fail</t>
  </si>
  <si>
    <t>LINK</t>
  </si>
  <si>
    <t>Technology</t>
  </si>
  <si>
    <t>Subscription / Software / Intangible-Asset Business Template</t>
  </si>
  <si>
    <t>Consumer Goods</t>
  </si>
  <si>
    <t>Cyclical / Normalized Earnings Template</t>
  </si>
  <si>
    <t>Pass</t>
  </si>
  <si>
    <t>Utilities</t>
  </si>
  <si>
    <t>Stable Operating Business / Earnings Power Value Template</t>
  </si>
  <si>
    <t>Business Services</t>
  </si>
  <si>
    <t>Delaying Valuation based off P/E</t>
  </si>
  <si>
    <t>Restaurants</t>
  </si>
  <si>
    <t>N/A</t>
  </si>
  <si>
    <t>Retail / Restaurant / Unit Economics Template</t>
  </si>
  <si>
    <t>Retail</t>
  </si>
  <si>
    <t>Watchlist</t>
  </si>
  <si>
    <t>Energy</t>
  </si>
  <si>
    <t>Holding Company / Sum-of-the-Parts Template</t>
  </si>
  <si>
    <t>Gaming &amp; Entertainment</t>
  </si>
  <si>
    <t>Industrials</t>
  </si>
  <si>
    <t>Asset-Based / Liquidation / Net Asset Value Template</t>
  </si>
  <si>
    <t>Franchise Compounder / High-ROIC Growth Template</t>
  </si>
  <si>
    <t>Real Estate</t>
  </si>
  <si>
    <t>REIT / Real Estate / Asset-Holding Company Template</t>
  </si>
  <si>
    <t>Healthcare</t>
  </si>
  <si>
    <t>Cigar Butt</t>
  </si>
  <si>
    <t>Declining  Cigar-Butt  Runoff Cash Flow Template</t>
  </si>
  <si>
    <t>Education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</si>
</sst>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Calibri"/>
    </font>
    <font>
      <b/>
      <sz val="12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top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TaqZaMR7-6Lai5mj0TxY2nFJkTRKACDaMp16XJbvCfY/edit?tab=t.0" TargetMode="External"/><Relationship Id="rId10" Type="http://schemas.openxmlformats.org/officeDocument/2006/relationships/hyperlink" Target="https://docs.google.com/document/d/1uo1IGbG8c42qVwdnyEMSUDxc5iF5EridbW1c6XYS8LI/edit?tab=t.0" TargetMode="External"/><Relationship Id="rId13" Type="http://schemas.openxmlformats.org/officeDocument/2006/relationships/hyperlink" Target="https://docs.google.com/document/d/1i9qI9odJ7QZkLyw5f1MMHDYtLSjA4aqWLc6JGDpPa-M/edit?tab=t.0" TargetMode="External"/><Relationship Id="rId12" Type="http://schemas.openxmlformats.org/officeDocument/2006/relationships/hyperlink" Target="https://docs.google.com/document/d/1SYi5w8UcQKYACDiGNjJeeda1mcshPbeRwZuRMuwFnWY/edit?tab=t.0" TargetMode="External"/><Relationship Id="rId1" Type="http://schemas.openxmlformats.org/officeDocument/2006/relationships/hyperlink" Target="https://docs.google.com/document/d/10d6P88lM6HirrpRmjFBqPjqwfls3GWgFpxCNkb7Xt4o/edit?tab=t.0" TargetMode="External"/><Relationship Id="rId2" Type="http://schemas.openxmlformats.org/officeDocument/2006/relationships/hyperlink" Target="https://docs.google.com/document/d/1egZxW4y6Bw6iTTYngVbj_ol7QJneDTqNE1HtmBA87P4/edit?tab=t.0" TargetMode="External"/><Relationship Id="rId3" Type="http://schemas.openxmlformats.org/officeDocument/2006/relationships/hyperlink" Target="https://docs.google.com/document/d/1pbVXGza58t904yLUwtOjPeDv73YSSZfEvWNY9gufkY8/edit?tab=t.0" TargetMode="External"/><Relationship Id="rId4" Type="http://schemas.openxmlformats.org/officeDocument/2006/relationships/hyperlink" Target="https://docs.google.com/document/d/16snke0MYewSGXhvW9QZqT-CVLnPA0We7tzWzM69VW7U/edit?tab=t.0" TargetMode="External"/><Relationship Id="rId9" Type="http://schemas.openxmlformats.org/officeDocument/2006/relationships/hyperlink" Target="https://docs.google.com/document/d/1ON6ZsI1CQM-3fKUEb5KypLTPWyVOyPPzTD39kPBSJ54/edit?tab=t.0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docs.google.com/document/d/1Zul1zEHwzCc2LIXy8c9RvauV2N3KKybuANWhB-xmyyw/edit?tab=t.0" TargetMode="External"/><Relationship Id="rId5" Type="http://schemas.openxmlformats.org/officeDocument/2006/relationships/hyperlink" Target="https://docs.google.com/document/d/1XD4rINDboED6ZmtbrIv51PJL-tcIL0OIRu1bJ4T0viE/edit?tab=t.0" TargetMode="External"/><Relationship Id="rId6" Type="http://schemas.openxmlformats.org/officeDocument/2006/relationships/hyperlink" Target="https://docs.google.com/document/d/1qYhWKx7KGSPKoVQAhKE7g3WkpKg4Wam9KlcSCmbS_sk/edit?tab=t.0" TargetMode="External"/><Relationship Id="rId7" Type="http://schemas.openxmlformats.org/officeDocument/2006/relationships/hyperlink" Target="https://docs.google.com/document/d/12KZJYcQwOiqzf5j2sdTCIhyXjW8RgmbbUyW6kCgqWlA/edit?tab=t.0" TargetMode="External"/><Relationship Id="rId8" Type="http://schemas.openxmlformats.org/officeDocument/2006/relationships/hyperlink" Target="https://docs.google.com/document/d/1iHVd42pMXFFuGSMSEn-UX15K275zghMYZ1FYtwK_0vs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5.57"/>
    <col customWidth="1" min="2" max="2" width="18.14"/>
    <col customWidth="1" min="3" max="4" width="15.57"/>
    <col customWidth="1" min="5" max="5" width="16.29"/>
    <col customWidth="1" min="6" max="6" width="7.86"/>
    <col customWidth="1" min="7" max="7" width="15.29"/>
    <col customWidth="1" min="8" max="8" width="14.71"/>
    <col customWidth="1" min="9" max="9" width="15.29"/>
    <col customWidth="1" min="10" max="10" width="17.0"/>
    <col customWidth="1" min="11" max="11" width="15.43"/>
    <col customWidth="1" min="12" max="18" width="46.14"/>
  </cols>
  <sheetData>
    <row r="1" ht="24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</row>
    <row r="2">
      <c r="A2" s="4" t="s">
        <v>12</v>
      </c>
      <c r="B2" s="5" t="s">
        <v>13</v>
      </c>
      <c r="C2" s="5" t="s">
        <v>14</v>
      </c>
      <c r="D2" s="5" t="s">
        <v>15</v>
      </c>
      <c r="E2" s="5" t="s">
        <v>15</v>
      </c>
      <c r="F2" s="5">
        <v>3.0</v>
      </c>
      <c r="G2" s="5" t="s">
        <v>13</v>
      </c>
      <c r="H2" s="5" t="s">
        <v>16</v>
      </c>
      <c r="I2" s="5" t="s">
        <v>17</v>
      </c>
      <c r="J2" s="6" t="str">
        <f t="shared" ref="J2:J250" si="1">IF(COUNTBLANK(B2:I2)=8,"",
IF(OR(
B2="No",
C2="Decreasing",
D2="Decreasing",
E2="Increasing",
F2=3,
G2="No",
H2="Declining",
I2="Small"
),"FAIL","PASS"))</f>
        <v>FAIL</v>
      </c>
      <c r="K2" s="7" t="str">
        <f t="shared" ref="K2:K245" si="2">IF(AND(
  $J2="FAIL",
  $B2="Yes",
  OR($C2="Decreasing",$D2="Decreasing"),
  $E2&lt;&gt;"Increasing",
  IFERROR(VALUE($F2)&lt;=2,FALSE),
  $H2&lt;&gt;"Declining",
  OR($I2="Medium",$I2="Large")
),"PASS","FAIL")</f>
        <v>FAIL</v>
      </c>
      <c r="L2" s="8"/>
    </row>
    <row r="3">
      <c r="A3" s="4" t="s">
        <v>18</v>
      </c>
      <c r="B3" s="5" t="s">
        <v>19</v>
      </c>
      <c r="C3" s="6"/>
      <c r="D3" s="6"/>
      <c r="E3" s="6"/>
      <c r="F3" s="6"/>
      <c r="G3" s="6"/>
      <c r="H3" s="6"/>
      <c r="I3" s="6"/>
      <c r="J3" s="6" t="str">
        <f t="shared" si="1"/>
        <v>FAIL</v>
      </c>
      <c r="K3" s="7" t="str">
        <f t="shared" si="2"/>
        <v>FAIL</v>
      </c>
      <c r="L3" s="8"/>
    </row>
    <row r="4">
      <c r="A4" s="4" t="s">
        <v>20</v>
      </c>
      <c r="B4" s="5" t="s">
        <v>13</v>
      </c>
      <c r="C4" s="5" t="s">
        <v>14</v>
      </c>
      <c r="D4" s="5" t="s">
        <v>16</v>
      </c>
      <c r="E4" s="5" t="s">
        <v>16</v>
      </c>
      <c r="F4" s="5">
        <v>1.0</v>
      </c>
      <c r="G4" s="5" t="s">
        <v>13</v>
      </c>
      <c r="H4" s="5" t="s">
        <v>21</v>
      </c>
      <c r="I4" s="5" t="s">
        <v>22</v>
      </c>
      <c r="J4" s="6" t="str">
        <f t="shared" si="1"/>
        <v>PASS</v>
      </c>
      <c r="K4" s="7" t="str">
        <f t="shared" si="2"/>
        <v>FAIL</v>
      </c>
      <c r="L4" s="9" t="s">
        <v>23</v>
      </c>
    </row>
    <row r="5">
      <c r="A5" s="4" t="s">
        <v>24</v>
      </c>
      <c r="B5" s="5" t="s">
        <v>19</v>
      </c>
      <c r="C5" s="6"/>
      <c r="D5" s="6"/>
      <c r="E5" s="6"/>
      <c r="F5" s="6"/>
      <c r="G5" s="6"/>
      <c r="H5" s="6"/>
      <c r="I5" s="6"/>
      <c r="J5" s="6" t="str">
        <f t="shared" si="1"/>
        <v>FAIL</v>
      </c>
      <c r="K5" s="7" t="str">
        <f t="shared" si="2"/>
        <v>FAIL</v>
      </c>
      <c r="L5" s="8"/>
    </row>
    <row r="6">
      <c r="A6" s="4" t="s">
        <v>25</v>
      </c>
      <c r="B6" s="5" t="s">
        <v>19</v>
      </c>
      <c r="C6" s="6"/>
      <c r="D6" s="6"/>
      <c r="E6" s="6"/>
      <c r="F6" s="6"/>
      <c r="G6" s="6"/>
      <c r="H6" s="6"/>
      <c r="I6" s="6"/>
      <c r="J6" s="6" t="str">
        <f t="shared" si="1"/>
        <v>FAIL</v>
      </c>
      <c r="K6" s="7" t="str">
        <f t="shared" si="2"/>
        <v>FAIL</v>
      </c>
      <c r="L6" s="9" t="s">
        <v>26</v>
      </c>
    </row>
    <row r="7">
      <c r="A7" s="4" t="s">
        <v>27</v>
      </c>
      <c r="B7" s="5" t="s">
        <v>19</v>
      </c>
      <c r="C7" s="6"/>
      <c r="D7" s="6"/>
      <c r="E7" s="6"/>
      <c r="F7" s="6"/>
      <c r="G7" s="6"/>
      <c r="H7" s="6"/>
      <c r="I7" s="6"/>
      <c r="J7" s="6" t="str">
        <f t="shared" si="1"/>
        <v>FAIL</v>
      </c>
      <c r="K7" s="7" t="str">
        <f t="shared" si="2"/>
        <v>FAIL</v>
      </c>
      <c r="L7" s="8"/>
    </row>
    <row r="8">
      <c r="A8" s="4" t="s">
        <v>28</v>
      </c>
      <c r="B8" s="5" t="s">
        <v>19</v>
      </c>
      <c r="C8" s="5" t="s">
        <v>16</v>
      </c>
      <c r="D8" s="5" t="s">
        <v>16</v>
      </c>
      <c r="E8" s="5" t="s">
        <v>14</v>
      </c>
      <c r="F8" s="5">
        <v>2.0</v>
      </c>
      <c r="G8" s="5" t="s">
        <v>19</v>
      </c>
      <c r="H8" s="5" t="s">
        <v>16</v>
      </c>
      <c r="I8" s="5" t="s">
        <v>17</v>
      </c>
      <c r="J8" s="6" t="str">
        <f t="shared" si="1"/>
        <v>FAIL</v>
      </c>
      <c r="K8" s="7" t="str">
        <f t="shared" si="2"/>
        <v>FAIL</v>
      </c>
      <c r="L8" s="8"/>
    </row>
    <row r="9">
      <c r="A9" s="4" t="s">
        <v>29</v>
      </c>
      <c r="B9" s="5" t="s">
        <v>13</v>
      </c>
      <c r="C9" s="5" t="s">
        <v>16</v>
      </c>
      <c r="D9" s="5" t="s">
        <v>15</v>
      </c>
      <c r="E9" s="5" t="s">
        <v>14</v>
      </c>
      <c r="F9" s="5">
        <v>3.0</v>
      </c>
      <c r="G9" s="5" t="s">
        <v>13</v>
      </c>
      <c r="H9" s="5" t="s">
        <v>16</v>
      </c>
      <c r="I9" s="5" t="s">
        <v>22</v>
      </c>
      <c r="J9" s="6" t="str">
        <f t="shared" si="1"/>
        <v>FAIL</v>
      </c>
      <c r="K9" s="7" t="str">
        <f t="shared" si="2"/>
        <v>FAIL</v>
      </c>
      <c r="L9" s="8"/>
    </row>
    <row r="10">
      <c r="A10" s="4" t="s">
        <v>30</v>
      </c>
      <c r="B10" s="5" t="s">
        <v>19</v>
      </c>
      <c r="C10" s="6"/>
      <c r="D10" s="6"/>
      <c r="E10" s="6"/>
      <c r="F10" s="6"/>
      <c r="G10" s="6"/>
      <c r="H10" s="6"/>
      <c r="I10" s="6"/>
      <c r="J10" s="6" t="str">
        <f t="shared" si="1"/>
        <v>FAIL</v>
      </c>
      <c r="K10" s="7" t="str">
        <f t="shared" si="2"/>
        <v>FAIL</v>
      </c>
      <c r="L10" s="8"/>
    </row>
    <row r="11">
      <c r="A11" s="4" t="s">
        <v>31</v>
      </c>
      <c r="B11" s="5" t="s">
        <v>19</v>
      </c>
      <c r="C11" s="6"/>
      <c r="D11" s="6"/>
      <c r="E11" s="6"/>
      <c r="F11" s="6"/>
      <c r="G11" s="6"/>
      <c r="H11" s="6"/>
      <c r="I11" s="6"/>
      <c r="J11" s="6" t="str">
        <f t="shared" si="1"/>
        <v>FAIL</v>
      </c>
      <c r="K11" s="7" t="str">
        <f t="shared" si="2"/>
        <v>FAIL</v>
      </c>
      <c r="L11" s="8"/>
    </row>
    <row r="12">
      <c r="A12" s="4" t="s">
        <v>32</v>
      </c>
      <c r="B12" s="5" t="s">
        <v>19</v>
      </c>
      <c r="C12" s="6"/>
      <c r="D12" s="6"/>
      <c r="E12" s="6"/>
      <c r="F12" s="6"/>
      <c r="G12" s="6"/>
      <c r="H12" s="6"/>
      <c r="I12" s="6"/>
      <c r="J12" s="6" t="str">
        <f t="shared" si="1"/>
        <v>FAIL</v>
      </c>
      <c r="K12" s="7" t="str">
        <f t="shared" si="2"/>
        <v>FAIL</v>
      </c>
      <c r="L12" s="8"/>
    </row>
    <row r="13">
      <c r="A13" s="4" t="s">
        <v>33</v>
      </c>
      <c r="B13" s="5" t="s">
        <v>13</v>
      </c>
      <c r="C13" s="5" t="s">
        <v>15</v>
      </c>
      <c r="D13" s="5" t="s">
        <v>15</v>
      </c>
      <c r="E13" s="5" t="s">
        <v>16</v>
      </c>
      <c r="F13" s="5">
        <v>2.0</v>
      </c>
      <c r="G13" s="5" t="s">
        <v>13</v>
      </c>
      <c r="H13" s="5" t="s">
        <v>21</v>
      </c>
      <c r="I13" s="5" t="s">
        <v>22</v>
      </c>
      <c r="J13" s="6" t="str">
        <f t="shared" si="1"/>
        <v>FAIL</v>
      </c>
      <c r="K13" s="7" t="str">
        <f t="shared" si="2"/>
        <v>PASS</v>
      </c>
      <c r="L13" s="8"/>
    </row>
    <row r="14">
      <c r="A14" s="4" t="s">
        <v>34</v>
      </c>
      <c r="B14" s="5" t="s">
        <v>19</v>
      </c>
      <c r="C14" s="6"/>
      <c r="D14" s="6"/>
      <c r="E14" s="6"/>
      <c r="F14" s="6"/>
      <c r="G14" s="6"/>
      <c r="H14" s="6"/>
      <c r="I14" s="6"/>
      <c r="J14" s="6" t="str">
        <f t="shared" si="1"/>
        <v>FAIL</v>
      </c>
      <c r="K14" s="7" t="str">
        <f t="shared" si="2"/>
        <v>FAIL</v>
      </c>
      <c r="L14" s="8"/>
    </row>
    <row r="15">
      <c r="A15" s="4" t="s">
        <v>35</v>
      </c>
      <c r="B15" s="5" t="s">
        <v>19</v>
      </c>
      <c r="C15" s="6"/>
      <c r="D15" s="6"/>
      <c r="E15" s="6"/>
      <c r="F15" s="6"/>
      <c r="G15" s="6"/>
      <c r="H15" s="6"/>
      <c r="I15" s="6"/>
      <c r="J15" s="6" t="str">
        <f t="shared" si="1"/>
        <v>FAIL</v>
      </c>
      <c r="K15" s="7" t="str">
        <f t="shared" si="2"/>
        <v>FAIL</v>
      </c>
      <c r="L15" s="8"/>
    </row>
    <row r="16" ht="15.75" customHeight="1">
      <c r="A16" s="4" t="s">
        <v>36</v>
      </c>
      <c r="B16" s="5" t="s">
        <v>19</v>
      </c>
      <c r="C16" s="6"/>
      <c r="D16" s="6"/>
      <c r="E16" s="6"/>
      <c r="F16" s="6"/>
      <c r="G16" s="6"/>
      <c r="H16" s="6"/>
      <c r="I16" s="6"/>
      <c r="J16" s="6" t="str">
        <f t="shared" si="1"/>
        <v>FAIL</v>
      </c>
      <c r="K16" s="7" t="str">
        <f t="shared" si="2"/>
        <v>FAIL</v>
      </c>
      <c r="L16" s="8"/>
    </row>
    <row r="17" ht="15.75" customHeight="1">
      <c r="A17" s="4" t="s">
        <v>37</v>
      </c>
      <c r="B17" s="5" t="s">
        <v>19</v>
      </c>
      <c r="C17" s="6"/>
      <c r="D17" s="6"/>
      <c r="E17" s="6"/>
      <c r="F17" s="6"/>
      <c r="G17" s="6"/>
      <c r="H17" s="6"/>
      <c r="I17" s="6"/>
      <c r="J17" s="6" t="str">
        <f t="shared" si="1"/>
        <v>FAIL</v>
      </c>
      <c r="K17" s="7" t="str">
        <f t="shared" si="2"/>
        <v>FAIL</v>
      </c>
      <c r="L17" s="8"/>
    </row>
    <row r="18" ht="15.75" customHeight="1">
      <c r="A18" s="4" t="s">
        <v>38</v>
      </c>
      <c r="B18" s="5" t="s">
        <v>13</v>
      </c>
      <c r="C18" s="5" t="s">
        <v>15</v>
      </c>
      <c r="D18" s="5" t="s">
        <v>15</v>
      </c>
      <c r="E18" s="5" t="s">
        <v>14</v>
      </c>
      <c r="F18" s="5">
        <v>2.0</v>
      </c>
      <c r="G18" s="5" t="s">
        <v>19</v>
      </c>
      <c r="H18" s="5" t="s">
        <v>39</v>
      </c>
      <c r="I18" s="5" t="s">
        <v>17</v>
      </c>
      <c r="J18" s="6" t="str">
        <f t="shared" si="1"/>
        <v>FAIL</v>
      </c>
      <c r="K18" s="7" t="str">
        <f t="shared" si="2"/>
        <v>FAIL</v>
      </c>
      <c r="L18" s="9" t="s">
        <v>40</v>
      </c>
    </row>
    <row r="19" ht="15.75" customHeight="1">
      <c r="A19" s="4" t="s">
        <v>41</v>
      </c>
      <c r="B19" s="5" t="s">
        <v>19</v>
      </c>
      <c r="C19" s="6"/>
      <c r="D19" s="6"/>
      <c r="E19" s="6"/>
      <c r="F19" s="6"/>
      <c r="G19" s="6"/>
      <c r="H19" s="6"/>
      <c r="I19" s="6"/>
      <c r="J19" s="6" t="str">
        <f t="shared" si="1"/>
        <v>FAIL</v>
      </c>
      <c r="K19" s="7" t="str">
        <f t="shared" si="2"/>
        <v>FAIL</v>
      </c>
      <c r="L19" s="8"/>
    </row>
    <row r="20" ht="15.75" customHeight="1">
      <c r="A20" s="4" t="s">
        <v>42</v>
      </c>
      <c r="B20" s="5" t="s">
        <v>19</v>
      </c>
      <c r="C20" s="6"/>
      <c r="D20" s="6"/>
      <c r="E20" s="6"/>
      <c r="F20" s="6"/>
      <c r="G20" s="6"/>
      <c r="H20" s="6"/>
      <c r="I20" s="6"/>
      <c r="J20" s="6" t="str">
        <f t="shared" si="1"/>
        <v>FAIL</v>
      </c>
      <c r="K20" s="7" t="str">
        <f t="shared" si="2"/>
        <v>FAIL</v>
      </c>
      <c r="L20" s="8"/>
    </row>
    <row r="21" ht="15.75" customHeight="1">
      <c r="A21" s="4" t="s">
        <v>43</v>
      </c>
      <c r="B21" s="5" t="s">
        <v>19</v>
      </c>
      <c r="C21" s="6"/>
      <c r="D21" s="6"/>
      <c r="E21" s="6"/>
      <c r="F21" s="6"/>
      <c r="G21" s="6"/>
      <c r="H21" s="6"/>
      <c r="I21" s="6"/>
      <c r="J21" s="6" t="str">
        <f t="shared" si="1"/>
        <v>FAIL</v>
      </c>
      <c r="K21" s="7" t="str">
        <f t="shared" si="2"/>
        <v>FAIL</v>
      </c>
      <c r="L21" s="8"/>
    </row>
    <row r="22" ht="15.75" customHeight="1">
      <c r="A22" s="4" t="s">
        <v>44</v>
      </c>
      <c r="B22" s="5" t="s">
        <v>19</v>
      </c>
      <c r="C22" s="6"/>
      <c r="D22" s="6"/>
      <c r="E22" s="6"/>
      <c r="F22" s="6"/>
      <c r="G22" s="6"/>
      <c r="H22" s="6"/>
      <c r="I22" s="6"/>
      <c r="J22" s="6" t="str">
        <f t="shared" si="1"/>
        <v>FAIL</v>
      </c>
      <c r="K22" s="7" t="str">
        <f t="shared" si="2"/>
        <v>FAIL</v>
      </c>
      <c r="L22" s="8"/>
    </row>
    <row r="23" ht="15.75" customHeight="1">
      <c r="A23" s="4" t="s">
        <v>45</v>
      </c>
      <c r="B23" s="5" t="s">
        <v>19</v>
      </c>
      <c r="C23" s="6"/>
      <c r="D23" s="6"/>
      <c r="E23" s="6"/>
      <c r="F23" s="6"/>
      <c r="G23" s="6"/>
      <c r="H23" s="6"/>
      <c r="I23" s="6"/>
      <c r="J23" s="6" t="str">
        <f t="shared" si="1"/>
        <v>FAIL</v>
      </c>
      <c r="K23" s="7" t="str">
        <f t="shared" si="2"/>
        <v>FAIL</v>
      </c>
      <c r="L23" s="8"/>
    </row>
    <row r="24" ht="15.75" customHeight="1">
      <c r="A24" s="4" t="s">
        <v>46</v>
      </c>
      <c r="B24" s="5" t="s">
        <v>13</v>
      </c>
      <c r="C24" s="5" t="s">
        <v>16</v>
      </c>
      <c r="D24" s="5" t="s">
        <v>16</v>
      </c>
      <c r="E24" s="5" t="s">
        <v>15</v>
      </c>
      <c r="F24" s="5">
        <v>2.0</v>
      </c>
      <c r="G24" s="5" t="s">
        <v>13</v>
      </c>
      <c r="H24" s="5" t="s">
        <v>16</v>
      </c>
      <c r="I24" s="5" t="s">
        <v>17</v>
      </c>
      <c r="J24" s="6" t="str">
        <f t="shared" si="1"/>
        <v>PASS</v>
      </c>
      <c r="K24" s="7" t="str">
        <f t="shared" si="2"/>
        <v>FAIL</v>
      </c>
      <c r="L24" s="8"/>
    </row>
    <row r="25" ht="15.75" customHeight="1">
      <c r="A25" s="4" t="s">
        <v>47</v>
      </c>
      <c r="B25" s="5" t="s">
        <v>19</v>
      </c>
      <c r="C25" s="6"/>
      <c r="D25" s="6"/>
      <c r="E25" s="6"/>
      <c r="F25" s="6"/>
      <c r="G25" s="6"/>
      <c r="H25" s="6"/>
      <c r="I25" s="6"/>
      <c r="J25" s="6" t="str">
        <f t="shared" si="1"/>
        <v>FAIL</v>
      </c>
      <c r="K25" s="7" t="str">
        <f t="shared" si="2"/>
        <v>FAIL</v>
      </c>
      <c r="L25" s="8"/>
    </row>
    <row r="26" ht="15.75" customHeight="1">
      <c r="A26" s="4" t="s">
        <v>48</v>
      </c>
      <c r="B26" s="5" t="s">
        <v>19</v>
      </c>
      <c r="C26" s="6"/>
      <c r="D26" s="6"/>
      <c r="E26" s="6"/>
      <c r="F26" s="6"/>
      <c r="G26" s="6"/>
      <c r="H26" s="6"/>
      <c r="I26" s="6"/>
      <c r="J26" s="6" t="str">
        <f t="shared" si="1"/>
        <v>FAIL</v>
      </c>
      <c r="K26" s="7" t="str">
        <f t="shared" si="2"/>
        <v>FAIL</v>
      </c>
      <c r="L26" s="8"/>
    </row>
    <row r="27" ht="15.75" customHeight="1">
      <c r="A27" s="4" t="s">
        <v>49</v>
      </c>
      <c r="B27" s="5" t="s">
        <v>19</v>
      </c>
      <c r="C27" s="6"/>
      <c r="D27" s="6"/>
      <c r="E27" s="6"/>
      <c r="F27" s="6"/>
      <c r="G27" s="6"/>
      <c r="H27" s="6"/>
      <c r="I27" s="6"/>
      <c r="J27" s="6" t="str">
        <f t="shared" si="1"/>
        <v>FAIL</v>
      </c>
      <c r="K27" s="7" t="str">
        <f t="shared" si="2"/>
        <v>FAIL</v>
      </c>
      <c r="L27" s="8"/>
    </row>
    <row r="28" ht="15.75" customHeight="1">
      <c r="A28" s="4" t="s">
        <v>50</v>
      </c>
      <c r="B28" s="5" t="s">
        <v>19</v>
      </c>
      <c r="C28" s="6"/>
      <c r="D28" s="6"/>
      <c r="E28" s="6"/>
      <c r="F28" s="6"/>
      <c r="G28" s="6"/>
      <c r="H28" s="6"/>
      <c r="I28" s="6"/>
      <c r="J28" s="6" t="str">
        <f t="shared" si="1"/>
        <v>FAIL</v>
      </c>
      <c r="K28" s="7" t="str">
        <f t="shared" si="2"/>
        <v>FAIL</v>
      </c>
      <c r="L28" s="8"/>
    </row>
    <row r="29" ht="15.75" customHeight="1">
      <c r="A29" s="4" t="s">
        <v>51</v>
      </c>
      <c r="B29" s="5" t="s">
        <v>13</v>
      </c>
      <c r="C29" s="5" t="s">
        <v>16</v>
      </c>
      <c r="D29" s="5" t="s">
        <v>16</v>
      </c>
      <c r="E29" s="5" t="s">
        <v>14</v>
      </c>
      <c r="F29" s="5">
        <v>3.0</v>
      </c>
      <c r="G29" s="5" t="s">
        <v>13</v>
      </c>
      <c r="H29" s="5" t="s">
        <v>16</v>
      </c>
      <c r="I29" s="5" t="s">
        <v>22</v>
      </c>
      <c r="J29" s="6" t="str">
        <f t="shared" si="1"/>
        <v>FAIL</v>
      </c>
      <c r="K29" s="7" t="str">
        <f t="shared" si="2"/>
        <v>FAIL</v>
      </c>
      <c r="L29" s="8"/>
    </row>
    <row r="30" ht="15.75" customHeight="1">
      <c r="A30" s="4" t="s">
        <v>52</v>
      </c>
      <c r="B30" s="5" t="s">
        <v>19</v>
      </c>
      <c r="C30" s="6"/>
      <c r="D30" s="6"/>
      <c r="E30" s="6"/>
      <c r="F30" s="6"/>
      <c r="G30" s="6"/>
      <c r="H30" s="6"/>
      <c r="I30" s="6"/>
      <c r="J30" s="6" t="str">
        <f t="shared" si="1"/>
        <v>FAIL</v>
      </c>
      <c r="K30" s="7" t="str">
        <f t="shared" si="2"/>
        <v>FAIL</v>
      </c>
      <c r="L30" s="8"/>
    </row>
    <row r="31" ht="15.75" customHeight="1">
      <c r="A31" s="4" t="s">
        <v>53</v>
      </c>
      <c r="B31" s="5" t="s">
        <v>19</v>
      </c>
      <c r="C31" s="6"/>
      <c r="D31" s="6"/>
      <c r="E31" s="6"/>
      <c r="F31" s="6"/>
      <c r="G31" s="6"/>
      <c r="H31" s="6"/>
      <c r="I31" s="6"/>
      <c r="J31" s="6" t="str">
        <f t="shared" si="1"/>
        <v>FAIL</v>
      </c>
      <c r="K31" s="7" t="str">
        <f t="shared" si="2"/>
        <v>FAIL</v>
      </c>
      <c r="L31" s="8"/>
    </row>
    <row r="32" ht="15.75" customHeight="1">
      <c r="A32" s="4" t="s">
        <v>54</v>
      </c>
      <c r="B32" s="5" t="s">
        <v>19</v>
      </c>
      <c r="C32" s="6"/>
      <c r="D32" s="6"/>
      <c r="E32" s="6"/>
      <c r="F32" s="6"/>
      <c r="G32" s="6"/>
      <c r="H32" s="6"/>
      <c r="I32" s="6"/>
      <c r="J32" s="6" t="str">
        <f t="shared" si="1"/>
        <v>FAIL</v>
      </c>
      <c r="K32" s="7" t="str">
        <f t="shared" si="2"/>
        <v>FAIL</v>
      </c>
      <c r="L32" s="8"/>
    </row>
    <row r="33" ht="15.75" customHeight="1">
      <c r="A33" s="4" t="s">
        <v>55</v>
      </c>
      <c r="B33" s="5" t="s">
        <v>19</v>
      </c>
      <c r="C33" s="6"/>
      <c r="D33" s="6"/>
      <c r="E33" s="6"/>
      <c r="F33" s="6"/>
      <c r="G33" s="6"/>
      <c r="H33" s="6"/>
      <c r="I33" s="6"/>
      <c r="J33" s="6" t="str">
        <f t="shared" si="1"/>
        <v>FAIL</v>
      </c>
      <c r="K33" s="7" t="str">
        <f t="shared" si="2"/>
        <v>FAIL</v>
      </c>
      <c r="L33" s="8"/>
    </row>
    <row r="34" ht="15.75" customHeight="1">
      <c r="A34" s="4" t="s">
        <v>56</v>
      </c>
      <c r="B34" s="5" t="s">
        <v>19</v>
      </c>
      <c r="C34" s="6"/>
      <c r="D34" s="6"/>
      <c r="E34" s="6"/>
      <c r="F34" s="6"/>
      <c r="G34" s="6"/>
      <c r="H34" s="6"/>
      <c r="I34" s="6"/>
      <c r="J34" s="6" t="str">
        <f t="shared" si="1"/>
        <v>FAIL</v>
      </c>
      <c r="K34" s="7" t="str">
        <f t="shared" si="2"/>
        <v>FAIL</v>
      </c>
      <c r="L34" s="8"/>
    </row>
    <row r="35" ht="15.75" customHeight="1">
      <c r="A35" s="4" t="s">
        <v>57</v>
      </c>
      <c r="B35" s="5" t="s">
        <v>19</v>
      </c>
      <c r="C35" s="6"/>
      <c r="D35" s="6"/>
      <c r="E35" s="6"/>
      <c r="F35" s="6"/>
      <c r="G35" s="6"/>
      <c r="H35" s="6"/>
      <c r="I35" s="6"/>
      <c r="J35" s="6" t="str">
        <f t="shared" si="1"/>
        <v>FAIL</v>
      </c>
      <c r="K35" s="7" t="str">
        <f t="shared" si="2"/>
        <v>FAIL</v>
      </c>
      <c r="L35" s="8"/>
    </row>
    <row r="36" ht="15.75" customHeight="1">
      <c r="A36" s="4" t="s">
        <v>58</v>
      </c>
      <c r="B36" s="5" t="s">
        <v>13</v>
      </c>
      <c r="C36" s="5" t="s">
        <v>14</v>
      </c>
      <c r="D36" s="5" t="s">
        <v>59</v>
      </c>
      <c r="E36" s="5" t="s">
        <v>15</v>
      </c>
      <c r="F36" s="5">
        <v>2.0</v>
      </c>
      <c r="G36" s="5" t="s">
        <v>19</v>
      </c>
      <c r="H36" s="5" t="s">
        <v>16</v>
      </c>
      <c r="I36" s="5" t="s">
        <v>22</v>
      </c>
      <c r="J36" s="6" t="str">
        <f t="shared" si="1"/>
        <v>FAIL</v>
      </c>
      <c r="K36" s="7" t="str">
        <f t="shared" si="2"/>
        <v>FAIL</v>
      </c>
      <c r="L36" s="8"/>
    </row>
    <row r="37" ht="15.75" customHeight="1">
      <c r="A37" s="4" t="s">
        <v>60</v>
      </c>
      <c r="B37" s="5" t="s">
        <v>13</v>
      </c>
      <c r="C37" s="5" t="s">
        <v>14</v>
      </c>
      <c r="D37" s="5" t="s">
        <v>59</v>
      </c>
      <c r="E37" s="5" t="s">
        <v>15</v>
      </c>
      <c r="F37" s="5">
        <v>3.0</v>
      </c>
      <c r="G37" s="5" t="s">
        <v>19</v>
      </c>
      <c r="H37" s="5" t="s">
        <v>16</v>
      </c>
      <c r="I37" s="5" t="s">
        <v>17</v>
      </c>
      <c r="J37" s="6" t="str">
        <f t="shared" si="1"/>
        <v>FAIL</v>
      </c>
      <c r="K37" s="7" t="str">
        <f t="shared" si="2"/>
        <v>FAIL</v>
      </c>
      <c r="L37" s="8"/>
    </row>
    <row r="38" ht="15.75" customHeight="1">
      <c r="A38" s="4" t="s">
        <v>61</v>
      </c>
      <c r="B38" s="5" t="s">
        <v>19</v>
      </c>
      <c r="C38" s="6"/>
      <c r="D38" s="6"/>
      <c r="E38" s="6"/>
      <c r="F38" s="6"/>
      <c r="G38" s="6"/>
      <c r="H38" s="6"/>
      <c r="I38" s="6"/>
      <c r="J38" s="6" t="str">
        <f t="shared" si="1"/>
        <v>FAIL</v>
      </c>
      <c r="K38" s="7" t="str">
        <f t="shared" si="2"/>
        <v>FAIL</v>
      </c>
      <c r="L38" s="8"/>
    </row>
    <row r="39" ht="15.75" customHeight="1">
      <c r="A39" s="4" t="s">
        <v>62</v>
      </c>
      <c r="B39" s="5" t="s">
        <v>19</v>
      </c>
      <c r="C39" s="6"/>
      <c r="D39" s="6"/>
      <c r="E39" s="6"/>
      <c r="F39" s="6"/>
      <c r="G39" s="6"/>
      <c r="H39" s="6"/>
      <c r="I39" s="6"/>
      <c r="J39" s="6" t="str">
        <f t="shared" si="1"/>
        <v>FAIL</v>
      </c>
      <c r="K39" s="7" t="str">
        <f t="shared" si="2"/>
        <v>FAIL</v>
      </c>
      <c r="L39" s="8"/>
    </row>
    <row r="40" ht="15.75" customHeight="1">
      <c r="A40" s="4" t="s">
        <v>63</v>
      </c>
      <c r="B40" s="5" t="s">
        <v>19</v>
      </c>
      <c r="C40" s="6"/>
      <c r="D40" s="6"/>
      <c r="E40" s="6"/>
      <c r="F40" s="6"/>
      <c r="G40" s="6"/>
      <c r="H40" s="6"/>
      <c r="I40" s="6"/>
      <c r="J40" s="6" t="str">
        <f t="shared" si="1"/>
        <v>FAIL</v>
      </c>
      <c r="K40" s="7" t="str">
        <f t="shared" si="2"/>
        <v>FAIL</v>
      </c>
      <c r="L40" s="8"/>
    </row>
    <row r="41" ht="15.75" customHeight="1">
      <c r="A41" s="4" t="s">
        <v>64</v>
      </c>
      <c r="B41" s="5" t="s">
        <v>19</v>
      </c>
      <c r="C41" s="6"/>
      <c r="D41" s="6"/>
      <c r="E41" s="6"/>
      <c r="F41" s="6"/>
      <c r="G41" s="6"/>
      <c r="H41" s="6"/>
      <c r="I41" s="6"/>
      <c r="J41" s="6" t="str">
        <f t="shared" si="1"/>
        <v>FAIL</v>
      </c>
      <c r="K41" s="7" t="str">
        <f t="shared" si="2"/>
        <v>FAIL</v>
      </c>
      <c r="L41" s="8"/>
    </row>
    <row r="42" ht="15.75" customHeight="1">
      <c r="A42" s="4" t="s">
        <v>65</v>
      </c>
      <c r="B42" s="5" t="s">
        <v>13</v>
      </c>
      <c r="C42" s="5" t="s">
        <v>14</v>
      </c>
      <c r="D42" s="5" t="s">
        <v>14</v>
      </c>
      <c r="E42" s="5" t="s">
        <v>16</v>
      </c>
      <c r="F42" s="5">
        <v>2.0</v>
      </c>
      <c r="G42" s="5" t="s">
        <v>13</v>
      </c>
      <c r="H42" s="5" t="s">
        <v>21</v>
      </c>
      <c r="I42" s="5" t="s">
        <v>17</v>
      </c>
      <c r="J42" s="6" t="str">
        <f t="shared" si="1"/>
        <v>PASS</v>
      </c>
      <c r="K42" s="7" t="str">
        <f t="shared" si="2"/>
        <v>FAIL</v>
      </c>
      <c r="L42" s="9" t="s">
        <v>66</v>
      </c>
    </row>
    <row r="43" ht="15.75" customHeight="1">
      <c r="A43" s="4" t="s">
        <v>67</v>
      </c>
      <c r="B43" s="5" t="s">
        <v>13</v>
      </c>
      <c r="C43" s="5" t="s">
        <v>59</v>
      </c>
      <c r="D43" s="5" t="s">
        <v>14</v>
      </c>
      <c r="E43" s="5" t="s">
        <v>14</v>
      </c>
      <c r="F43" s="5">
        <v>3.0</v>
      </c>
      <c r="G43" s="5" t="s">
        <v>13</v>
      </c>
      <c r="H43" s="5" t="s">
        <v>16</v>
      </c>
      <c r="I43" s="5" t="s">
        <v>22</v>
      </c>
      <c r="J43" s="6" t="str">
        <f t="shared" si="1"/>
        <v>FAIL</v>
      </c>
      <c r="K43" s="7" t="str">
        <f t="shared" si="2"/>
        <v>FAIL</v>
      </c>
      <c r="L43" s="8"/>
    </row>
    <row r="44" ht="15.75" customHeight="1">
      <c r="A44" s="4" t="s">
        <v>68</v>
      </c>
      <c r="B44" s="5" t="s">
        <v>13</v>
      </c>
      <c r="C44" s="5" t="s">
        <v>14</v>
      </c>
      <c r="D44" s="5" t="s">
        <v>59</v>
      </c>
      <c r="E44" s="5" t="s">
        <v>14</v>
      </c>
      <c r="F44" s="5">
        <v>3.0</v>
      </c>
      <c r="G44" s="5" t="s">
        <v>13</v>
      </c>
      <c r="H44" s="5" t="s">
        <v>21</v>
      </c>
      <c r="I44" s="5" t="s">
        <v>17</v>
      </c>
      <c r="J44" s="6" t="str">
        <f t="shared" si="1"/>
        <v>FAIL</v>
      </c>
      <c r="K44" s="7" t="str">
        <f t="shared" si="2"/>
        <v>FAIL</v>
      </c>
      <c r="L44" s="8"/>
    </row>
    <row r="45" ht="15.75" customHeight="1">
      <c r="A45" s="4" t="s">
        <v>69</v>
      </c>
      <c r="B45" s="5" t="s">
        <v>19</v>
      </c>
      <c r="C45" s="6"/>
      <c r="D45" s="6"/>
      <c r="E45" s="6"/>
      <c r="F45" s="6"/>
      <c r="G45" s="6"/>
      <c r="H45" s="6"/>
      <c r="I45" s="6"/>
      <c r="J45" s="6" t="str">
        <f t="shared" si="1"/>
        <v>FAIL</v>
      </c>
      <c r="K45" s="7" t="str">
        <f t="shared" si="2"/>
        <v>FAIL</v>
      </c>
      <c r="L45" s="8"/>
    </row>
    <row r="46" ht="15.75" customHeight="1">
      <c r="A46" s="4" t="s">
        <v>70</v>
      </c>
      <c r="B46" s="5" t="s">
        <v>19</v>
      </c>
      <c r="C46" s="6"/>
      <c r="D46" s="6"/>
      <c r="E46" s="6"/>
      <c r="F46" s="6"/>
      <c r="G46" s="6"/>
      <c r="H46" s="6"/>
      <c r="I46" s="6"/>
      <c r="J46" s="6" t="str">
        <f t="shared" si="1"/>
        <v>FAIL</v>
      </c>
      <c r="K46" s="7" t="str">
        <f t="shared" si="2"/>
        <v>FAIL</v>
      </c>
      <c r="L46" s="8"/>
    </row>
    <row r="47" ht="15.75" customHeight="1">
      <c r="A47" s="4" t="s">
        <v>71</v>
      </c>
      <c r="B47" s="5" t="s">
        <v>19</v>
      </c>
      <c r="C47" s="6"/>
      <c r="D47" s="6"/>
      <c r="E47" s="6"/>
      <c r="F47" s="6"/>
      <c r="G47" s="6"/>
      <c r="H47" s="6"/>
      <c r="I47" s="6"/>
      <c r="J47" s="6" t="str">
        <f t="shared" si="1"/>
        <v>FAIL</v>
      </c>
      <c r="K47" s="7" t="str">
        <f t="shared" si="2"/>
        <v>FAIL</v>
      </c>
      <c r="L47" s="8"/>
    </row>
    <row r="48" ht="15.75" customHeight="1">
      <c r="A48" s="4" t="s">
        <v>72</v>
      </c>
      <c r="B48" s="5" t="s">
        <v>19</v>
      </c>
      <c r="C48" s="6"/>
      <c r="D48" s="6"/>
      <c r="E48" s="6"/>
      <c r="F48" s="6"/>
      <c r="G48" s="6"/>
      <c r="H48" s="6"/>
      <c r="I48" s="6"/>
      <c r="J48" s="6" t="str">
        <f t="shared" si="1"/>
        <v>FAIL</v>
      </c>
      <c r="K48" s="7" t="str">
        <f t="shared" si="2"/>
        <v>FAIL</v>
      </c>
      <c r="L48" s="8"/>
    </row>
    <row r="49" ht="15.75" customHeight="1">
      <c r="A49" s="4" t="s">
        <v>73</v>
      </c>
      <c r="B49" s="5" t="s">
        <v>19</v>
      </c>
      <c r="C49" s="6"/>
      <c r="D49" s="6"/>
      <c r="E49" s="6"/>
      <c r="F49" s="6"/>
      <c r="G49" s="6"/>
      <c r="H49" s="6"/>
      <c r="I49" s="6"/>
      <c r="J49" s="6" t="str">
        <f t="shared" si="1"/>
        <v>FAIL</v>
      </c>
      <c r="K49" s="7" t="str">
        <f t="shared" si="2"/>
        <v>FAIL</v>
      </c>
      <c r="L49" s="8"/>
    </row>
    <row r="50" ht="15.75" customHeight="1">
      <c r="A50" s="4" t="s">
        <v>74</v>
      </c>
      <c r="B50" s="5" t="s">
        <v>19</v>
      </c>
      <c r="C50" s="6"/>
      <c r="D50" s="6"/>
      <c r="E50" s="6"/>
      <c r="F50" s="6"/>
      <c r="G50" s="6"/>
      <c r="H50" s="6"/>
      <c r="I50" s="6"/>
      <c r="J50" s="6" t="str">
        <f t="shared" si="1"/>
        <v>FAIL</v>
      </c>
      <c r="K50" s="7" t="str">
        <f t="shared" si="2"/>
        <v>FAIL</v>
      </c>
      <c r="L50" s="8"/>
    </row>
    <row r="51" ht="15.75" customHeight="1">
      <c r="A51" s="4" t="s">
        <v>75</v>
      </c>
      <c r="B51" s="5" t="s">
        <v>19</v>
      </c>
      <c r="C51" s="6"/>
      <c r="D51" s="6"/>
      <c r="E51" s="6"/>
      <c r="F51" s="6"/>
      <c r="G51" s="6"/>
      <c r="H51" s="6"/>
      <c r="I51" s="6"/>
      <c r="J51" s="6" t="str">
        <f t="shared" si="1"/>
        <v>FAIL</v>
      </c>
      <c r="K51" s="7" t="str">
        <f t="shared" si="2"/>
        <v>FAIL</v>
      </c>
      <c r="L51" s="8"/>
    </row>
    <row r="52" ht="15.75" customHeight="1">
      <c r="A52" s="4" t="s">
        <v>76</v>
      </c>
      <c r="B52" s="5" t="s">
        <v>19</v>
      </c>
      <c r="C52" s="6"/>
      <c r="D52" s="6"/>
      <c r="E52" s="6"/>
      <c r="F52" s="6"/>
      <c r="G52" s="6"/>
      <c r="H52" s="6"/>
      <c r="I52" s="6"/>
      <c r="J52" s="6" t="str">
        <f t="shared" si="1"/>
        <v>FAIL</v>
      </c>
      <c r="K52" s="7" t="str">
        <f t="shared" si="2"/>
        <v>FAIL</v>
      </c>
      <c r="L52" s="8"/>
    </row>
    <row r="53" ht="15.75" customHeight="1">
      <c r="A53" s="4" t="s">
        <v>77</v>
      </c>
      <c r="B53" s="5" t="s">
        <v>13</v>
      </c>
      <c r="C53" s="5" t="s">
        <v>14</v>
      </c>
      <c r="D53" s="5" t="s">
        <v>14</v>
      </c>
      <c r="E53" s="5" t="s">
        <v>15</v>
      </c>
      <c r="F53" s="5">
        <v>1.0</v>
      </c>
      <c r="G53" s="5" t="s">
        <v>13</v>
      </c>
      <c r="H53" s="5" t="s">
        <v>16</v>
      </c>
      <c r="I53" s="5" t="s">
        <v>17</v>
      </c>
      <c r="J53" s="6" t="str">
        <f t="shared" si="1"/>
        <v>PASS</v>
      </c>
      <c r="K53" s="7" t="str">
        <f t="shared" si="2"/>
        <v>FAIL</v>
      </c>
      <c r="L53" s="9" t="s">
        <v>78</v>
      </c>
    </row>
    <row r="54" ht="15.75" customHeight="1">
      <c r="A54" s="4" t="s">
        <v>79</v>
      </c>
      <c r="B54" s="5" t="s">
        <v>13</v>
      </c>
      <c r="C54" s="5" t="s">
        <v>14</v>
      </c>
      <c r="D54" s="5" t="s">
        <v>14</v>
      </c>
      <c r="E54" s="5" t="s">
        <v>15</v>
      </c>
      <c r="F54" s="5">
        <v>1.0</v>
      </c>
      <c r="G54" s="5" t="s">
        <v>13</v>
      </c>
      <c r="H54" s="5" t="s">
        <v>21</v>
      </c>
      <c r="I54" s="5" t="s">
        <v>17</v>
      </c>
      <c r="J54" s="6" t="str">
        <f t="shared" si="1"/>
        <v>PASS</v>
      </c>
      <c r="K54" s="7" t="str">
        <f t="shared" si="2"/>
        <v>FAIL</v>
      </c>
      <c r="L54" s="8"/>
    </row>
    <row r="55" ht="15.75" customHeight="1">
      <c r="A55" s="4" t="s">
        <v>80</v>
      </c>
      <c r="B55" s="5" t="s">
        <v>19</v>
      </c>
      <c r="C55" s="6"/>
      <c r="D55" s="6"/>
      <c r="E55" s="6"/>
      <c r="F55" s="6"/>
      <c r="G55" s="6"/>
      <c r="H55" s="6"/>
      <c r="I55" s="6"/>
      <c r="J55" s="6" t="str">
        <f t="shared" si="1"/>
        <v>FAIL</v>
      </c>
      <c r="K55" s="7" t="str">
        <f t="shared" si="2"/>
        <v>FAIL</v>
      </c>
      <c r="L55" s="8"/>
    </row>
    <row r="56" ht="15.75" customHeight="1">
      <c r="A56" s="4" t="s">
        <v>81</v>
      </c>
      <c r="B56" s="5" t="s">
        <v>19</v>
      </c>
      <c r="C56" s="6"/>
      <c r="D56" s="6"/>
      <c r="E56" s="6"/>
      <c r="F56" s="6"/>
      <c r="G56" s="6"/>
      <c r="H56" s="6"/>
      <c r="I56" s="6"/>
      <c r="J56" s="6" t="str">
        <f t="shared" si="1"/>
        <v>FAIL</v>
      </c>
      <c r="K56" s="7" t="str">
        <f t="shared" si="2"/>
        <v>FAIL</v>
      </c>
      <c r="L56" s="8"/>
    </row>
    <row r="57" ht="15.75" customHeight="1">
      <c r="A57" s="4" t="s">
        <v>82</v>
      </c>
      <c r="B57" s="5" t="s">
        <v>13</v>
      </c>
      <c r="C57" s="5" t="s">
        <v>15</v>
      </c>
      <c r="D57" s="5" t="s">
        <v>14</v>
      </c>
      <c r="E57" s="5" t="s">
        <v>15</v>
      </c>
      <c r="F57" s="5">
        <v>2.0</v>
      </c>
      <c r="G57" s="5" t="s">
        <v>13</v>
      </c>
      <c r="H57" s="5" t="s">
        <v>21</v>
      </c>
      <c r="I57" s="5" t="s">
        <v>17</v>
      </c>
      <c r="J57" s="6" t="str">
        <f t="shared" si="1"/>
        <v>FAIL</v>
      </c>
      <c r="K57" s="7" t="str">
        <f t="shared" si="2"/>
        <v>PASS</v>
      </c>
      <c r="L57" s="9" t="s">
        <v>83</v>
      </c>
    </row>
    <row r="58" ht="15.75" customHeight="1">
      <c r="A58" s="4" t="s">
        <v>84</v>
      </c>
      <c r="B58" s="5" t="s">
        <v>13</v>
      </c>
      <c r="C58" s="5" t="s">
        <v>14</v>
      </c>
      <c r="D58" s="5" t="s">
        <v>59</v>
      </c>
      <c r="E58" s="5" t="s">
        <v>15</v>
      </c>
      <c r="F58" s="5">
        <v>3.0</v>
      </c>
      <c r="G58" s="5" t="s">
        <v>13</v>
      </c>
      <c r="H58" s="5" t="s">
        <v>21</v>
      </c>
      <c r="I58" s="5" t="s">
        <v>17</v>
      </c>
      <c r="J58" s="6" t="str">
        <f t="shared" si="1"/>
        <v>FAIL</v>
      </c>
      <c r="K58" s="7" t="str">
        <f t="shared" si="2"/>
        <v>FAIL</v>
      </c>
      <c r="L58" s="9" t="s">
        <v>85</v>
      </c>
    </row>
    <row r="59" ht="15.75" customHeight="1">
      <c r="A59" s="4" t="s">
        <v>86</v>
      </c>
      <c r="B59" s="5" t="s">
        <v>19</v>
      </c>
      <c r="C59" s="6"/>
      <c r="D59" s="6"/>
      <c r="E59" s="6"/>
      <c r="F59" s="6"/>
      <c r="G59" s="6"/>
      <c r="H59" s="6"/>
      <c r="I59" s="6"/>
      <c r="J59" s="6" t="str">
        <f t="shared" si="1"/>
        <v>FAIL</v>
      </c>
      <c r="K59" s="7" t="str">
        <f t="shared" si="2"/>
        <v>FAIL</v>
      </c>
      <c r="L59" s="8"/>
    </row>
    <row r="60" ht="15.75" customHeight="1">
      <c r="A60" s="4" t="s">
        <v>87</v>
      </c>
      <c r="B60" s="5" t="s">
        <v>19</v>
      </c>
      <c r="C60" s="6"/>
      <c r="D60" s="6"/>
      <c r="E60" s="6"/>
      <c r="F60" s="6"/>
      <c r="G60" s="6"/>
      <c r="H60" s="6"/>
      <c r="I60" s="6"/>
      <c r="J60" s="6" t="str">
        <f t="shared" si="1"/>
        <v>FAIL</v>
      </c>
      <c r="K60" s="7" t="str">
        <f t="shared" si="2"/>
        <v>FAIL</v>
      </c>
      <c r="L60" s="8"/>
    </row>
    <row r="61" ht="15.75" customHeight="1">
      <c r="A61" s="4" t="s">
        <v>88</v>
      </c>
      <c r="B61" s="5" t="s">
        <v>13</v>
      </c>
      <c r="C61" s="5" t="s">
        <v>14</v>
      </c>
      <c r="D61" s="5" t="s">
        <v>14</v>
      </c>
      <c r="E61" s="5" t="s">
        <v>16</v>
      </c>
      <c r="F61" s="5">
        <v>2.0</v>
      </c>
      <c r="G61" s="5" t="s">
        <v>13</v>
      </c>
      <c r="H61" s="5" t="s">
        <v>21</v>
      </c>
      <c r="I61" s="5" t="s">
        <v>17</v>
      </c>
      <c r="J61" s="6" t="str">
        <f t="shared" si="1"/>
        <v>PASS</v>
      </c>
      <c r="K61" s="7" t="str">
        <f t="shared" si="2"/>
        <v>FAIL</v>
      </c>
      <c r="L61" s="8"/>
    </row>
    <row r="62" ht="15.75" customHeight="1">
      <c r="A62" s="4" t="s">
        <v>89</v>
      </c>
      <c r="B62" s="5" t="s">
        <v>19</v>
      </c>
      <c r="C62" s="6"/>
      <c r="D62" s="6"/>
      <c r="E62" s="6"/>
      <c r="F62" s="6"/>
      <c r="G62" s="6"/>
      <c r="H62" s="6"/>
      <c r="I62" s="6"/>
      <c r="J62" s="6" t="str">
        <f t="shared" si="1"/>
        <v>FAIL</v>
      </c>
      <c r="K62" s="7" t="str">
        <f t="shared" si="2"/>
        <v>FAIL</v>
      </c>
      <c r="L62" s="8"/>
    </row>
    <row r="63" ht="15.75" customHeight="1">
      <c r="A63" s="4" t="s">
        <v>90</v>
      </c>
      <c r="B63" s="5" t="s">
        <v>19</v>
      </c>
      <c r="C63" s="6"/>
      <c r="D63" s="6"/>
      <c r="E63" s="6"/>
      <c r="F63" s="6"/>
      <c r="G63" s="6"/>
      <c r="H63" s="6"/>
      <c r="I63" s="6"/>
      <c r="J63" s="6" t="str">
        <f t="shared" si="1"/>
        <v>FAIL</v>
      </c>
      <c r="K63" s="7" t="str">
        <f t="shared" si="2"/>
        <v>FAIL</v>
      </c>
      <c r="L63" s="8"/>
    </row>
    <row r="64" ht="15.75" customHeight="1">
      <c r="A64" s="4" t="s">
        <v>91</v>
      </c>
      <c r="B64" s="5" t="s">
        <v>13</v>
      </c>
      <c r="C64" s="5" t="s">
        <v>14</v>
      </c>
      <c r="D64" s="5" t="s">
        <v>59</v>
      </c>
      <c r="E64" s="5" t="s">
        <v>15</v>
      </c>
      <c r="F64" s="5">
        <v>3.0</v>
      </c>
      <c r="G64" s="5" t="s">
        <v>13</v>
      </c>
      <c r="H64" s="5" t="s">
        <v>16</v>
      </c>
      <c r="I64" s="5" t="s">
        <v>17</v>
      </c>
      <c r="J64" s="6" t="str">
        <f t="shared" si="1"/>
        <v>FAIL</v>
      </c>
      <c r="K64" s="7" t="str">
        <f t="shared" si="2"/>
        <v>FAIL</v>
      </c>
      <c r="L64" s="8"/>
    </row>
    <row r="65" ht="15.75" customHeight="1">
      <c r="A65" s="4" t="s">
        <v>92</v>
      </c>
      <c r="B65" s="5" t="s">
        <v>19</v>
      </c>
      <c r="C65" s="6"/>
      <c r="D65" s="6"/>
      <c r="E65" s="6"/>
      <c r="F65" s="6"/>
      <c r="G65" s="6"/>
      <c r="H65" s="6"/>
      <c r="I65" s="6"/>
      <c r="J65" s="6" t="str">
        <f t="shared" si="1"/>
        <v>FAIL</v>
      </c>
      <c r="K65" s="7" t="str">
        <f t="shared" si="2"/>
        <v>FAIL</v>
      </c>
      <c r="L65" s="8"/>
    </row>
    <row r="66" ht="15.75" customHeight="1">
      <c r="A66" s="4" t="s">
        <v>93</v>
      </c>
      <c r="B66" s="5" t="s">
        <v>19</v>
      </c>
      <c r="C66" s="6"/>
      <c r="D66" s="6"/>
      <c r="E66" s="6"/>
      <c r="F66" s="6"/>
      <c r="G66" s="6"/>
      <c r="H66" s="6"/>
      <c r="I66" s="6"/>
      <c r="J66" s="6" t="str">
        <f t="shared" si="1"/>
        <v>FAIL</v>
      </c>
      <c r="K66" s="7" t="str">
        <f t="shared" si="2"/>
        <v>FAIL</v>
      </c>
      <c r="L66" s="8"/>
    </row>
    <row r="67" ht="15.75" customHeight="1">
      <c r="A67" s="4" t="s">
        <v>94</v>
      </c>
      <c r="B67" s="5" t="s">
        <v>19</v>
      </c>
      <c r="C67" s="6"/>
      <c r="D67" s="6"/>
      <c r="E67" s="6"/>
      <c r="F67" s="6"/>
      <c r="G67" s="6"/>
      <c r="H67" s="6"/>
      <c r="I67" s="6"/>
      <c r="J67" s="6" t="str">
        <f t="shared" si="1"/>
        <v>FAIL</v>
      </c>
      <c r="K67" s="7" t="str">
        <f t="shared" si="2"/>
        <v>FAIL</v>
      </c>
      <c r="L67" s="8"/>
    </row>
    <row r="68" ht="15.75" customHeight="1">
      <c r="A68" s="4" t="s">
        <v>95</v>
      </c>
      <c r="B68" s="5" t="s">
        <v>13</v>
      </c>
      <c r="C68" s="5" t="s">
        <v>14</v>
      </c>
      <c r="D68" s="5" t="s">
        <v>59</v>
      </c>
      <c r="E68" s="5" t="s">
        <v>14</v>
      </c>
      <c r="F68" s="5">
        <v>3.0</v>
      </c>
      <c r="G68" s="5" t="s">
        <v>13</v>
      </c>
      <c r="H68" s="5" t="s">
        <v>16</v>
      </c>
      <c r="I68" s="5" t="s">
        <v>17</v>
      </c>
      <c r="J68" s="6" t="str">
        <f t="shared" si="1"/>
        <v>FAIL</v>
      </c>
      <c r="K68" s="7" t="str">
        <f t="shared" si="2"/>
        <v>FAIL</v>
      </c>
      <c r="L68" s="9" t="s">
        <v>96</v>
      </c>
    </row>
    <row r="69" ht="15.75" customHeight="1">
      <c r="A69" s="4" t="s">
        <v>97</v>
      </c>
      <c r="B69" s="5" t="s">
        <v>19</v>
      </c>
      <c r="C69" s="6"/>
      <c r="D69" s="6"/>
      <c r="E69" s="6"/>
      <c r="F69" s="6"/>
      <c r="G69" s="6"/>
      <c r="H69" s="6"/>
      <c r="I69" s="6"/>
      <c r="J69" s="6" t="str">
        <f t="shared" si="1"/>
        <v>FAIL</v>
      </c>
      <c r="K69" s="7" t="str">
        <f t="shared" si="2"/>
        <v>FAIL</v>
      </c>
      <c r="L69" s="9" t="s">
        <v>98</v>
      </c>
    </row>
    <row r="70" ht="15.75" customHeight="1">
      <c r="A70" s="4" t="s">
        <v>99</v>
      </c>
      <c r="B70" s="5" t="s">
        <v>19</v>
      </c>
      <c r="C70" s="6"/>
      <c r="D70" s="6"/>
      <c r="E70" s="6"/>
      <c r="F70" s="6"/>
      <c r="G70" s="6"/>
      <c r="H70" s="6"/>
      <c r="I70" s="6"/>
      <c r="J70" s="6" t="str">
        <f t="shared" si="1"/>
        <v>FAIL</v>
      </c>
      <c r="K70" s="7" t="str">
        <f t="shared" si="2"/>
        <v>FAIL</v>
      </c>
      <c r="L70" s="8"/>
    </row>
    <row r="71" ht="15.75" customHeight="1">
      <c r="A71" s="4" t="s">
        <v>100</v>
      </c>
      <c r="B71" s="5" t="s">
        <v>13</v>
      </c>
      <c r="C71" s="5" t="s">
        <v>14</v>
      </c>
      <c r="D71" s="5" t="s">
        <v>15</v>
      </c>
      <c r="E71" s="5" t="s">
        <v>14</v>
      </c>
      <c r="F71" s="5">
        <v>3.0</v>
      </c>
      <c r="G71" s="5" t="s">
        <v>13</v>
      </c>
      <c r="H71" s="5" t="s">
        <v>21</v>
      </c>
      <c r="I71" s="5" t="s">
        <v>17</v>
      </c>
      <c r="J71" s="6" t="str">
        <f t="shared" si="1"/>
        <v>FAIL</v>
      </c>
      <c r="K71" s="7" t="str">
        <f t="shared" si="2"/>
        <v>FAIL</v>
      </c>
      <c r="L71" s="8"/>
    </row>
    <row r="72" ht="15.75" customHeight="1">
      <c r="A72" s="4" t="s">
        <v>101</v>
      </c>
      <c r="B72" s="5" t="s">
        <v>19</v>
      </c>
      <c r="C72" s="6"/>
      <c r="D72" s="6"/>
      <c r="E72" s="6"/>
      <c r="F72" s="6"/>
      <c r="G72" s="6"/>
      <c r="H72" s="6"/>
      <c r="I72" s="6"/>
      <c r="J72" s="6" t="str">
        <f t="shared" si="1"/>
        <v>FAIL</v>
      </c>
      <c r="K72" s="7" t="str">
        <f t="shared" si="2"/>
        <v>FAIL</v>
      </c>
      <c r="L72" s="8"/>
    </row>
    <row r="73" ht="15.75" customHeight="1">
      <c r="A73" s="4" t="s">
        <v>102</v>
      </c>
      <c r="B73" s="5" t="s">
        <v>13</v>
      </c>
      <c r="C73" s="5" t="s">
        <v>16</v>
      </c>
      <c r="D73" s="5" t="s">
        <v>15</v>
      </c>
      <c r="E73" s="5" t="s">
        <v>14</v>
      </c>
      <c r="F73" s="5">
        <v>3.0</v>
      </c>
      <c r="G73" s="5" t="s">
        <v>13</v>
      </c>
      <c r="H73" s="5" t="s">
        <v>21</v>
      </c>
      <c r="I73" s="5" t="s">
        <v>22</v>
      </c>
      <c r="J73" s="6" t="str">
        <f t="shared" si="1"/>
        <v>FAIL</v>
      </c>
      <c r="K73" s="7" t="str">
        <f t="shared" si="2"/>
        <v>FAIL</v>
      </c>
      <c r="L73" s="8"/>
    </row>
    <row r="74" ht="15.75" customHeight="1">
      <c r="A74" s="4" t="s">
        <v>103</v>
      </c>
      <c r="B74" s="5" t="s">
        <v>13</v>
      </c>
      <c r="C74" s="5" t="s">
        <v>16</v>
      </c>
      <c r="D74" s="5" t="s">
        <v>59</v>
      </c>
      <c r="E74" s="5" t="s">
        <v>16</v>
      </c>
      <c r="F74" s="5">
        <v>1.0</v>
      </c>
      <c r="G74" s="5" t="s">
        <v>13</v>
      </c>
      <c r="H74" s="5" t="s">
        <v>16</v>
      </c>
      <c r="I74" s="5" t="s">
        <v>17</v>
      </c>
      <c r="J74" s="6" t="str">
        <f t="shared" si="1"/>
        <v>PASS</v>
      </c>
      <c r="K74" s="7" t="str">
        <f t="shared" si="2"/>
        <v>FAIL</v>
      </c>
      <c r="L74" s="8"/>
    </row>
    <row r="75" ht="15.75" customHeight="1">
      <c r="A75" s="4" t="s">
        <v>104</v>
      </c>
      <c r="B75" s="5" t="s">
        <v>19</v>
      </c>
      <c r="C75" s="6"/>
      <c r="D75" s="6"/>
      <c r="E75" s="6"/>
      <c r="F75" s="6"/>
      <c r="G75" s="6"/>
      <c r="H75" s="6"/>
      <c r="I75" s="6"/>
      <c r="J75" s="6" t="str">
        <f t="shared" si="1"/>
        <v>FAIL</v>
      </c>
      <c r="K75" s="7" t="str">
        <f t="shared" si="2"/>
        <v>FAIL</v>
      </c>
      <c r="L75" s="8"/>
    </row>
    <row r="76" ht="15.75" customHeight="1">
      <c r="A76" s="4" t="s">
        <v>105</v>
      </c>
      <c r="B76" s="5" t="s">
        <v>19</v>
      </c>
      <c r="C76" s="6"/>
      <c r="D76" s="6"/>
      <c r="E76" s="6"/>
      <c r="F76" s="6"/>
      <c r="G76" s="6"/>
      <c r="H76" s="6"/>
      <c r="I76" s="6"/>
      <c r="J76" s="6" t="str">
        <f t="shared" si="1"/>
        <v>FAIL</v>
      </c>
      <c r="K76" s="7" t="str">
        <f t="shared" si="2"/>
        <v>FAIL</v>
      </c>
      <c r="L76" s="8"/>
    </row>
    <row r="77" ht="15.75" customHeight="1">
      <c r="A77" s="4" t="s">
        <v>106</v>
      </c>
      <c r="B77" s="5" t="s">
        <v>19</v>
      </c>
      <c r="C77" s="6"/>
      <c r="D77" s="6"/>
      <c r="E77" s="6"/>
      <c r="F77" s="6"/>
      <c r="G77" s="6"/>
      <c r="H77" s="6"/>
      <c r="I77" s="6"/>
      <c r="J77" s="6" t="str">
        <f t="shared" si="1"/>
        <v>FAIL</v>
      </c>
      <c r="K77" s="7" t="str">
        <f t="shared" si="2"/>
        <v>FAIL</v>
      </c>
      <c r="L77" s="8"/>
    </row>
    <row r="78" ht="15.75" customHeight="1">
      <c r="A78" s="4" t="s">
        <v>107</v>
      </c>
      <c r="B78" s="5" t="s">
        <v>19</v>
      </c>
      <c r="C78" s="6"/>
      <c r="D78" s="6"/>
      <c r="E78" s="6"/>
      <c r="F78" s="6"/>
      <c r="G78" s="6"/>
      <c r="H78" s="6"/>
      <c r="I78" s="6"/>
      <c r="J78" s="6" t="str">
        <f t="shared" si="1"/>
        <v>FAIL</v>
      </c>
      <c r="K78" s="7" t="str">
        <f t="shared" si="2"/>
        <v>FAIL</v>
      </c>
      <c r="L78" s="8"/>
    </row>
    <row r="79" ht="15.75" customHeight="1">
      <c r="A79" s="4" t="s">
        <v>108</v>
      </c>
      <c r="B79" s="5" t="s">
        <v>19</v>
      </c>
      <c r="C79" s="6"/>
      <c r="D79" s="6"/>
      <c r="E79" s="6"/>
      <c r="F79" s="6"/>
      <c r="G79" s="6"/>
      <c r="H79" s="6"/>
      <c r="I79" s="6"/>
      <c r="J79" s="6" t="str">
        <f t="shared" si="1"/>
        <v>FAIL</v>
      </c>
      <c r="K79" s="7" t="str">
        <f t="shared" si="2"/>
        <v>FAIL</v>
      </c>
      <c r="L79" s="8"/>
    </row>
    <row r="80" ht="15.75" customHeight="1">
      <c r="A80" s="4" t="s">
        <v>109</v>
      </c>
      <c r="B80" s="5" t="s">
        <v>13</v>
      </c>
      <c r="C80" s="5" t="s">
        <v>15</v>
      </c>
      <c r="D80" s="5" t="s">
        <v>59</v>
      </c>
      <c r="E80" s="5" t="s">
        <v>16</v>
      </c>
      <c r="F80" s="5">
        <v>2.0</v>
      </c>
      <c r="G80" s="5" t="s">
        <v>13</v>
      </c>
      <c r="H80" s="5" t="s">
        <v>21</v>
      </c>
      <c r="I80" s="5" t="s">
        <v>17</v>
      </c>
      <c r="J80" s="6" t="str">
        <f t="shared" si="1"/>
        <v>FAIL</v>
      </c>
      <c r="K80" s="7" t="str">
        <f t="shared" si="2"/>
        <v>PASS</v>
      </c>
      <c r="L80" s="8"/>
    </row>
    <row r="81" ht="15.75" customHeight="1">
      <c r="A81" s="4" t="s">
        <v>110</v>
      </c>
      <c r="B81" s="5" t="s">
        <v>13</v>
      </c>
      <c r="C81" s="5" t="s">
        <v>14</v>
      </c>
      <c r="D81" s="5" t="s">
        <v>59</v>
      </c>
      <c r="E81" s="5" t="s">
        <v>15</v>
      </c>
      <c r="F81" s="5">
        <v>3.0</v>
      </c>
      <c r="G81" s="5" t="s">
        <v>13</v>
      </c>
      <c r="H81" s="5" t="s">
        <v>21</v>
      </c>
      <c r="I81" s="5" t="s">
        <v>17</v>
      </c>
      <c r="J81" s="6" t="str">
        <f t="shared" si="1"/>
        <v>FAIL</v>
      </c>
      <c r="K81" s="7" t="str">
        <f t="shared" si="2"/>
        <v>FAIL</v>
      </c>
      <c r="L81" s="8"/>
    </row>
    <row r="82" ht="15.75" customHeight="1">
      <c r="A82" s="4" t="s">
        <v>111</v>
      </c>
      <c r="B82" s="5" t="s">
        <v>19</v>
      </c>
      <c r="C82" s="6"/>
      <c r="D82" s="6"/>
      <c r="E82" s="6"/>
      <c r="F82" s="6"/>
      <c r="G82" s="6"/>
      <c r="H82" s="6"/>
      <c r="I82" s="6"/>
      <c r="J82" s="6" t="str">
        <f t="shared" si="1"/>
        <v>FAIL</v>
      </c>
      <c r="K82" s="7" t="str">
        <f t="shared" si="2"/>
        <v>FAIL</v>
      </c>
      <c r="L82" s="8"/>
    </row>
    <row r="83" ht="15.75" customHeight="1">
      <c r="A83" s="4" t="s">
        <v>112</v>
      </c>
      <c r="B83" s="5" t="s">
        <v>19</v>
      </c>
      <c r="C83" s="6"/>
      <c r="D83" s="6"/>
      <c r="E83" s="6"/>
      <c r="F83" s="6"/>
      <c r="G83" s="6"/>
      <c r="H83" s="6"/>
      <c r="I83" s="6"/>
      <c r="J83" s="6" t="str">
        <f t="shared" si="1"/>
        <v>FAIL</v>
      </c>
      <c r="K83" s="7" t="str">
        <f t="shared" si="2"/>
        <v>FAIL</v>
      </c>
      <c r="L83" s="8"/>
    </row>
    <row r="84" ht="15.75" customHeight="1">
      <c r="A84" s="4" t="s">
        <v>113</v>
      </c>
      <c r="B84" s="5" t="s">
        <v>19</v>
      </c>
      <c r="C84" s="6"/>
      <c r="D84" s="6"/>
      <c r="E84" s="6"/>
      <c r="F84" s="6"/>
      <c r="G84" s="6"/>
      <c r="H84" s="6"/>
      <c r="I84" s="6"/>
      <c r="J84" s="6" t="str">
        <f t="shared" si="1"/>
        <v>FAIL</v>
      </c>
      <c r="K84" s="7" t="str">
        <f t="shared" si="2"/>
        <v>FAIL</v>
      </c>
      <c r="L84" s="8"/>
    </row>
    <row r="85" ht="15.75" customHeight="1">
      <c r="A85" s="4" t="s">
        <v>114</v>
      </c>
      <c r="B85" s="5" t="s">
        <v>19</v>
      </c>
      <c r="C85" s="6"/>
      <c r="D85" s="6"/>
      <c r="E85" s="6"/>
      <c r="F85" s="6"/>
      <c r="G85" s="6"/>
      <c r="H85" s="6"/>
      <c r="I85" s="6"/>
      <c r="J85" s="6" t="str">
        <f t="shared" si="1"/>
        <v>FAIL</v>
      </c>
      <c r="K85" s="7" t="str">
        <f t="shared" si="2"/>
        <v>FAIL</v>
      </c>
      <c r="L85" s="8"/>
    </row>
    <row r="86" ht="15.75" customHeight="1">
      <c r="A86" s="4" t="s">
        <v>115</v>
      </c>
      <c r="B86" s="5" t="s">
        <v>13</v>
      </c>
      <c r="C86" s="5" t="s">
        <v>14</v>
      </c>
      <c r="D86" s="5" t="s">
        <v>16</v>
      </c>
      <c r="E86" s="5" t="s">
        <v>14</v>
      </c>
      <c r="F86" s="5">
        <v>1.0</v>
      </c>
      <c r="G86" s="5" t="s">
        <v>13</v>
      </c>
      <c r="H86" s="5" t="s">
        <v>21</v>
      </c>
      <c r="I86" s="5" t="s">
        <v>17</v>
      </c>
      <c r="J86" s="6" t="str">
        <f t="shared" si="1"/>
        <v>FAIL</v>
      </c>
      <c r="K86" s="7" t="str">
        <f t="shared" si="2"/>
        <v>FAIL</v>
      </c>
      <c r="L86" s="8"/>
    </row>
    <row r="87" ht="15.75" customHeight="1">
      <c r="A87" s="4" t="s">
        <v>116</v>
      </c>
      <c r="B87" s="5" t="s">
        <v>19</v>
      </c>
      <c r="C87" s="6"/>
      <c r="D87" s="6"/>
      <c r="E87" s="6"/>
      <c r="F87" s="6"/>
      <c r="G87" s="6"/>
      <c r="H87" s="6"/>
      <c r="I87" s="6"/>
      <c r="J87" s="6" t="str">
        <f t="shared" si="1"/>
        <v>FAIL</v>
      </c>
      <c r="K87" s="7" t="str">
        <f t="shared" si="2"/>
        <v>FAIL</v>
      </c>
      <c r="L87" s="8"/>
    </row>
    <row r="88" ht="15.75" customHeight="1">
      <c r="A88" s="4" t="s">
        <v>117</v>
      </c>
      <c r="B88" s="5" t="s">
        <v>19</v>
      </c>
      <c r="C88" s="6"/>
      <c r="D88" s="6"/>
      <c r="E88" s="6"/>
      <c r="F88" s="6"/>
      <c r="G88" s="6"/>
      <c r="H88" s="6"/>
      <c r="I88" s="6"/>
      <c r="J88" s="6" t="str">
        <f t="shared" si="1"/>
        <v>FAIL</v>
      </c>
      <c r="K88" s="7" t="str">
        <f t="shared" si="2"/>
        <v>FAIL</v>
      </c>
      <c r="L88" s="8"/>
    </row>
    <row r="89" ht="15.75" customHeight="1">
      <c r="A89" s="4" t="s">
        <v>118</v>
      </c>
      <c r="B89" s="5" t="s">
        <v>19</v>
      </c>
      <c r="C89" s="6"/>
      <c r="D89" s="6"/>
      <c r="E89" s="6"/>
      <c r="F89" s="6"/>
      <c r="G89" s="6"/>
      <c r="H89" s="6"/>
      <c r="I89" s="6"/>
      <c r="J89" s="6" t="str">
        <f t="shared" si="1"/>
        <v>FAIL</v>
      </c>
      <c r="K89" s="7" t="str">
        <f t="shared" si="2"/>
        <v>FAIL</v>
      </c>
      <c r="L89" s="8"/>
    </row>
    <row r="90" ht="15.75" customHeight="1">
      <c r="A90" s="4" t="s">
        <v>119</v>
      </c>
      <c r="B90" s="5" t="s">
        <v>19</v>
      </c>
      <c r="C90" s="6"/>
      <c r="D90" s="6"/>
      <c r="E90" s="6"/>
      <c r="F90" s="6"/>
      <c r="G90" s="6"/>
      <c r="H90" s="6"/>
      <c r="I90" s="6"/>
      <c r="J90" s="6" t="str">
        <f t="shared" si="1"/>
        <v>FAIL</v>
      </c>
      <c r="K90" s="7" t="str">
        <f t="shared" si="2"/>
        <v>FAIL</v>
      </c>
      <c r="L90" s="9" t="s">
        <v>120</v>
      </c>
    </row>
    <row r="91" ht="15.75" customHeight="1">
      <c r="A91" s="4" t="s">
        <v>121</v>
      </c>
      <c r="B91" s="5" t="s">
        <v>19</v>
      </c>
      <c r="C91" s="6"/>
      <c r="D91" s="6"/>
      <c r="E91" s="6"/>
      <c r="F91" s="6"/>
      <c r="G91" s="6"/>
      <c r="H91" s="6"/>
      <c r="I91" s="6"/>
      <c r="J91" s="6" t="str">
        <f t="shared" si="1"/>
        <v>FAIL</v>
      </c>
      <c r="K91" s="7" t="str">
        <f t="shared" si="2"/>
        <v>FAIL</v>
      </c>
      <c r="L91" s="8"/>
    </row>
    <row r="92" ht="15.75" customHeight="1">
      <c r="A92" s="4" t="s">
        <v>122</v>
      </c>
      <c r="B92" s="5" t="s">
        <v>13</v>
      </c>
      <c r="C92" s="5" t="s">
        <v>14</v>
      </c>
      <c r="D92" s="5" t="s">
        <v>14</v>
      </c>
      <c r="E92" s="5" t="s">
        <v>16</v>
      </c>
      <c r="F92" s="5">
        <v>2.0</v>
      </c>
      <c r="G92" s="5" t="s">
        <v>13</v>
      </c>
      <c r="H92" s="5" t="s">
        <v>21</v>
      </c>
      <c r="I92" s="5" t="s">
        <v>17</v>
      </c>
      <c r="J92" s="6" t="str">
        <f t="shared" si="1"/>
        <v>PASS</v>
      </c>
      <c r="K92" s="7" t="str">
        <f t="shared" si="2"/>
        <v>FAIL</v>
      </c>
      <c r="L92" s="9" t="s">
        <v>123</v>
      </c>
    </row>
    <row r="93" ht="15.75" customHeight="1">
      <c r="A93" s="4" t="s">
        <v>124</v>
      </c>
      <c r="B93" s="5" t="s">
        <v>19</v>
      </c>
      <c r="C93" s="6"/>
      <c r="D93" s="6"/>
      <c r="E93" s="6"/>
      <c r="F93" s="6"/>
      <c r="G93" s="6"/>
      <c r="H93" s="6"/>
      <c r="I93" s="6"/>
      <c r="J93" s="6" t="str">
        <f t="shared" si="1"/>
        <v>FAIL</v>
      </c>
      <c r="K93" s="7" t="str">
        <f t="shared" si="2"/>
        <v>FAIL</v>
      </c>
      <c r="L93" s="8"/>
    </row>
    <row r="94" ht="15.75" customHeight="1">
      <c r="A94" s="4" t="s">
        <v>125</v>
      </c>
      <c r="B94" s="5" t="s">
        <v>19</v>
      </c>
      <c r="C94" s="6"/>
      <c r="D94" s="6"/>
      <c r="E94" s="6"/>
      <c r="F94" s="6"/>
      <c r="G94" s="6"/>
      <c r="H94" s="6"/>
      <c r="I94" s="6"/>
      <c r="J94" s="6" t="str">
        <f t="shared" si="1"/>
        <v>FAIL</v>
      </c>
      <c r="K94" s="7" t="str">
        <f t="shared" si="2"/>
        <v>FAIL</v>
      </c>
      <c r="L94" s="8"/>
    </row>
    <row r="95" ht="15.75" customHeight="1">
      <c r="A95" s="4" t="s">
        <v>126</v>
      </c>
      <c r="B95" s="5" t="s">
        <v>19</v>
      </c>
      <c r="C95" s="6"/>
      <c r="D95" s="6"/>
      <c r="E95" s="6"/>
      <c r="F95" s="6"/>
      <c r="G95" s="6"/>
      <c r="H95" s="6"/>
      <c r="I95" s="6"/>
      <c r="J95" s="6" t="str">
        <f t="shared" si="1"/>
        <v>FAIL</v>
      </c>
      <c r="K95" s="7" t="str">
        <f t="shared" si="2"/>
        <v>FAIL</v>
      </c>
      <c r="L95" s="8"/>
    </row>
    <row r="96" ht="15.75" customHeight="1">
      <c r="A96" s="4" t="s">
        <v>127</v>
      </c>
      <c r="B96" s="5" t="s">
        <v>19</v>
      </c>
      <c r="C96" s="6"/>
      <c r="D96" s="6"/>
      <c r="E96" s="6"/>
      <c r="F96" s="6"/>
      <c r="G96" s="6"/>
      <c r="H96" s="6"/>
      <c r="I96" s="6"/>
      <c r="J96" s="6" t="str">
        <f t="shared" si="1"/>
        <v>FAIL</v>
      </c>
      <c r="K96" s="7" t="str">
        <f t="shared" si="2"/>
        <v>FAIL</v>
      </c>
      <c r="L96" s="8"/>
    </row>
    <row r="97" ht="15.75" customHeight="1">
      <c r="A97" s="4" t="s">
        <v>128</v>
      </c>
      <c r="B97" s="5" t="s">
        <v>19</v>
      </c>
      <c r="C97" s="6"/>
      <c r="D97" s="6"/>
      <c r="E97" s="6"/>
      <c r="F97" s="6"/>
      <c r="G97" s="6"/>
      <c r="H97" s="6"/>
      <c r="I97" s="6"/>
      <c r="J97" s="6" t="str">
        <f t="shared" si="1"/>
        <v>FAIL</v>
      </c>
      <c r="K97" s="7" t="str">
        <f t="shared" si="2"/>
        <v>FAIL</v>
      </c>
      <c r="L97" s="8"/>
    </row>
    <row r="98" ht="15.75" customHeight="1">
      <c r="A98" s="4" t="s">
        <v>129</v>
      </c>
      <c r="B98" s="5" t="s">
        <v>19</v>
      </c>
      <c r="C98" s="6"/>
      <c r="D98" s="6"/>
      <c r="E98" s="6"/>
      <c r="F98" s="6"/>
      <c r="G98" s="6"/>
      <c r="H98" s="6"/>
      <c r="I98" s="6"/>
      <c r="J98" s="6" t="str">
        <f t="shared" si="1"/>
        <v>FAIL</v>
      </c>
      <c r="K98" s="7" t="str">
        <f t="shared" si="2"/>
        <v>FAIL</v>
      </c>
      <c r="L98" s="8"/>
    </row>
    <row r="99" ht="15.75" customHeight="1">
      <c r="A99" s="4" t="s">
        <v>130</v>
      </c>
      <c r="B99" s="5" t="s">
        <v>19</v>
      </c>
      <c r="C99" s="6"/>
      <c r="D99" s="6"/>
      <c r="E99" s="6"/>
      <c r="F99" s="6"/>
      <c r="G99" s="6"/>
      <c r="H99" s="6"/>
      <c r="I99" s="6"/>
      <c r="J99" s="6" t="str">
        <f t="shared" si="1"/>
        <v>FAIL</v>
      </c>
      <c r="K99" s="7" t="str">
        <f t="shared" si="2"/>
        <v>FAIL</v>
      </c>
      <c r="L99" s="8"/>
    </row>
    <row r="100" ht="15.75" customHeight="1">
      <c r="A100" s="4" t="s">
        <v>131</v>
      </c>
      <c r="B100" s="5" t="s">
        <v>19</v>
      </c>
      <c r="C100" s="6"/>
      <c r="D100" s="6"/>
      <c r="E100" s="6"/>
      <c r="F100" s="6"/>
      <c r="G100" s="6"/>
      <c r="H100" s="6"/>
      <c r="I100" s="6"/>
      <c r="J100" s="6" t="str">
        <f t="shared" si="1"/>
        <v>FAIL</v>
      </c>
      <c r="K100" s="7" t="str">
        <f t="shared" si="2"/>
        <v>FAIL</v>
      </c>
      <c r="L100" s="8"/>
    </row>
    <row r="101" ht="15.75" customHeight="1">
      <c r="A101" s="4" t="s">
        <v>132</v>
      </c>
      <c r="B101" s="5" t="s">
        <v>19</v>
      </c>
      <c r="C101" s="6"/>
      <c r="D101" s="6"/>
      <c r="E101" s="6"/>
      <c r="F101" s="6"/>
      <c r="G101" s="6"/>
      <c r="H101" s="6"/>
      <c r="I101" s="6"/>
      <c r="J101" s="6" t="str">
        <f t="shared" si="1"/>
        <v>FAIL</v>
      </c>
      <c r="K101" s="7" t="str">
        <f t="shared" si="2"/>
        <v>FAIL</v>
      </c>
      <c r="L101" s="8"/>
    </row>
    <row r="102" ht="15.75" customHeight="1">
      <c r="A102" s="4" t="s">
        <v>133</v>
      </c>
      <c r="B102" s="5" t="s">
        <v>19</v>
      </c>
      <c r="C102" s="6"/>
      <c r="D102" s="6"/>
      <c r="E102" s="6"/>
      <c r="F102" s="6"/>
      <c r="G102" s="6"/>
      <c r="H102" s="6"/>
      <c r="I102" s="6"/>
      <c r="J102" s="6" t="str">
        <f t="shared" si="1"/>
        <v>FAIL</v>
      </c>
      <c r="K102" s="7" t="str">
        <f t="shared" si="2"/>
        <v>FAIL</v>
      </c>
      <c r="L102" s="8"/>
    </row>
    <row r="103" ht="15.75" customHeight="1">
      <c r="A103" s="4" t="s">
        <v>134</v>
      </c>
      <c r="B103" s="5" t="s">
        <v>19</v>
      </c>
      <c r="C103" s="6"/>
      <c r="D103" s="6"/>
      <c r="E103" s="6"/>
      <c r="F103" s="6"/>
      <c r="G103" s="6"/>
      <c r="H103" s="6"/>
      <c r="I103" s="6"/>
      <c r="J103" s="6" t="str">
        <f t="shared" si="1"/>
        <v>FAIL</v>
      </c>
      <c r="K103" s="7" t="str">
        <f t="shared" si="2"/>
        <v>FAIL</v>
      </c>
      <c r="L103" s="8"/>
    </row>
    <row r="104" ht="15.75" customHeight="1">
      <c r="A104" s="4" t="s">
        <v>135</v>
      </c>
      <c r="B104" s="5" t="s">
        <v>19</v>
      </c>
      <c r="C104" s="6"/>
      <c r="D104" s="6"/>
      <c r="E104" s="6"/>
      <c r="F104" s="6"/>
      <c r="G104" s="6"/>
      <c r="H104" s="6"/>
      <c r="I104" s="6"/>
      <c r="J104" s="6" t="str">
        <f t="shared" si="1"/>
        <v>FAIL</v>
      </c>
      <c r="K104" s="7" t="str">
        <f t="shared" si="2"/>
        <v>FAIL</v>
      </c>
      <c r="L104" s="8"/>
    </row>
    <row r="105" ht="15.75" customHeight="1">
      <c r="A105" s="4" t="s">
        <v>136</v>
      </c>
      <c r="B105" s="5" t="s">
        <v>19</v>
      </c>
      <c r="C105" s="6"/>
      <c r="D105" s="6"/>
      <c r="E105" s="6"/>
      <c r="F105" s="6"/>
      <c r="G105" s="6"/>
      <c r="H105" s="6"/>
      <c r="I105" s="6"/>
      <c r="J105" s="6" t="str">
        <f t="shared" si="1"/>
        <v>FAIL</v>
      </c>
      <c r="K105" s="7" t="str">
        <f t="shared" si="2"/>
        <v>FAIL</v>
      </c>
      <c r="L105" s="8"/>
    </row>
    <row r="106" ht="15.75" customHeight="1">
      <c r="A106" s="4" t="s">
        <v>137</v>
      </c>
      <c r="B106" s="5" t="s">
        <v>19</v>
      </c>
      <c r="C106" s="6"/>
      <c r="D106" s="6"/>
      <c r="E106" s="6"/>
      <c r="F106" s="6"/>
      <c r="G106" s="6"/>
      <c r="H106" s="6"/>
      <c r="I106" s="6"/>
      <c r="J106" s="6" t="str">
        <f t="shared" si="1"/>
        <v>FAIL</v>
      </c>
      <c r="K106" s="7" t="str">
        <f t="shared" si="2"/>
        <v>FAIL</v>
      </c>
      <c r="L106" s="8"/>
    </row>
    <row r="107" ht="15.75" customHeight="1">
      <c r="A107" s="4" t="s">
        <v>138</v>
      </c>
      <c r="B107" s="5" t="s">
        <v>13</v>
      </c>
      <c r="C107" s="5" t="s">
        <v>14</v>
      </c>
      <c r="D107" s="5" t="s">
        <v>59</v>
      </c>
      <c r="E107" s="5" t="s">
        <v>14</v>
      </c>
      <c r="F107" s="5">
        <v>3.0</v>
      </c>
      <c r="G107" s="5" t="s">
        <v>19</v>
      </c>
      <c r="H107" s="5" t="s">
        <v>21</v>
      </c>
      <c r="I107" s="5" t="s">
        <v>17</v>
      </c>
      <c r="J107" s="6" t="str">
        <f t="shared" si="1"/>
        <v>FAIL</v>
      </c>
      <c r="K107" s="7" t="str">
        <f t="shared" si="2"/>
        <v>FAIL</v>
      </c>
      <c r="L107" s="9" t="s">
        <v>139</v>
      </c>
    </row>
    <row r="108" ht="15.75" customHeight="1">
      <c r="A108" s="4" t="s">
        <v>140</v>
      </c>
      <c r="B108" s="5" t="s">
        <v>19</v>
      </c>
      <c r="C108" s="6"/>
      <c r="D108" s="6"/>
      <c r="E108" s="6"/>
      <c r="F108" s="6"/>
      <c r="G108" s="6"/>
      <c r="H108" s="6"/>
      <c r="I108" s="6"/>
      <c r="J108" s="6" t="str">
        <f t="shared" si="1"/>
        <v>FAIL</v>
      </c>
      <c r="K108" s="7" t="str">
        <f t="shared" si="2"/>
        <v>FAIL</v>
      </c>
      <c r="L108" s="8"/>
    </row>
    <row r="109" ht="15.75" customHeight="1">
      <c r="A109" s="4" t="s">
        <v>141</v>
      </c>
      <c r="B109" s="5" t="s">
        <v>19</v>
      </c>
      <c r="C109" s="6"/>
      <c r="D109" s="6"/>
      <c r="E109" s="6"/>
      <c r="F109" s="6"/>
      <c r="G109" s="6"/>
      <c r="H109" s="6"/>
      <c r="I109" s="6"/>
      <c r="J109" s="6" t="str">
        <f t="shared" si="1"/>
        <v>FAIL</v>
      </c>
      <c r="K109" s="7" t="str">
        <f t="shared" si="2"/>
        <v>FAIL</v>
      </c>
      <c r="L109" s="8"/>
    </row>
    <row r="110" ht="15.75" customHeight="1">
      <c r="A110" s="4" t="s">
        <v>142</v>
      </c>
      <c r="B110" s="5" t="s">
        <v>19</v>
      </c>
      <c r="C110" s="6"/>
      <c r="D110" s="6"/>
      <c r="E110" s="6"/>
      <c r="F110" s="6"/>
      <c r="G110" s="6"/>
      <c r="H110" s="6"/>
      <c r="I110" s="6"/>
      <c r="J110" s="6" t="str">
        <f t="shared" si="1"/>
        <v>FAIL</v>
      </c>
      <c r="K110" s="7" t="str">
        <f t="shared" si="2"/>
        <v>FAIL</v>
      </c>
      <c r="L110" s="8"/>
    </row>
    <row r="111" ht="15.75" customHeight="1">
      <c r="A111" s="4" t="s">
        <v>143</v>
      </c>
      <c r="B111" s="5" t="s">
        <v>19</v>
      </c>
      <c r="C111" s="6"/>
      <c r="D111" s="6"/>
      <c r="E111" s="6"/>
      <c r="F111" s="6"/>
      <c r="G111" s="6"/>
      <c r="H111" s="6"/>
      <c r="I111" s="6"/>
      <c r="J111" s="6" t="str">
        <f t="shared" si="1"/>
        <v>FAIL</v>
      </c>
      <c r="K111" s="7" t="str">
        <f t="shared" si="2"/>
        <v>FAIL</v>
      </c>
      <c r="L111" s="8"/>
    </row>
    <row r="112" ht="15.75" customHeight="1">
      <c r="A112" s="4" t="s">
        <v>144</v>
      </c>
      <c r="B112" s="5" t="s">
        <v>19</v>
      </c>
      <c r="C112" s="6"/>
      <c r="D112" s="6"/>
      <c r="E112" s="6"/>
      <c r="F112" s="6"/>
      <c r="G112" s="6"/>
      <c r="H112" s="6"/>
      <c r="I112" s="6"/>
      <c r="J112" s="6" t="str">
        <f t="shared" si="1"/>
        <v>FAIL</v>
      </c>
      <c r="K112" s="7" t="str">
        <f t="shared" si="2"/>
        <v>FAIL</v>
      </c>
      <c r="L112" s="8"/>
    </row>
    <row r="113" ht="15.75" customHeight="1">
      <c r="A113" s="4" t="s">
        <v>145</v>
      </c>
      <c r="B113" s="5" t="s">
        <v>19</v>
      </c>
      <c r="C113" s="6"/>
      <c r="D113" s="6"/>
      <c r="E113" s="6"/>
      <c r="F113" s="6"/>
      <c r="G113" s="6"/>
      <c r="H113" s="6"/>
      <c r="I113" s="6"/>
      <c r="J113" s="6" t="str">
        <f t="shared" si="1"/>
        <v>FAIL</v>
      </c>
      <c r="K113" s="7" t="str">
        <f t="shared" si="2"/>
        <v>FAIL</v>
      </c>
      <c r="L113" s="8"/>
    </row>
    <row r="114" ht="15.75" customHeight="1">
      <c r="A114" s="4" t="s">
        <v>146</v>
      </c>
      <c r="B114" s="5" t="s">
        <v>19</v>
      </c>
      <c r="C114" s="6"/>
      <c r="D114" s="6"/>
      <c r="E114" s="6"/>
      <c r="F114" s="6"/>
      <c r="G114" s="6"/>
      <c r="H114" s="6"/>
      <c r="I114" s="6"/>
      <c r="J114" s="6" t="str">
        <f t="shared" si="1"/>
        <v>FAIL</v>
      </c>
      <c r="K114" s="7" t="str">
        <f t="shared" si="2"/>
        <v>FAIL</v>
      </c>
      <c r="L114" s="8"/>
    </row>
    <row r="115" ht="15.75" customHeight="1">
      <c r="A115" s="4" t="s">
        <v>147</v>
      </c>
      <c r="B115" s="5" t="s">
        <v>19</v>
      </c>
      <c r="C115" s="6"/>
      <c r="D115" s="6"/>
      <c r="E115" s="6"/>
      <c r="F115" s="6"/>
      <c r="G115" s="6"/>
      <c r="H115" s="6"/>
      <c r="I115" s="6"/>
      <c r="J115" s="6" t="str">
        <f t="shared" si="1"/>
        <v>FAIL</v>
      </c>
      <c r="K115" s="7" t="str">
        <f t="shared" si="2"/>
        <v>FAIL</v>
      </c>
      <c r="L115" s="8"/>
    </row>
    <row r="116" ht="15.75" customHeight="1">
      <c r="A116" s="4" t="s">
        <v>148</v>
      </c>
      <c r="B116" s="5" t="s">
        <v>19</v>
      </c>
      <c r="C116" s="6"/>
      <c r="D116" s="6"/>
      <c r="E116" s="6"/>
      <c r="F116" s="6"/>
      <c r="G116" s="6"/>
      <c r="H116" s="6"/>
      <c r="I116" s="6"/>
      <c r="J116" s="6" t="str">
        <f t="shared" si="1"/>
        <v>FAIL</v>
      </c>
      <c r="K116" s="7" t="str">
        <f t="shared" si="2"/>
        <v>FAIL</v>
      </c>
      <c r="L116" s="8"/>
    </row>
    <row r="117" ht="15.75" customHeight="1">
      <c r="A117" s="4" t="s">
        <v>149</v>
      </c>
      <c r="B117" s="5" t="s">
        <v>19</v>
      </c>
      <c r="C117" s="6"/>
      <c r="D117" s="6"/>
      <c r="E117" s="6"/>
      <c r="F117" s="6"/>
      <c r="G117" s="6"/>
      <c r="H117" s="6"/>
      <c r="I117" s="6"/>
      <c r="J117" s="6" t="str">
        <f t="shared" si="1"/>
        <v>FAIL</v>
      </c>
      <c r="K117" s="7" t="str">
        <f t="shared" si="2"/>
        <v>FAIL</v>
      </c>
      <c r="L117" s="8"/>
    </row>
    <row r="118" ht="15.75" customHeight="1">
      <c r="A118" s="4" t="s">
        <v>150</v>
      </c>
      <c r="B118" s="5" t="s">
        <v>19</v>
      </c>
      <c r="C118" s="6"/>
      <c r="D118" s="6"/>
      <c r="E118" s="6"/>
      <c r="F118" s="6"/>
      <c r="G118" s="6"/>
      <c r="H118" s="6"/>
      <c r="I118" s="6"/>
      <c r="J118" s="6" t="str">
        <f t="shared" si="1"/>
        <v>FAIL</v>
      </c>
      <c r="K118" s="7" t="str">
        <f t="shared" si="2"/>
        <v>FAIL</v>
      </c>
      <c r="L118" s="8"/>
    </row>
    <row r="119" ht="15.75" customHeight="1">
      <c r="A119" s="4" t="s">
        <v>151</v>
      </c>
      <c r="B119" s="5" t="s">
        <v>13</v>
      </c>
      <c r="C119" s="5" t="s">
        <v>15</v>
      </c>
      <c r="D119" s="5" t="s">
        <v>59</v>
      </c>
      <c r="E119" s="5" t="s">
        <v>16</v>
      </c>
      <c r="F119" s="5">
        <v>3.0</v>
      </c>
      <c r="G119" s="5" t="s">
        <v>19</v>
      </c>
      <c r="H119" s="5" t="s">
        <v>16</v>
      </c>
      <c r="I119" s="5" t="s">
        <v>22</v>
      </c>
      <c r="J119" s="6" t="str">
        <f t="shared" si="1"/>
        <v>FAIL</v>
      </c>
      <c r="K119" s="7" t="str">
        <f t="shared" si="2"/>
        <v>FAIL</v>
      </c>
      <c r="L119" s="9" t="s">
        <v>152</v>
      </c>
    </row>
    <row r="120" ht="15.75" customHeight="1">
      <c r="A120" s="4" t="s">
        <v>153</v>
      </c>
      <c r="B120" s="5" t="s">
        <v>19</v>
      </c>
      <c r="C120" s="6"/>
      <c r="D120" s="6"/>
      <c r="E120" s="6"/>
      <c r="F120" s="6"/>
      <c r="G120" s="6"/>
      <c r="H120" s="6"/>
      <c r="I120" s="6"/>
      <c r="J120" s="6" t="str">
        <f t="shared" si="1"/>
        <v>FAIL</v>
      </c>
      <c r="K120" s="7" t="str">
        <f t="shared" si="2"/>
        <v>FAIL</v>
      </c>
      <c r="L120" s="8"/>
    </row>
    <row r="121" ht="15.75" customHeight="1">
      <c r="A121" s="4" t="s">
        <v>154</v>
      </c>
      <c r="B121" s="5" t="s">
        <v>19</v>
      </c>
      <c r="C121" s="6"/>
      <c r="D121" s="6"/>
      <c r="E121" s="6"/>
      <c r="F121" s="6"/>
      <c r="G121" s="6"/>
      <c r="H121" s="6"/>
      <c r="I121" s="6"/>
      <c r="J121" s="6" t="str">
        <f t="shared" si="1"/>
        <v>FAIL</v>
      </c>
      <c r="K121" s="7" t="str">
        <f t="shared" si="2"/>
        <v>FAIL</v>
      </c>
      <c r="L121" s="9" t="s">
        <v>120</v>
      </c>
    </row>
    <row r="122" ht="15.75" customHeight="1">
      <c r="A122" s="4" t="s">
        <v>155</v>
      </c>
      <c r="B122" s="5" t="s">
        <v>19</v>
      </c>
      <c r="C122" s="6"/>
      <c r="D122" s="6"/>
      <c r="E122" s="6"/>
      <c r="F122" s="6"/>
      <c r="G122" s="6"/>
      <c r="H122" s="6"/>
      <c r="I122" s="6"/>
      <c r="J122" s="6" t="str">
        <f t="shared" si="1"/>
        <v>FAIL</v>
      </c>
      <c r="K122" s="7" t="str">
        <f t="shared" si="2"/>
        <v>FAIL</v>
      </c>
      <c r="L122" s="8"/>
    </row>
    <row r="123" ht="15.75" customHeight="1">
      <c r="A123" s="4" t="s">
        <v>156</v>
      </c>
      <c r="B123" s="5" t="s">
        <v>19</v>
      </c>
      <c r="C123" s="6"/>
      <c r="D123" s="6"/>
      <c r="E123" s="6"/>
      <c r="F123" s="6"/>
      <c r="G123" s="6"/>
      <c r="H123" s="6"/>
      <c r="I123" s="6"/>
      <c r="J123" s="6" t="str">
        <f t="shared" si="1"/>
        <v>FAIL</v>
      </c>
      <c r="K123" s="7" t="str">
        <f t="shared" si="2"/>
        <v>FAIL</v>
      </c>
      <c r="L123" s="9" t="s">
        <v>120</v>
      </c>
    </row>
    <row r="124" ht="15.75" customHeight="1">
      <c r="A124" s="4" t="s">
        <v>157</v>
      </c>
      <c r="B124" s="5" t="s">
        <v>19</v>
      </c>
      <c r="C124" s="6"/>
      <c r="D124" s="6"/>
      <c r="E124" s="6"/>
      <c r="F124" s="6"/>
      <c r="G124" s="6"/>
      <c r="H124" s="6"/>
      <c r="I124" s="6"/>
      <c r="J124" s="6" t="str">
        <f t="shared" si="1"/>
        <v>FAIL</v>
      </c>
      <c r="K124" s="7" t="str">
        <f t="shared" si="2"/>
        <v>FAIL</v>
      </c>
      <c r="L124" s="8"/>
    </row>
    <row r="125" ht="15.75" customHeight="1">
      <c r="A125" s="4" t="s">
        <v>158</v>
      </c>
      <c r="B125" s="5" t="s">
        <v>19</v>
      </c>
      <c r="C125" s="5" t="s">
        <v>14</v>
      </c>
      <c r="D125" s="5" t="s">
        <v>16</v>
      </c>
      <c r="E125" s="5" t="s">
        <v>16</v>
      </c>
      <c r="F125" s="5">
        <v>1.0</v>
      </c>
      <c r="G125" s="5" t="s">
        <v>13</v>
      </c>
      <c r="H125" s="5" t="s">
        <v>21</v>
      </c>
      <c r="I125" s="5" t="s">
        <v>22</v>
      </c>
      <c r="J125" s="6" t="str">
        <f t="shared" si="1"/>
        <v>FAIL</v>
      </c>
      <c r="K125" s="7" t="str">
        <f t="shared" si="2"/>
        <v>FAIL</v>
      </c>
      <c r="L125" s="9" t="s">
        <v>159</v>
      </c>
    </row>
    <row r="126" ht="15.75" customHeight="1">
      <c r="A126" s="4" t="s">
        <v>160</v>
      </c>
      <c r="B126" s="5" t="s">
        <v>13</v>
      </c>
      <c r="C126" s="5" t="s">
        <v>15</v>
      </c>
      <c r="D126" s="5" t="s">
        <v>59</v>
      </c>
      <c r="E126" s="5" t="s">
        <v>16</v>
      </c>
      <c r="F126" s="5">
        <v>2.0</v>
      </c>
      <c r="G126" s="5" t="s">
        <v>13</v>
      </c>
      <c r="H126" s="5" t="s">
        <v>21</v>
      </c>
      <c r="I126" s="5" t="s">
        <v>17</v>
      </c>
      <c r="J126" s="6" t="str">
        <f t="shared" si="1"/>
        <v>FAIL</v>
      </c>
      <c r="K126" s="7" t="str">
        <f t="shared" si="2"/>
        <v>PASS</v>
      </c>
      <c r="L126" s="8"/>
    </row>
    <row r="127" ht="15.75" customHeight="1">
      <c r="A127" s="4" t="s">
        <v>161</v>
      </c>
      <c r="B127" s="5" t="s">
        <v>19</v>
      </c>
      <c r="C127" s="6"/>
      <c r="D127" s="6"/>
      <c r="E127" s="6"/>
      <c r="F127" s="6"/>
      <c r="G127" s="6"/>
      <c r="H127" s="6"/>
      <c r="I127" s="6"/>
      <c r="J127" s="6" t="str">
        <f t="shared" si="1"/>
        <v>FAIL</v>
      </c>
      <c r="K127" s="7" t="str">
        <f t="shared" si="2"/>
        <v>FAIL</v>
      </c>
      <c r="L127" s="8"/>
    </row>
    <row r="128" ht="15.75" customHeight="1">
      <c r="A128" s="4" t="s">
        <v>162</v>
      </c>
      <c r="B128" s="5" t="s">
        <v>19</v>
      </c>
      <c r="C128" s="6"/>
      <c r="D128" s="6"/>
      <c r="E128" s="6"/>
      <c r="F128" s="6"/>
      <c r="G128" s="6"/>
      <c r="H128" s="6"/>
      <c r="I128" s="6"/>
      <c r="J128" s="6" t="str">
        <f t="shared" si="1"/>
        <v>FAIL</v>
      </c>
      <c r="K128" s="7" t="str">
        <f t="shared" si="2"/>
        <v>FAIL</v>
      </c>
      <c r="L128" s="8"/>
    </row>
    <row r="129" ht="15.75" customHeight="1">
      <c r="A129" s="4" t="s">
        <v>163</v>
      </c>
      <c r="B129" s="5" t="s">
        <v>19</v>
      </c>
      <c r="C129" s="6"/>
      <c r="D129" s="6"/>
      <c r="E129" s="6"/>
      <c r="F129" s="6"/>
      <c r="G129" s="6"/>
      <c r="H129" s="6"/>
      <c r="I129" s="6"/>
      <c r="J129" s="6" t="str">
        <f t="shared" si="1"/>
        <v>FAIL</v>
      </c>
      <c r="K129" s="7" t="str">
        <f t="shared" si="2"/>
        <v>FAIL</v>
      </c>
      <c r="L129" s="8"/>
    </row>
    <row r="130" ht="15.75" customHeight="1">
      <c r="A130" s="4" t="s">
        <v>164</v>
      </c>
      <c r="B130" s="5" t="s">
        <v>19</v>
      </c>
      <c r="C130" s="6"/>
      <c r="D130" s="6"/>
      <c r="E130" s="6"/>
      <c r="F130" s="6"/>
      <c r="G130" s="6"/>
      <c r="H130" s="6"/>
      <c r="I130" s="6"/>
      <c r="J130" s="6" t="str">
        <f t="shared" si="1"/>
        <v>FAIL</v>
      </c>
      <c r="K130" s="7" t="str">
        <f t="shared" si="2"/>
        <v>FAIL</v>
      </c>
      <c r="L130" s="8"/>
    </row>
    <row r="131" ht="15.75" customHeight="1">
      <c r="A131" s="4" t="s">
        <v>165</v>
      </c>
      <c r="B131" s="5" t="s">
        <v>19</v>
      </c>
      <c r="C131" s="6"/>
      <c r="D131" s="6"/>
      <c r="E131" s="6"/>
      <c r="F131" s="6"/>
      <c r="G131" s="6"/>
      <c r="H131" s="6"/>
      <c r="I131" s="6"/>
      <c r="J131" s="6" t="str">
        <f t="shared" si="1"/>
        <v>FAIL</v>
      </c>
      <c r="K131" s="7" t="str">
        <f t="shared" si="2"/>
        <v>FAIL</v>
      </c>
      <c r="L131" s="8"/>
    </row>
    <row r="132" ht="15.75" customHeight="1">
      <c r="A132" s="4" t="s">
        <v>166</v>
      </c>
      <c r="B132" s="5" t="s">
        <v>19</v>
      </c>
      <c r="C132" s="6"/>
      <c r="D132" s="6"/>
      <c r="E132" s="6"/>
      <c r="F132" s="6"/>
      <c r="G132" s="6"/>
      <c r="H132" s="6"/>
      <c r="I132" s="6"/>
      <c r="J132" s="6" t="str">
        <f t="shared" si="1"/>
        <v>FAIL</v>
      </c>
      <c r="K132" s="7" t="str">
        <f t="shared" si="2"/>
        <v>FAIL</v>
      </c>
      <c r="L132" s="8"/>
    </row>
    <row r="133" ht="15.75" customHeight="1">
      <c r="A133" s="4" t="s">
        <v>167</v>
      </c>
      <c r="B133" s="5" t="s">
        <v>13</v>
      </c>
      <c r="C133" s="5" t="s">
        <v>59</v>
      </c>
      <c r="D133" s="5" t="s">
        <v>59</v>
      </c>
      <c r="E133" s="5" t="s">
        <v>15</v>
      </c>
      <c r="F133" s="5">
        <v>3.0</v>
      </c>
      <c r="G133" s="5" t="s">
        <v>19</v>
      </c>
      <c r="H133" s="5" t="s">
        <v>21</v>
      </c>
      <c r="I133" s="5" t="s">
        <v>22</v>
      </c>
      <c r="J133" s="6" t="str">
        <f t="shared" si="1"/>
        <v>FAIL</v>
      </c>
      <c r="K133" s="7" t="str">
        <f t="shared" si="2"/>
        <v>FAIL</v>
      </c>
      <c r="L133" s="8"/>
    </row>
    <row r="134" ht="15.75" customHeight="1">
      <c r="A134" s="4" t="s">
        <v>168</v>
      </c>
      <c r="B134" s="5" t="s">
        <v>19</v>
      </c>
      <c r="C134" s="6"/>
      <c r="D134" s="6"/>
      <c r="E134" s="6"/>
      <c r="F134" s="6"/>
      <c r="G134" s="6"/>
      <c r="H134" s="6"/>
      <c r="I134" s="6"/>
      <c r="J134" s="6" t="str">
        <f t="shared" si="1"/>
        <v>FAIL</v>
      </c>
      <c r="K134" s="7" t="str">
        <f t="shared" si="2"/>
        <v>FAIL</v>
      </c>
      <c r="L134" s="8"/>
    </row>
    <row r="135" ht="15.75" customHeight="1">
      <c r="A135" s="4" t="s">
        <v>169</v>
      </c>
      <c r="B135" s="5" t="s">
        <v>19</v>
      </c>
      <c r="C135" s="6"/>
      <c r="D135" s="6"/>
      <c r="E135" s="6"/>
      <c r="F135" s="6"/>
      <c r="G135" s="6"/>
      <c r="H135" s="6"/>
      <c r="I135" s="6"/>
      <c r="J135" s="6" t="str">
        <f t="shared" si="1"/>
        <v>FAIL</v>
      </c>
      <c r="K135" s="7" t="str">
        <f t="shared" si="2"/>
        <v>FAIL</v>
      </c>
      <c r="L135" s="8"/>
    </row>
    <row r="136" ht="15.75" customHeight="1">
      <c r="A136" s="4" t="s">
        <v>170</v>
      </c>
      <c r="B136" s="5" t="s">
        <v>19</v>
      </c>
      <c r="C136" s="6"/>
      <c r="D136" s="6"/>
      <c r="E136" s="6"/>
      <c r="F136" s="6"/>
      <c r="G136" s="6"/>
      <c r="H136" s="6"/>
      <c r="I136" s="6"/>
      <c r="J136" s="6" t="str">
        <f t="shared" si="1"/>
        <v>FAIL</v>
      </c>
      <c r="K136" s="7" t="str">
        <f t="shared" si="2"/>
        <v>FAIL</v>
      </c>
      <c r="L136" s="8"/>
    </row>
    <row r="137" ht="15.75" customHeight="1">
      <c r="A137" s="4" t="s">
        <v>171</v>
      </c>
      <c r="B137" s="5" t="s">
        <v>13</v>
      </c>
      <c r="C137" s="5" t="s">
        <v>14</v>
      </c>
      <c r="D137" s="5" t="s">
        <v>16</v>
      </c>
      <c r="E137" s="5" t="s">
        <v>16</v>
      </c>
      <c r="F137" s="5">
        <v>2.0</v>
      </c>
      <c r="G137" s="5" t="s">
        <v>19</v>
      </c>
      <c r="H137" s="5" t="s">
        <v>16</v>
      </c>
      <c r="I137" s="5" t="s">
        <v>22</v>
      </c>
      <c r="J137" s="6" t="str">
        <f t="shared" si="1"/>
        <v>FAIL</v>
      </c>
      <c r="K137" s="7" t="str">
        <f t="shared" si="2"/>
        <v>FAIL</v>
      </c>
      <c r="L137" s="9" t="s">
        <v>172</v>
      </c>
    </row>
    <row r="138" ht="15.75" customHeight="1">
      <c r="A138" s="4" t="s">
        <v>173</v>
      </c>
      <c r="B138" s="5" t="s">
        <v>19</v>
      </c>
      <c r="C138" s="6"/>
      <c r="D138" s="6"/>
      <c r="E138" s="6"/>
      <c r="F138" s="6"/>
      <c r="G138" s="6"/>
      <c r="H138" s="6"/>
      <c r="I138" s="6"/>
      <c r="J138" s="6" t="str">
        <f t="shared" si="1"/>
        <v>FAIL</v>
      </c>
      <c r="K138" s="7" t="str">
        <f t="shared" si="2"/>
        <v>FAIL</v>
      </c>
      <c r="L138" s="8"/>
    </row>
    <row r="139" ht="15.75" customHeight="1">
      <c r="A139" s="4" t="s">
        <v>174</v>
      </c>
      <c r="B139" s="5" t="s">
        <v>19</v>
      </c>
      <c r="C139" s="6"/>
      <c r="D139" s="6"/>
      <c r="E139" s="6"/>
      <c r="F139" s="6"/>
      <c r="G139" s="6"/>
      <c r="H139" s="6"/>
      <c r="I139" s="6"/>
      <c r="J139" s="6" t="str">
        <f t="shared" si="1"/>
        <v>FAIL</v>
      </c>
      <c r="K139" s="7" t="str">
        <f t="shared" si="2"/>
        <v>FAIL</v>
      </c>
      <c r="L139" s="8"/>
    </row>
    <row r="140" ht="15.75" customHeight="1">
      <c r="A140" s="4" t="s">
        <v>175</v>
      </c>
      <c r="B140" s="5" t="s">
        <v>13</v>
      </c>
      <c r="C140" s="5" t="s">
        <v>14</v>
      </c>
      <c r="D140" s="5" t="s">
        <v>14</v>
      </c>
      <c r="E140" s="5" t="s">
        <v>16</v>
      </c>
      <c r="F140" s="5">
        <v>2.0</v>
      </c>
      <c r="G140" s="5" t="s">
        <v>13</v>
      </c>
      <c r="H140" s="5" t="s">
        <v>21</v>
      </c>
      <c r="I140" s="5" t="s">
        <v>17</v>
      </c>
      <c r="J140" s="6" t="str">
        <f t="shared" si="1"/>
        <v>PASS</v>
      </c>
      <c r="K140" s="7" t="str">
        <f t="shared" si="2"/>
        <v>FAIL</v>
      </c>
      <c r="L140" s="9" t="s">
        <v>176</v>
      </c>
    </row>
    <row r="141" ht="15.75" customHeight="1">
      <c r="A141" s="4" t="s">
        <v>177</v>
      </c>
      <c r="B141" s="5" t="s">
        <v>19</v>
      </c>
      <c r="C141" s="6"/>
      <c r="D141" s="6"/>
      <c r="E141" s="6"/>
      <c r="F141" s="6"/>
      <c r="G141" s="6"/>
      <c r="H141" s="6"/>
      <c r="I141" s="6"/>
      <c r="J141" s="6" t="str">
        <f t="shared" si="1"/>
        <v>FAIL</v>
      </c>
      <c r="K141" s="7" t="str">
        <f t="shared" si="2"/>
        <v>FAIL</v>
      </c>
      <c r="L141" s="8"/>
    </row>
    <row r="142" ht="15.75" customHeight="1">
      <c r="A142" s="4" t="s">
        <v>178</v>
      </c>
      <c r="B142" s="5" t="s">
        <v>19</v>
      </c>
      <c r="C142" s="6"/>
      <c r="D142" s="6"/>
      <c r="E142" s="6"/>
      <c r="F142" s="6"/>
      <c r="G142" s="6"/>
      <c r="H142" s="6"/>
      <c r="I142" s="6"/>
      <c r="J142" s="6" t="str">
        <f t="shared" si="1"/>
        <v>FAIL</v>
      </c>
      <c r="K142" s="7" t="str">
        <f t="shared" si="2"/>
        <v>FAIL</v>
      </c>
      <c r="L142" s="8"/>
    </row>
    <row r="143" ht="15.75" customHeight="1">
      <c r="A143" s="4" t="s">
        <v>179</v>
      </c>
      <c r="B143" s="5" t="s">
        <v>19</v>
      </c>
      <c r="C143" s="6"/>
      <c r="D143" s="6"/>
      <c r="E143" s="6"/>
      <c r="F143" s="6"/>
      <c r="G143" s="6"/>
      <c r="H143" s="6"/>
      <c r="I143" s="6"/>
      <c r="J143" s="6" t="str">
        <f t="shared" si="1"/>
        <v>FAIL</v>
      </c>
      <c r="K143" s="7" t="str">
        <f t="shared" si="2"/>
        <v>FAIL</v>
      </c>
      <c r="L143" s="8"/>
    </row>
    <row r="144" ht="15.75" customHeight="1">
      <c r="A144" s="4" t="s">
        <v>180</v>
      </c>
      <c r="B144" s="5" t="s">
        <v>13</v>
      </c>
      <c r="C144" s="5" t="s">
        <v>59</v>
      </c>
      <c r="D144" s="5" t="s">
        <v>59</v>
      </c>
      <c r="E144" s="5" t="s">
        <v>16</v>
      </c>
      <c r="F144" s="5">
        <v>1.0</v>
      </c>
      <c r="G144" s="5" t="s">
        <v>13</v>
      </c>
      <c r="H144" s="5" t="s">
        <v>16</v>
      </c>
      <c r="I144" s="5" t="s">
        <v>17</v>
      </c>
      <c r="J144" s="6" t="str">
        <f t="shared" si="1"/>
        <v>PASS</v>
      </c>
      <c r="K144" s="7" t="str">
        <f t="shared" si="2"/>
        <v>FAIL</v>
      </c>
      <c r="L144" s="9" t="s">
        <v>181</v>
      </c>
    </row>
    <row r="145" ht="15.75" customHeight="1">
      <c r="A145" s="4" t="s">
        <v>182</v>
      </c>
      <c r="B145" s="5" t="s">
        <v>19</v>
      </c>
      <c r="C145" s="6"/>
      <c r="D145" s="6"/>
      <c r="E145" s="6"/>
      <c r="F145" s="6"/>
      <c r="G145" s="6"/>
      <c r="H145" s="6"/>
      <c r="I145" s="6"/>
      <c r="J145" s="6" t="str">
        <f t="shared" si="1"/>
        <v>FAIL</v>
      </c>
      <c r="K145" s="7" t="str">
        <f t="shared" si="2"/>
        <v>FAIL</v>
      </c>
      <c r="L145" s="8"/>
    </row>
    <row r="146" ht="15.75" customHeight="1">
      <c r="A146" s="4" t="s">
        <v>183</v>
      </c>
      <c r="B146" s="5" t="s">
        <v>13</v>
      </c>
      <c r="C146" s="5" t="s">
        <v>14</v>
      </c>
      <c r="D146" s="5" t="s">
        <v>14</v>
      </c>
      <c r="E146" s="5" t="s">
        <v>16</v>
      </c>
      <c r="F146" s="5">
        <v>2.0</v>
      </c>
      <c r="G146" s="5" t="s">
        <v>13</v>
      </c>
      <c r="H146" s="5" t="s">
        <v>21</v>
      </c>
      <c r="I146" s="5" t="s">
        <v>17</v>
      </c>
      <c r="J146" s="6" t="str">
        <f t="shared" si="1"/>
        <v>PASS</v>
      </c>
      <c r="K146" s="7" t="str">
        <f t="shared" si="2"/>
        <v>FAIL</v>
      </c>
      <c r="L146" s="9" t="s">
        <v>184</v>
      </c>
    </row>
    <row r="147" ht="15.75" customHeight="1">
      <c r="A147" s="4" t="s">
        <v>185</v>
      </c>
      <c r="B147" s="5" t="s">
        <v>19</v>
      </c>
      <c r="C147" s="6"/>
      <c r="D147" s="6"/>
      <c r="E147" s="6"/>
      <c r="F147" s="6"/>
      <c r="G147" s="6"/>
      <c r="H147" s="6"/>
      <c r="I147" s="6"/>
      <c r="J147" s="6" t="str">
        <f t="shared" si="1"/>
        <v>FAIL</v>
      </c>
      <c r="K147" s="7" t="str">
        <f t="shared" si="2"/>
        <v>FAIL</v>
      </c>
      <c r="L147" s="8"/>
    </row>
    <row r="148" ht="15.75" customHeight="1">
      <c r="A148" s="4" t="s">
        <v>186</v>
      </c>
      <c r="B148" s="5" t="s">
        <v>19</v>
      </c>
      <c r="C148" s="6"/>
      <c r="D148" s="6"/>
      <c r="E148" s="6"/>
      <c r="F148" s="6"/>
      <c r="G148" s="6"/>
      <c r="H148" s="6"/>
      <c r="I148" s="6"/>
      <c r="J148" s="6" t="str">
        <f t="shared" si="1"/>
        <v>FAIL</v>
      </c>
      <c r="K148" s="7" t="str">
        <f t="shared" si="2"/>
        <v>FAIL</v>
      </c>
      <c r="L148" s="8"/>
    </row>
    <row r="149" ht="15.75" customHeight="1">
      <c r="A149" s="4" t="s">
        <v>187</v>
      </c>
      <c r="B149" s="5" t="s">
        <v>13</v>
      </c>
      <c r="C149" s="5" t="s">
        <v>14</v>
      </c>
      <c r="D149" s="5" t="s">
        <v>59</v>
      </c>
      <c r="E149" s="5" t="s">
        <v>16</v>
      </c>
      <c r="F149" s="5">
        <v>1.0</v>
      </c>
      <c r="G149" s="5" t="s">
        <v>13</v>
      </c>
      <c r="H149" s="5" t="s">
        <v>16</v>
      </c>
      <c r="I149" s="5" t="s">
        <v>17</v>
      </c>
      <c r="J149" s="6" t="str">
        <f t="shared" si="1"/>
        <v>PASS</v>
      </c>
      <c r="K149" s="7" t="str">
        <f t="shared" si="2"/>
        <v>FAIL</v>
      </c>
      <c r="L149" s="9" t="s">
        <v>188</v>
      </c>
    </row>
    <row r="150" ht="15.75" customHeight="1">
      <c r="A150" s="4" t="s">
        <v>189</v>
      </c>
      <c r="B150" s="5" t="s">
        <v>19</v>
      </c>
      <c r="C150" s="6"/>
      <c r="D150" s="6"/>
      <c r="E150" s="6"/>
      <c r="F150" s="6"/>
      <c r="G150" s="6"/>
      <c r="H150" s="6"/>
      <c r="I150" s="6"/>
      <c r="J150" s="6" t="str">
        <f t="shared" si="1"/>
        <v>FAIL</v>
      </c>
      <c r="K150" s="7" t="str">
        <f t="shared" si="2"/>
        <v>FAIL</v>
      </c>
      <c r="L150" s="8"/>
    </row>
    <row r="151" ht="15.75" customHeight="1">
      <c r="A151" s="4" t="s">
        <v>190</v>
      </c>
      <c r="B151" s="5" t="s">
        <v>13</v>
      </c>
      <c r="C151" s="5" t="s">
        <v>14</v>
      </c>
      <c r="D151" s="5" t="s">
        <v>59</v>
      </c>
      <c r="E151" s="5" t="s">
        <v>16</v>
      </c>
      <c r="F151" s="5">
        <v>2.0</v>
      </c>
      <c r="G151" s="5" t="s">
        <v>13</v>
      </c>
      <c r="H151" s="5" t="s">
        <v>21</v>
      </c>
      <c r="I151" s="5" t="s">
        <v>17</v>
      </c>
      <c r="J151" s="6" t="str">
        <f t="shared" si="1"/>
        <v>PASS</v>
      </c>
      <c r="K151" s="7" t="str">
        <f t="shared" si="2"/>
        <v>FAIL</v>
      </c>
      <c r="L151" s="9" t="s">
        <v>191</v>
      </c>
    </row>
    <row r="152" ht="15.75" customHeight="1">
      <c r="A152" s="4" t="s">
        <v>192</v>
      </c>
      <c r="B152" s="5" t="s">
        <v>19</v>
      </c>
      <c r="C152" s="6"/>
      <c r="D152" s="6"/>
      <c r="E152" s="6"/>
      <c r="F152" s="6"/>
      <c r="G152" s="6"/>
      <c r="H152" s="6"/>
      <c r="I152" s="6"/>
      <c r="J152" s="6" t="str">
        <f t="shared" si="1"/>
        <v>FAIL</v>
      </c>
      <c r="K152" s="7" t="str">
        <f t="shared" si="2"/>
        <v>FAIL</v>
      </c>
      <c r="L152" s="8"/>
    </row>
    <row r="153" ht="15.75" customHeight="1">
      <c r="A153" s="4" t="s">
        <v>193</v>
      </c>
      <c r="B153" s="5" t="s">
        <v>13</v>
      </c>
      <c r="C153" s="5" t="s">
        <v>15</v>
      </c>
      <c r="D153" s="5" t="s">
        <v>59</v>
      </c>
      <c r="E153" s="5" t="s">
        <v>14</v>
      </c>
      <c r="F153" s="5">
        <v>1.0</v>
      </c>
      <c r="G153" s="5" t="s">
        <v>13</v>
      </c>
      <c r="H153" s="5" t="s">
        <v>21</v>
      </c>
      <c r="I153" s="5" t="s">
        <v>17</v>
      </c>
      <c r="J153" s="6" t="str">
        <f t="shared" si="1"/>
        <v>FAIL</v>
      </c>
      <c r="K153" s="7" t="str">
        <f t="shared" si="2"/>
        <v>FAIL</v>
      </c>
      <c r="L153" s="8"/>
    </row>
    <row r="154" ht="15.75" customHeight="1">
      <c r="A154" s="4" t="s">
        <v>194</v>
      </c>
      <c r="B154" s="5" t="s">
        <v>19</v>
      </c>
      <c r="C154" s="6"/>
      <c r="D154" s="6"/>
      <c r="E154" s="6"/>
      <c r="F154" s="6"/>
      <c r="G154" s="6"/>
      <c r="H154" s="6"/>
      <c r="I154" s="6"/>
      <c r="J154" s="6" t="str">
        <f t="shared" si="1"/>
        <v>FAIL</v>
      </c>
      <c r="K154" s="7" t="str">
        <f t="shared" si="2"/>
        <v>FAIL</v>
      </c>
      <c r="L154" s="8"/>
    </row>
    <row r="155" ht="15.75" customHeight="1">
      <c r="A155" s="4" t="s">
        <v>195</v>
      </c>
      <c r="B155" s="5" t="s">
        <v>13</v>
      </c>
      <c r="C155" s="5" t="s">
        <v>14</v>
      </c>
      <c r="D155" s="5" t="s">
        <v>59</v>
      </c>
      <c r="E155" s="5" t="s">
        <v>15</v>
      </c>
      <c r="F155" s="5">
        <v>2.0</v>
      </c>
      <c r="G155" s="5" t="s">
        <v>13</v>
      </c>
      <c r="H155" s="5" t="s">
        <v>21</v>
      </c>
      <c r="I155" s="5" t="s">
        <v>17</v>
      </c>
      <c r="J155" s="6" t="str">
        <f t="shared" si="1"/>
        <v>PASS</v>
      </c>
      <c r="K155" s="7" t="str">
        <f t="shared" si="2"/>
        <v>FAIL</v>
      </c>
      <c r="L155" s="9" t="s">
        <v>196</v>
      </c>
    </row>
    <row r="156" ht="15.75" customHeight="1">
      <c r="A156" s="4" t="s">
        <v>197</v>
      </c>
      <c r="B156" s="5" t="s">
        <v>19</v>
      </c>
      <c r="C156" s="6"/>
      <c r="D156" s="6"/>
      <c r="E156" s="6"/>
      <c r="F156" s="6"/>
      <c r="G156" s="6"/>
      <c r="H156" s="6"/>
      <c r="I156" s="6"/>
      <c r="J156" s="6" t="str">
        <f t="shared" si="1"/>
        <v>FAIL</v>
      </c>
      <c r="K156" s="7" t="str">
        <f t="shared" si="2"/>
        <v>FAIL</v>
      </c>
      <c r="L156" s="8"/>
    </row>
    <row r="157" ht="15.75" customHeight="1">
      <c r="A157" s="4" t="s">
        <v>198</v>
      </c>
      <c r="B157" s="5" t="s">
        <v>19</v>
      </c>
      <c r="C157" s="6"/>
      <c r="D157" s="6"/>
      <c r="E157" s="6"/>
      <c r="F157" s="6"/>
      <c r="G157" s="6"/>
      <c r="H157" s="6"/>
      <c r="I157" s="6"/>
      <c r="J157" s="6" t="str">
        <f t="shared" si="1"/>
        <v>FAIL</v>
      </c>
      <c r="K157" s="7" t="str">
        <f t="shared" si="2"/>
        <v>FAIL</v>
      </c>
      <c r="L157" s="8"/>
    </row>
    <row r="158" ht="15.75" customHeight="1">
      <c r="A158" s="4" t="s">
        <v>199</v>
      </c>
      <c r="B158" s="5" t="s">
        <v>19</v>
      </c>
      <c r="C158" s="6"/>
      <c r="D158" s="6"/>
      <c r="E158" s="6"/>
      <c r="F158" s="6"/>
      <c r="G158" s="6"/>
      <c r="H158" s="6"/>
      <c r="I158" s="6"/>
      <c r="J158" s="6" t="str">
        <f t="shared" si="1"/>
        <v>FAIL</v>
      </c>
      <c r="K158" s="7" t="str">
        <f t="shared" si="2"/>
        <v>FAIL</v>
      </c>
      <c r="L158" s="8"/>
    </row>
    <row r="159" ht="15.75" customHeight="1">
      <c r="A159" s="4" t="s">
        <v>200</v>
      </c>
      <c r="B159" s="5" t="s">
        <v>13</v>
      </c>
      <c r="C159" s="5" t="s">
        <v>14</v>
      </c>
      <c r="D159" s="5" t="s">
        <v>14</v>
      </c>
      <c r="E159" s="5" t="s">
        <v>16</v>
      </c>
      <c r="F159" s="5">
        <v>2.0</v>
      </c>
      <c r="G159" s="5" t="s">
        <v>13</v>
      </c>
      <c r="H159" s="5" t="s">
        <v>21</v>
      </c>
      <c r="I159" s="5" t="s">
        <v>17</v>
      </c>
      <c r="J159" s="6" t="str">
        <f t="shared" si="1"/>
        <v>PASS</v>
      </c>
      <c r="K159" s="7" t="str">
        <f t="shared" si="2"/>
        <v>FAIL</v>
      </c>
      <c r="L159" s="9" t="s">
        <v>201</v>
      </c>
    </row>
    <row r="160" ht="15.75" customHeight="1">
      <c r="A160" s="4" t="s">
        <v>202</v>
      </c>
      <c r="B160" s="5" t="s">
        <v>13</v>
      </c>
      <c r="C160" s="5" t="s">
        <v>15</v>
      </c>
      <c r="D160" s="5" t="s">
        <v>59</v>
      </c>
      <c r="E160" s="5" t="s">
        <v>14</v>
      </c>
      <c r="F160" s="5">
        <v>3.0</v>
      </c>
      <c r="G160" s="5" t="s">
        <v>19</v>
      </c>
      <c r="H160" s="5" t="s">
        <v>16</v>
      </c>
      <c r="I160" s="5" t="s">
        <v>22</v>
      </c>
      <c r="J160" s="6" t="str">
        <f t="shared" si="1"/>
        <v>FAIL</v>
      </c>
      <c r="K160" s="7" t="str">
        <f t="shared" si="2"/>
        <v>FAIL</v>
      </c>
      <c r="L160" s="8"/>
    </row>
    <row r="161" ht="15.75" customHeight="1">
      <c r="A161" s="4" t="s">
        <v>203</v>
      </c>
      <c r="B161" s="5" t="s">
        <v>19</v>
      </c>
      <c r="C161" s="6"/>
      <c r="D161" s="6"/>
      <c r="E161" s="6"/>
      <c r="F161" s="6"/>
      <c r="G161" s="6"/>
      <c r="H161" s="6"/>
      <c r="I161" s="6"/>
      <c r="J161" s="6" t="str">
        <f t="shared" si="1"/>
        <v>FAIL</v>
      </c>
      <c r="K161" s="7" t="str">
        <f t="shared" si="2"/>
        <v>FAIL</v>
      </c>
      <c r="L161" s="8"/>
    </row>
    <row r="162" ht="15.75" customHeight="1">
      <c r="A162" s="4" t="s">
        <v>204</v>
      </c>
      <c r="B162" s="5" t="s">
        <v>19</v>
      </c>
      <c r="C162" s="6"/>
      <c r="D162" s="6"/>
      <c r="E162" s="6"/>
      <c r="F162" s="6"/>
      <c r="G162" s="6"/>
      <c r="H162" s="6"/>
      <c r="I162" s="6"/>
      <c r="J162" s="6" t="str">
        <f t="shared" si="1"/>
        <v>FAIL</v>
      </c>
      <c r="K162" s="7" t="str">
        <f t="shared" si="2"/>
        <v>FAIL</v>
      </c>
      <c r="L162" s="8"/>
    </row>
    <row r="163" ht="15.75" customHeight="1">
      <c r="A163" s="4" t="s">
        <v>205</v>
      </c>
      <c r="B163" s="5" t="s">
        <v>19</v>
      </c>
      <c r="C163" s="6"/>
      <c r="D163" s="6"/>
      <c r="E163" s="6"/>
      <c r="F163" s="6"/>
      <c r="G163" s="6"/>
      <c r="H163" s="6"/>
      <c r="I163" s="6"/>
      <c r="J163" s="6" t="str">
        <f t="shared" si="1"/>
        <v>FAIL</v>
      </c>
      <c r="K163" s="7" t="str">
        <f t="shared" si="2"/>
        <v>FAIL</v>
      </c>
      <c r="L163" s="8"/>
    </row>
    <row r="164" ht="15.75" customHeight="1">
      <c r="A164" s="4" t="s">
        <v>206</v>
      </c>
      <c r="B164" s="5" t="s">
        <v>19</v>
      </c>
      <c r="C164" s="6"/>
      <c r="D164" s="6"/>
      <c r="E164" s="6"/>
      <c r="F164" s="6"/>
      <c r="G164" s="6"/>
      <c r="H164" s="6"/>
      <c r="I164" s="6"/>
      <c r="J164" s="6" t="str">
        <f t="shared" si="1"/>
        <v>FAIL</v>
      </c>
      <c r="K164" s="7" t="str">
        <f t="shared" si="2"/>
        <v>FAIL</v>
      </c>
      <c r="L164" s="8"/>
    </row>
    <row r="165" ht="15.75" customHeight="1">
      <c r="A165" s="4" t="s">
        <v>207</v>
      </c>
      <c r="B165" s="5" t="s">
        <v>19</v>
      </c>
      <c r="C165" s="6"/>
      <c r="D165" s="6"/>
      <c r="E165" s="6"/>
      <c r="F165" s="6"/>
      <c r="G165" s="6"/>
      <c r="H165" s="6"/>
      <c r="I165" s="6"/>
      <c r="J165" s="6" t="str">
        <f t="shared" si="1"/>
        <v>FAIL</v>
      </c>
      <c r="K165" s="7" t="str">
        <f t="shared" si="2"/>
        <v>FAIL</v>
      </c>
      <c r="L165" s="8"/>
    </row>
    <row r="166" ht="15.75" customHeight="1">
      <c r="A166" s="4" t="s">
        <v>208</v>
      </c>
      <c r="B166" s="5" t="s">
        <v>13</v>
      </c>
      <c r="C166" s="5" t="s">
        <v>15</v>
      </c>
      <c r="D166" s="5" t="s">
        <v>59</v>
      </c>
      <c r="E166" s="5" t="s">
        <v>14</v>
      </c>
      <c r="F166" s="5">
        <v>3.0</v>
      </c>
      <c r="G166" s="5" t="s">
        <v>13</v>
      </c>
      <c r="H166" s="5" t="s">
        <v>21</v>
      </c>
      <c r="I166" s="5" t="s">
        <v>17</v>
      </c>
      <c r="J166" s="6" t="str">
        <f t="shared" si="1"/>
        <v>FAIL</v>
      </c>
      <c r="K166" s="7" t="str">
        <f t="shared" si="2"/>
        <v>FAIL</v>
      </c>
      <c r="L166" s="8"/>
    </row>
    <row r="167" ht="15.75" customHeight="1">
      <c r="A167" s="4" t="s">
        <v>209</v>
      </c>
      <c r="B167" s="5" t="s">
        <v>19</v>
      </c>
      <c r="C167" s="6"/>
      <c r="D167" s="6"/>
      <c r="E167" s="6"/>
      <c r="F167" s="6"/>
      <c r="G167" s="6"/>
      <c r="H167" s="6"/>
      <c r="I167" s="6"/>
      <c r="J167" s="6" t="str">
        <f t="shared" si="1"/>
        <v>FAIL</v>
      </c>
      <c r="K167" s="7" t="str">
        <f t="shared" si="2"/>
        <v>FAIL</v>
      </c>
      <c r="L167" s="8"/>
    </row>
    <row r="168" ht="15.75" customHeight="1">
      <c r="A168" s="4" t="s">
        <v>210</v>
      </c>
      <c r="B168" s="5" t="s">
        <v>19</v>
      </c>
      <c r="C168" s="6"/>
      <c r="D168" s="6"/>
      <c r="E168" s="6"/>
      <c r="F168" s="6"/>
      <c r="G168" s="6"/>
      <c r="H168" s="6"/>
      <c r="I168" s="6"/>
      <c r="J168" s="6" t="str">
        <f t="shared" si="1"/>
        <v>FAIL</v>
      </c>
      <c r="K168" s="7" t="str">
        <f t="shared" si="2"/>
        <v>FAIL</v>
      </c>
      <c r="L168" s="8"/>
    </row>
    <row r="169" ht="15.75" customHeight="1">
      <c r="A169" s="4" t="s">
        <v>211</v>
      </c>
      <c r="B169" s="5" t="s">
        <v>19</v>
      </c>
      <c r="C169" s="6"/>
      <c r="D169" s="6"/>
      <c r="E169" s="6"/>
      <c r="F169" s="6"/>
      <c r="G169" s="6"/>
      <c r="H169" s="6"/>
      <c r="I169" s="6"/>
      <c r="J169" s="6" t="str">
        <f t="shared" si="1"/>
        <v>FAIL</v>
      </c>
      <c r="K169" s="7" t="str">
        <f t="shared" si="2"/>
        <v>FAIL</v>
      </c>
      <c r="L169" s="8"/>
    </row>
    <row r="170" ht="15.75" customHeight="1">
      <c r="A170" s="4" t="s">
        <v>212</v>
      </c>
      <c r="B170" s="5" t="s">
        <v>13</v>
      </c>
      <c r="C170" s="5" t="s">
        <v>14</v>
      </c>
      <c r="D170" s="5" t="s">
        <v>59</v>
      </c>
      <c r="E170" s="5" t="s">
        <v>15</v>
      </c>
      <c r="F170" s="5">
        <v>1.0</v>
      </c>
      <c r="G170" s="5" t="s">
        <v>13</v>
      </c>
      <c r="H170" s="5" t="s">
        <v>21</v>
      </c>
      <c r="I170" s="5" t="s">
        <v>17</v>
      </c>
      <c r="J170" s="6" t="str">
        <f t="shared" si="1"/>
        <v>PASS</v>
      </c>
      <c r="K170" s="7" t="str">
        <f t="shared" si="2"/>
        <v>FAIL</v>
      </c>
      <c r="L170" s="9" t="s">
        <v>213</v>
      </c>
    </row>
    <row r="171" ht="15.75" customHeight="1">
      <c r="A171" s="4" t="s">
        <v>214</v>
      </c>
      <c r="B171" s="5" t="s">
        <v>13</v>
      </c>
      <c r="C171" s="5" t="s">
        <v>14</v>
      </c>
      <c r="D171" s="5" t="s">
        <v>14</v>
      </c>
      <c r="E171" s="5" t="s">
        <v>16</v>
      </c>
      <c r="F171" s="5">
        <v>1.0</v>
      </c>
      <c r="G171" s="5" t="s">
        <v>13</v>
      </c>
      <c r="H171" s="5" t="s">
        <v>21</v>
      </c>
      <c r="I171" s="5" t="s">
        <v>22</v>
      </c>
      <c r="J171" s="6" t="str">
        <f t="shared" si="1"/>
        <v>PASS</v>
      </c>
      <c r="K171" s="7" t="str">
        <f t="shared" si="2"/>
        <v>FAIL</v>
      </c>
      <c r="L171" s="9" t="s">
        <v>215</v>
      </c>
    </row>
    <row r="172" ht="15.75" customHeight="1">
      <c r="A172" s="4" t="s">
        <v>216</v>
      </c>
      <c r="B172" s="5" t="s">
        <v>19</v>
      </c>
      <c r="C172" s="6"/>
      <c r="D172" s="6"/>
      <c r="E172" s="6"/>
      <c r="F172" s="6"/>
      <c r="G172" s="6"/>
      <c r="H172" s="6"/>
      <c r="I172" s="6"/>
      <c r="J172" s="6" t="str">
        <f t="shared" si="1"/>
        <v>FAIL</v>
      </c>
      <c r="K172" s="7" t="str">
        <f t="shared" si="2"/>
        <v>FAIL</v>
      </c>
      <c r="L172" s="8"/>
    </row>
    <row r="173" ht="15.75" customHeight="1">
      <c r="A173" s="4" t="s">
        <v>217</v>
      </c>
      <c r="B173" s="5" t="s">
        <v>19</v>
      </c>
      <c r="C173" s="6"/>
      <c r="D173" s="6"/>
      <c r="E173" s="6"/>
      <c r="F173" s="6"/>
      <c r="G173" s="6"/>
      <c r="H173" s="6"/>
      <c r="I173" s="6"/>
      <c r="J173" s="6" t="str">
        <f t="shared" si="1"/>
        <v>FAIL</v>
      </c>
      <c r="K173" s="7" t="str">
        <f t="shared" si="2"/>
        <v>FAIL</v>
      </c>
      <c r="L173" s="9" t="s">
        <v>218</v>
      </c>
    </row>
    <row r="174" ht="15.75" customHeight="1">
      <c r="A174" s="4" t="s">
        <v>219</v>
      </c>
      <c r="B174" s="5" t="s">
        <v>13</v>
      </c>
      <c r="C174" s="5" t="s">
        <v>14</v>
      </c>
      <c r="D174" s="5" t="s">
        <v>59</v>
      </c>
      <c r="E174" s="5" t="s">
        <v>16</v>
      </c>
      <c r="F174" s="5">
        <v>2.0</v>
      </c>
      <c r="G174" s="5" t="s">
        <v>13</v>
      </c>
      <c r="H174" s="5" t="s">
        <v>21</v>
      </c>
      <c r="I174" s="5" t="s">
        <v>17</v>
      </c>
      <c r="J174" s="6" t="str">
        <f t="shared" si="1"/>
        <v>PASS</v>
      </c>
      <c r="K174" s="7" t="str">
        <f t="shared" si="2"/>
        <v>FAIL</v>
      </c>
      <c r="L174" s="9" t="s">
        <v>220</v>
      </c>
    </row>
    <row r="175" ht="15.75" customHeight="1">
      <c r="A175" s="4" t="s">
        <v>221</v>
      </c>
      <c r="B175" s="5" t="s">
        <v>19</v>
      </c>
      <c r="C175" s="6"/>
      <c r="D175" s="6"/>
      <c r="E175" s="6"/>
      <c r="F175" s="6"/>
      <c r="G175" s="6"/>
      <c r="H175" s="6"/>
      <c r="I175" s="6"/>
      <c r="J175" s="6" t="str">
        <f t="shared" si="1"/>
        <v>FAIL</v>
      </c>
      <c r="K175" s="7" t="str">
        <f t="shared" si="2"/>
        <v>FAIL</v>
      </c>
      <c r="L175" s="8"/>
    </row>
    <row r="176" ht="15.75" customHeight="1">
      <c r="A176" s="4" t="s">
        <v>222</v>
      </c>
      <c r="B176" s="5" t="s">
        <v>13</v>
      </c>
      <c r="C176" s="5" t="s">
        <v>14</v>
      </c>
      <c r="D176" s="5" t="s">
        <v>14</v>
      </c>
      <c r="E176" s="5" t="s">
        <v>16</v>
      </c>
      <c r="F176" s="5">
        <v>1.0</v>
      </c>
      <c r="G176" s="5" t="s">
        <v>13</v>
      </c>
      <c r="H176" s="5" t="s">
        <v>21</v>
      </c>
      <c r="I176" s="5" t="s">
        <v>22</v>
      </c>
      <c r="J176" s="6" t="str">
        <f t="shared" si="1"/>
        <v>PASS</v>
      </c>
      <c r="K176" s="7" t="str">
        <f t="shared" si="2"/>
        <v>FAIL</v>
      </c>
      <c r="L176" s="9" t="s">
        <v>223</v>
      </c>
    </row>
    <row r="177" ht="15.75" customHeight="1">
      <c r="A177" s="4" t="s">
        <v>224</v>
      </c>
      <c r="B177" s="5" t="s">
        <v>13</v>
      </c>
      <c r="C177" s="5" t="s">
        <v>14</v>
      </c>
      <c r="D177" s="5" t="s">
        <v>59</v>
      </c>
      <c r="E177" s="5" t="s">
        <v>16</v>
      </c>
      <c r="F177" s="5">
        <v>2.0</v>
      </c>
      <c r="G177" s="5" t="s">
        <v>13</v>
      </c>
      <c r="H177" s="5" t="s">
        <v>21</v>
      </c>
      <c r="I177" s="5" t="s">
        <v>22</v>
      </c>
      <c r="J177" s="6" t="str">
        <f t="shared" si="1"/>
        <v>PASS</v>
      </c>
      <c r="K177" s="7" t="str">
        <f t="shared" si="2"/>
        <v>FAIL</v>
      </c>
      <c r="L177" s="9" t="s">
        <v>225</v>
      </c>
    </row>
    <row r="178" ht="15.75" customHeight="1">
      <c r="A178" s="4" t="s">
        <v>226</v>
      </c>
      <c r="B178" s="5" t="s">
        <v>13</v>
      </c>
      <c r="C178" s="6"/>
      <c r="D178" s="6"/>
      <c r="E178" s="6"/>
      <c r="F178" s="6"/>
      <c r="G178" s="5" t="s">
        <v>19</v>
      </c>
      <c r="H178" s="5" t="s">
        <v>39</v>
      </c>
      <c r="I178" s="6"/>
      <c r="J178" s="6" t="str">
        <f t="shared" si="1"/>
        <v>FAIL</v>
      </c>
      <c r="K178" s="7" t="str">
        <f t="shared" si="2"/>
        <v>FAIL</v>
      </c>
      <c r="L178" s="8"/>
    </row>
    <row r="179" ht="15.75" customHeight="1">
      <c r="A179" s="4" t="s">
        <v>227</v>
      </c>
      <c r="B179" s="5" t="s">
        <v>19</v>
      </c>
      <c r="C179" s="6"/>
      <c r="D179" s="6"/>
      <c r="E179" s="6"/>
      <c r="F179" s="6"/>
      <c r="G179" s="6"/>
      <c r="H179" s="6"/>
      <c r="I179" s="6"/>
      <c r="J179" s="6" t="str">
        <f t="shared" si="1"/>
        <v>FAIL</v>
      </c>
      <c r="K179" s="7" t="str">
        <f t="shared" si="2"/>
        <v>FAIL</v>
      </c>
      <c r="L179" s="8"/>
    </row>
    <row r="180" ht="15.75" customHeight="1">
      <c r="A180" s="4" t="s">
        <v>228</v>
      </c>
      <c r="B180" s="5" t="s">
        <v>19</v>
      </c>
      <c r="C180" s="6"/>
      <c r="D180" s="6"/>
      <c r="E180" s="6"/>
      <c r="F180" s="6"/>
      <c r="G180" s="6"/>
      <c r="H180" s="6"/>
      <c r="I180" s="6"/>
      <c r="J180" s="6" t="str">
        <f t="shared" si="1"/>
        <v>FAIL</v>
      </c>
      <c r="K180" s="7" t="str">
        <f t="shared" si="2"/>
        <v>FAIL</v>
      </c>
      <c r="L180" s="8"/>
    </row>
    <row r="181" ht="15.75" customHeight="1">
      <c r="A181" s="4" t="s">
        <v>229</v>
      </c>
      <c r="B181" s="5" t="s">
        <v>19</v>
      </c>
      <c r="C181" s="6"/>
      <c r="D181" s="6"/>
      <c r="E181" s="6"/>
      <c r="F181" s="6"/>
      <c r="G181" s="6"/>
      <c r="H181" s="6"/>
      <c r="I181" s="6"/>
      <c r="J181" s="6" t="str">
        <f t="shared" si="1"/>
        <v>FAIL</v>
      </c>
      <c r="K181" s="7" t="str">
        <f t="shared" si="2"/>
        <v>FAIL</v>
      </c>
      <c r="L181" s="8"/>
    </row>
    <row r="182" ht="15.75" customHeight="1">
      <c r="A182" s="4" t="s">
        <v>230</v>
      </c>
      <c r="B182" s="5" t="s">
        <v>13</v>
      </c>
      <c r="C182" s="5" t="s">
        <v>16</v>
      </c>
      <c r="D182" s="5" t="s">
        <v>16</v>
      </c>
      <c r="E182" s="5" t="s">
        <v>16</v>
      </c>
      <c r="F182" s="5">
        <v>1.0</v>
      </c>
      <c r="G182" s="5" t="s">
        <v>19</v>
      </c>
      <c r="H182" s="5" t="s">
        <v>21</v>
      </c>
      <c r="I182" s="5" t="s">
        <v>17</v>
      </c>
      <c r="J182" s="6" t="str">
        <f t="shared" si="1"/>
        <v>FAIL</v>
      </c>
      <c r="K182" s="7" t="str">
        <f t="shared" si="2"/>
        <v>FAIL</v>
      </c>
      <c r="L182" s="9" t="s">
        <v>231</v>
      </c>
    </row>
    <row r="183" ht="15.75" customHeight="1">
      <c r="A183" s="4" t="s">
        <v>232</v>
      </c>
      <c r="B183" s="5" t="s">
        <v>19</v>
      </c>
      <c r="C183" s="6"/>
      <c r="D183" s="6"/>
      <c r="E183" s="6"/>
      <c r="F183" s="6"/>
      <c r="G183" s="6"/>
      <c r="H183" s="6"/>
      <c r="I183" s="6"/>
      <c r="J183" s="6" t="str">
        <f t="shared" si="1"/>
        <v>FAIL</v>
      </c>
      <c r="K183" s="7" t="str">
        <f t="shared" si="2"/>
        <v>FAIL</v>
      </c>
      <c r="L183" s="8"/>
    </row>
    <row r="184" ht="15.75" customHeight="1">
      <c r="A184" s="4" t="s">
        <v>233</v>
      </c>
      <c r="B184" s="5" t="s">
        <v>19</v>
      </c>
      <c r="C184" s="6"/>
      <c r="D184" s="6"/>
      <c r="E184" s="6"/>
      <c r="F184" s="6"/>
      <c r="G184" s="6"/>
      <c r="H184" s="6"/>
      <c r="I184" s="6"/>
      <c r="J184" s="6" t="str">
        <f t="shared" si="1"/>
        <v>FAIL</v>
      </c>
      <c r="K184" s="7" t="str">
        <f t="shared" si="2"/>
        <v>FAIL</v>
      </c>
      <c r="L184" s="8"/>
    </row>
    <row r="185" ht="15.75" customHeight="1">
      <c r="A185" s="4" t="s">
        <v>234</v>
      </c>
      <c r="B185" s="5" t="s">
        <v>13</v>
      </c>
      <c r="C185" s="5" t="s">
        <v>16</v>
      </c>
      <c r="D185" s="5" t="s">
        <v>59</v>
      </c>
      <c r="E185" s="5" t="s">
        <v>16</v>
      </c>
      <c r="F185" s="5">
        <v>1.0</v>
      </c>
      <c r="G185" s="5" t="s">
        <v>13</v>
      </c>
      <c r="H185" s="5" t="s">
        <v>21</v>
      </c>
      <c r="I185" s="5" t="s">
        <v>17</v>
      </c>
      <c r="J185" s="6" t="str">
        <f t="shared" si="1"/>
        <v>PASS</v>
      </c>
      <c r="K185" s="7" t="str">
        <f t="shared" si="2"/>
        <v>FAIL</v>
      </c>
      <c r="L185" s="9" t="s">
        <v>235</v>
      </c>
    </row>
    <row r="186" ht="15.75" customHeight="1">
      <c r="A186" s="4" t="s">
        <v>236</v>
      </c>
      <c r="B186" s="5" t="s">
        <v>19</v>
      </c>
      <c r="C186" s="6"/>
      <c r="D186" s="6"/>
      <c r="E186" s="6"/>
      <c r="F186" s="6"/>
      <c r="G186" s="6"/>
      <c r="H186" s="6"/>
      <c r="I186" s="6"/>
      <c r="J186" s="6" t="str">
        <f t="shared" si="1"/>
        <v>FAIL</v>
      </c>
      <c r="K186" s="7" t="str">
        <f t="shared" si="2"/>
        <v>FAIL</v>
      </c>
      <c r="L186" s="8"/>
    </row>
    <row r="187" ht="15.75" customHeight="1">
      <c r="A187" s="4" t="s">
        <v>237</v>
      </c>
      <c r="B187" s="5" t="s">
        <v>13</v>
      </c>
      <c r="C187" s="5" t="s">
        <v>14</v>
      </c>
      <c r="D187" s="5" t="s">
        <v>59</v>
      </c>
      <c r="E187" s="5" t="s">
        <v>16</v>
      </c>
      <c r="F187" s="5">
        <v>3.0</v>
      </c>
      <c r="G187" s="5" t="s">
        <v>13</v>
      </c>
      <c r="H187" s="5" t="s">
        <v>21</v>
      </c>
      <c r="I187" s="5" t="s">
        <v>17</v>
      </c>
      <c r="J187" s="6" t="str">
        <f t="shared" si="1"/>
        <v>FAIL</v>
      </c>
      <c r="K187" s="7" t="str">
        <f t="shared" si="2"/>
        <v>FAIL</v>
      </c>
      <c r="L187" s="8"/>
    </row>
    <row r="188" ht="15.75" customHeight="1">
      <c r="A188" s="4" t="s">
        <v>238</v>
      </c>
      <c r="B188" s="5" t="s">
        <v>19</v>
      </c>
      <c r="C188" s="6"/>
      <c r="D188" s="6"/>
      <c r="E188" s="6"/>
      <c r="F188" s="6"/>
      <c r="G188" s="6"/>
      <c r="H188" s="6"/>
      <c r="I188" s="6"/>
      <c r="J188" s="6" t="str">
        <f t="shared" si="1"/>
        <v>FAIL</v>
      </c>
      <c r="K188" s="7" t="str">
        <f t="shared" si="2"/>
        <v>FAIL</v>
      </c>
      <c r="L188" s="8"/>
    </row>
    <row r="189" ht="15.75" customHeight="1">
      <c r="A189" s="4" t="s">
        <v>239</v>
      </c>
      <c r="B189" s="5" t="s">
        <v>19</v>
      </c>
      <c r="C189" s="6"/>
      <c r="D189" s="6"/>
      <c r="E189" s="6"/>
      <c r="F189" s="6"/>
      <c r="G189" s="6"/>
      <c r="H189" s="6"/>
      <c r="I189" s="6"/>
      <c r="J189" s="6" t="str">
        <f t="shared" si="1"/>
        <v>FAIL</v>
      </c>
      <c r="K189" s="7" t="str">
        <f t="shared" si="2"/>
        <v>FAIL</v>
      </c>
      <c r="L189" s="9" t="s">
        <v>240</v>
      </c>
    </row>
    <row r="190" ht="15.75" customHeight="1">
      <c r="A190" s="4" t="s">
        <v>241</v>
      </c>
      <c r="B190" s="5" t="s">
        <v>13</v>
      </c>
      <c r="C190" s="5" t="s">
        <v>15</v>
      </c>
      <c r="D190" s="5" t="s">
        <v>15</v>
      </c>
      <c r="E190" s="6"/>
      <c r="F190" s="6"/>
      <c r="G190" s="6"/>
      <c r="H190" s="6"/>
      <c r="I190" s="6"/>
      <c r="J190" s="6" t="str">
        <f t="shared" si="1"/>
        <v>FAIL</v>
      </c>
      <c r="K190" s="7" t="str">
        <f t="shared" si="2"/>
        <v>FAIL</v>
      </c>
      <c r="L190" s="8"/>
    </row>
    <row r="191" ht="15.75" customHeight="1">
      <c r="A191" s="4" t="s">
        <v>242</v>
      </c>
      <c r="B191" s="5" t="s">
        <v>19</v>
      </c>
      <c r="C191" s="6"/>
      <c r="D191" s="6"/>
      <c r="E191" s="6"/>
      <c r="F191" s="6"/>
      <c r="G191" s="6"/>
      <c r="H191" s="6"/>
      <c r="I191" s="6"/>
      <c r="J191" s="6" t="str">
        <f t="shared" si="1"/>
        <v>FAIL</v>
      </c>
      <c r="K191" s="7" t="str">
        <f t="shared" si="2"/>
        <v>FAIL</v>
      </c>
      <c r="L191" s="8"/>
    </row>
    <row r="192" ht="15.75" customHeight="1">
      <c r="A192" s="4" t="s">
        <v>243</v>
      </c>
      <c r="B192" s="5" t="s">
        <v>19</v>
      </c>
      <c r="C192" s="6"/>
      <c r="D192" s="6"/>
      <c r="E192" s="6"/>
      <c r="F192" s="6"/>
      <c r="G192" s="6"/>
      <c r="H192" s="6"/>
      <c r="I192" s="6"/>
      <c r="J192" s="6" t="str">
        <f t="shared" si="1"/>
        <v>FAIL</v>
      </c>
      <c r="K192" s="7" t="str">
        <f t="shared" si="2"/>
        <v>FAIL</v>
      </c>
      <c r="L192" s="8"/>
    </row>
    <row r="193" ht="15.75" customHeight="1">
      <c r="A193" s="4" t="s">
        <v>244</v>
      </c>
      <c r="B193" s="5" t="s">
        <v>13</v>
      </c>
      <c r="C193" s="5" t="s">
        <v>14</v>
      </c>
      <c r="D193" s="5" t="s">
        <v>14</v>
      </c>
      <c r="E193" s="5" t="s">
        <v>16</v>
      </c>
      <c r="F193" s="5">
        <v>1.0</v>
      </c>
      <c r="G193" s="5" t="s">
        <v>13</v>
      </c>
      <c r="H193" s="5" t="s">
        <v>21</v>
      </c>
      <c r="I193" s="5" t="s">
        <v>17</v>
      </c>
      <c r="J193" s="6" t="str">
        <f t="shared" si="1"/>
        <v>PASS</v>
      </c>
      <c r="K193" s="7" t="str">
        <f t="shared" si="2"/>
        <v>FAIL</v>
      </c>
      <c r="L193" s="9" t="s">
        <v>245</v>
      </c>
    </row>
    <row r="194" ht="15.75" customHeight="1">
      <c r="A194" s="4" t="s">
        <v>246</v>
      </c>
      <c r="B194" s="5" t="s">
        <v>19</v>
      </c>
      <c r="C194" s="6"/>
      <c r="D194" s="6"/>
      <c r="E194" s="6"/>
      <c r="F194" s="6"/>
      <c r="G194" s="6"/>
      <c r="H194" s="6"/>
      <c r="I194" s="6"/>
      <c r="J194" s="6" t="str">
        <f t="shared" si="1"/>
        <v>FAIL</v>
      </c>
      <c r="K194" s="7" t="str">
        <f t="shared" si="2"/>
        <v>FAIL</v>
      </c>
      <c r="L194" s="8"/>
    </row>
    <row r="195" ht="15.75" customHeight="1">
      <c r="A195" s="4" t="s">
        <v>247</v>
      </c>
      <c r="B195" s="5" t="s">
        <v>19</v>
      </c>
      <c r="C195" s="6"/>
      <c r="D195" s="6"/>
      <c r="E195" s="6"/>
      <c r="F195" s="6"/>
      <c r="G195" s="6"/>
      <c r="H195" s="6"/>
      <c r="I195" s="6"/>
      <c r="J195" s="6" t="str">
        <f t="shared" si="1"/>
        <v>FAIL</v>
      </c>
      <c r="K195" s="7" t="str">
        <f t="shared" si="2"/>
        <v>FAIL</v>
      </c>
      <c r="L195" s="8"/>
    </row>
    <row r="196" ht="15.75" customHeight="1">
      <c r="A196" s="4" t="s">
        <v>248</v>
      </c>
      <c r="B196" s="5" t="s">
        <v>19</v>
      </c>
      <c r="C196" s="6"/>
      <c r="D196" s="6"/>
      <c r="E196" s="6"/>
      <c r="F196" s="6"/>
      <c r="G196" s="6"/>
      <c r="H196" s="6"/>
      <c r="I196" s="6"/>
      <c r="J196" s="6" t="str">
        <f t="shared" si="1"/>
        <v>FAIL</v>
      </c>
      <c r="K196" s="7" t="str">
        <f t="shared" si="2"/>
        <v>FAIL</v>
      </c>
      <c r="L196" s="8"/>
    </row>
    <row r="197" ht="15.75" customHeight="1">
      <c r="A197" s="4" t="s">
        <v>249</v>
      </c>
      <c r="B197" s="5" t="s">
        <v>19</v>
      </c>
      <c r="C197" s="6"/>
      <c r="D197" s="6"/>
      <c r="E197" s="6"/>
      <c r="F197" s="6"/>
      <c r="G197" s="6"/>
      <c r="H197" s="6"/>
      <c r="I197" s="6"/>
      <c r="J197" s="6" t="str">
        <f t="shared" si="1"/>
        <v>FAIL</v>
      </c>
      <c r="K197" s="7" t="str">
        <f t="shared" si="2"/>
        <v>FAIL</v>
      </c>
      <c r="L197" s="8"/>
    </row>
    <row r="198" ht="15.75" customHeight="1">
      <c r="A198" s="4" t="s">
        <v>250</v>
      </c>
      <c r="B198" s="5" t="s">
        <v>19</v>
      </c>
      <c r="C198" s="6"/>
      <c r="D198" s="6"/>
      <c r="E198" s="6"/>
      <c r="F198" s="6"/>
      <c r="G198" s="6"/>
      <c r="H198" s="6"/>
      <c r="I198" s="6"/>
      <c r="J198" s="6" t="str">
        <f t="shared" si="1"/>
        <v>FAIL</v>
      </c>
      <c r="K198" s="7" t="str">
        <f t="shared" si="2"/>
        <v>FAIL</v>
      </c>
      <c r="L198" s="8"/>
    </row>
    <row r="199" ht="15.75" customHeight="1">
      <c r="A199" s="4" t="s">
        <v>251</v>
      </c>
      <c r="B199" s="5" t="s">
        <v>19</v>
      </c>
      <c r="C199" s="6"/>
      <c r="D199" s="6"/>
      <c r="E199" s="6"/>
      <c r="F199" s="6"/>
      <c r="G199" s="6"/>
      <c r="H199" s="6"/>
      <c r="I199" s="6"/>
      <c r="J199" s="6" t="str">
        <f t="shared" si="1"/>
        <v>FAIL</v>
      </c>
      <c r="K199" s="7" t="str">
        <f t="shared" si="2"/>
        <v>FAIL</v>
      </c>
      <c r="L199" s="8"/>
    </row>
    <row r="200" ht="15.75" customHeight="1">
      <c r="A200" s="4" t="s">
        <v>252</v>
      </c>
      <c r="B200" s="5" t="s">
        <v>19</v>
      </c>
      <c r="C200" s="6"/>
      <c r="D200" s="6"/>
      <c r="E200" s="6"/>
      <c r="F200" s="6"/>
      <c r="G200" s="6"/>
      <c r="H200" s="6"/>
      <c r="I200" s="6"/>
      <c r="J200" s="6" t="str">
        <f t="shared" si="1"/>
        <v>FAIL</v>
      </c>
      <c r="K200" s="7" t="str">
        <f t="shared" si="2"/>
        <v>FAIL</v>
      </c>
      <c r="L200" s="8"/>
    </row>
    <row r="201" ht="15.75" customHeight="1">
      <c r="A201" s="4" t="s">
        <v>253</v>
      </c>
      <c r="B201" s="5" t="s">
        <v>19</v>
      </c>
      <c r="C201" s="6"/>
      <c r="D201" s="6"/>
      <c r="E201" s="6"/>
      <c r="F201" s="6"/>
      <c r="G201" s="6"/>
      <c r="H201" s="6"/>
      <c r="I201" s="6"/>
      <c r="J201" s="6" t="str">
        <f t="shared" si="1"/>
        <v>FAIL</v>
      </c>
      <c r="K201" s="7" t="str">
        <f t="shared" si="2"/>
        <v>FAIL</v>
      </c>
      <c r="L201" s="8"/>
    </row>
    <row r="202" ht="15.75" customHeight="1">
      <c r="A202" s="4" t="s">
        <v>254</v>
      </c>
      <c r="B202" s="5" t="s">
        <v>19</v>
      </c>
      <c r="C202" s="6"/>
      <c r="D202" s="6"/>
      <c r="E202" s="6"/>
      <c r="F202" s="6"/>
      <c r="G202" s="6"/>
      <c r="H202" s="6"/>
      <c r="I202" s="6"/>
      <c r="J202" s="6" t="str">
        <f t="shared" si="1"/>
        <v>FAIL</v>
      </c>
      <c r="K202" s="7" t="str">
        <f t="shared" si="2"/>
        <v>FAIL</v>
      </c>
      <c r="L202" s="8"/>
    </row>
    <row r="203" ht="15.75" customHeight="1">
      <c r="A203" s="4" t="s">
        <v>255</v>
      </c>
      <c r="B203" s="5" t="s">
        <v>19</v>
      </c>
      <c r="C203" s="6"/>
      <c r="D203" s="6"/>
      <c r="E203" s="6"/>
      <c r="F203" s="6"/>
      <c r="G203" s="6"/>
      <c r="H203" s="6"/>
      <c r="I203" s="6"/>
      <c r="J203" s="6" t="str">
        <f t="shared" si="1"/>
        <v>FAIL</v>
      </c>
      <c r="K203" s="7" t="str">
        <f t="shared" si="2"/>
        <v>FAIL</v>
      </c>
      <c r="L203" s="8"/>
    </row>
    <row r="204" ht="15.75" customHeight="1">
      <c r="A204" s="4" t="s">
        <v>256</v>
      </c>
      <c r="B204" s="5" t="s">
        <v>19</v>
      </c>
      <c r="C204" s="6"/>
      <c r="D204" s="6"/>
      <c r="E204" s="6"/>
      <c r="F204" s="6"/>
      <c r="G204" s="6"/>
      <c r="H204" s="6"/>
      <c r="I204" s="6"/>
      <c r="J204" s="6" t="str">
        <f t="shared" si="1"/>
        <v>FAIL</v>
      </c>
      <c r="K204" s="7" t="str">
        <f t="shared" si="2"/>
        <v>FAIL</v>
      </c>
      <c r="L204" s="8"/>
    </row>
    <row r="205" ht="15.75" customHeight="1">
      <c r="A205" s="4" t="s">
        <v>257</v>
      </c>
      <c r="B205" s="5" t="s">
        <v>19</v>
      </c>
      <c r="C205" s="6"/>
      <c r="D205" s="6"/>
      <c r="E205" s="6"/>
      <c r="F205" s="6"/>
      <c r="G205" s="6"/>
      <c r="H205" s="6"/>
      <c r="I205" s="6"/>
      <c r="J205" s="6" t="str">
        <f t="shared" si="1"/>
        <v>FAIL</v>
      </c>
      <c r="K205" s="7" t="str">
        <f t="shared" si="2"/>
        <v>FAIL</v>
      </c>
      <c r="L205" s="8"/>
    </row>
    <row r="206" ht="15.75" customHeight="1">
      <c r="A206" s="4" t="s">
        <v>258</v>
      </c>
      <c r="B206" s="5" t="s">
        <v>19</v>
      </c>
      <c r="C206" s="6"/>
      <c r="D206" s="6"/>
      <c r="E206" s="6"/>
      <c r="F206" s="6"/>
      <c r="G206" s="6"/>
      <c r="H206" s="6"/>
      <c r="I206" s="6"/>
      <c r="J206" s="6" t="str">
        <f t="shared" si="1"/>
        <v>FAIL</v>
      </c>
      <c r="K206" s="7" t="str">
        <f t="shared" si="2"/>
        <v>FAIL</v>
      </c>
      <c r="L206" s="8"/>
    </row>
    <row r="207" ht="15.75" customHeight="1">
      <c r="A207" s="4" t="s">
        <v>259</v>
      </c>
      <c r="B207" s="5" t="s">
        <v>19</v>
      </c>
      <c r="C207" s="6"/>
      <c r="D207" s="6"/>
      <c r="E207" s="6"/>
      <c r="F207" s="6"/>
      <c r="G207" s="6"/>
      <c r="H207" s="6"/>
      <c r="I207" s="6"/>
      <c r="J207" s="6" t="str">
        <f t="shared" si="1"/>
        <v>FAIL</v>
      </c>
      <c r="K207" s="7" t="str">
        <f t="shared" si="2"/>
        <v>FAIL</v>
      </c>
      <c r="L207" s="8"/>
    </row>
    <row r="208" ht="15.75" customHeight="1">
      <c r="A208" s="4" t="s">
        <v>260</v>
      </c>
      <c r="B208" s="5" t="s">
        <v>19</v>
      </c>
      <c r="C208" s="6"/>
      <c r="D208" s="6"/>
      <c r="E208" s="6"/>
      <c r="F208" s="6"/>
      <c r="G208" s="6"/>
      <c r="H208" s="6"/>
      <c r="I208" s="6"/>
      <c r="J208" s="6" t="str">
        <f t="shared" si="1"/>
        <v>FAIL</v>
      </c>
      <c r="K208" s="7" t="str">
        <f t="shared" si="2"/>
        <v>FAIL</v>
      </c>
      <c r="L208" s="8"/>
    </row>
    <row r="209" ht="15.75" customHeight="1">
      <c r="A209" s="4" t="s">
        <v>261</v>
      </c>
      <c r="B209" s="5" t="s">
        <v>19</v>
      </c>
      <c r="C209" s="6"/>
      <c r="D209" s="6"/>
      <c r="E209" s="6"/>
      <c r="F209" s="6"/>
      <c r="G209" s="6"/>
      <c r="H209" s="6"/>
      <c r="I209" s="6"/>
      <c r="J209" s="6" t="str">
        <f t="shared" si="1"/>
        <v>FAIL</v>
      </c>
      <c r="K209" s="7" t="str">
        <f t="shared" si="2"/>
        <v>FAIL</v>
      </c>
      <c r="L209" s="8"/>
    </row>
    <row r="210" ht="15.75" customHeight="1">
      <c r="A210" s="4" t="s">
        <v>262</v>
      </c>
      <c r="B210" s="5" t="s">
        <v>19</v>
      </c>
      <c r="C210" s="6"/>
      <c r="D210" s="6"/>
      <c r="E210" s="6"/>
      <c r="F210" s="6"/>
      <c r="G210" s="6"/>
      <c r="H210" s="6"/>
      <c r="I210" s="6"/>
      <c r="J210" s="6" t="str">
        <f t="shared" si="1"/>
        <v>FAIL</v>
      </c>
      <c r="K210" s="7" t="str">
        <f t="shared" si="2"/>
        <v>FAIL</v>
      </c>
      <c r="L210" s="8"/>
    </row>
    <row r="211" ht="15.75" customHeight="1">
      <c r="A211" s="4" t="s">
        <v>263</v>
      </c>
      <c r="B211" s="5" t="s">
        <v>13</v>
      </c>
      <c r="C211" s="5" t="s">
        <v>14</v>
      </c>
      <c r="D211" s="5" t="s">
        <v>14</v>
      </c>
      <c r="E211" s="5" t="s">
        <v>16</v>
      </c>
      <c r="F211" s="5">
        <v>1.0</v>
      </c>
      <c r="G211" s="5" t="s">
        <v>13</v>
      </c>
      <c r="H211" s="5" t="s">
        <v>21</v>
      </c>
      <c r="I211" s="5" t="s">
        <v>17</v>
      </c>
      <c r="J211" s="6" t="str">
        <f t="shared" si="1"/>
        <v>PASS</v>
      </c>
      <c r="K211" s="7" t="str">
        <f t="shared" si="2"/>
        <v>FAIL</v>
      </c>
      <c r="L211" s="9" t="s">
        <v>264</v>
      </c>
    </row>
    <row r="212" ht="15.75" customHeight="1">
      <c r="A212" s="4" t="s">
        <v>265</v>
      </c>
      <c r="B212" s="5" t="s">
        <v>19</v>
      </c>
      <c r="C212" s="6"/>
      <c r="D212" s="6"/>
      <c r="E212" s="6"/>
      <c r="F212" s="6"/>
      <c r="G212" s="6"/>
      <c r="H212" s="6"/>
      <c r="I212" s="6"/>
      <c r="J212" s="6" t="str">
        <f t="shared" si="1"/>
        <v>FAIL</v>
      </c>
      <c r="K212" s="7" t="str">
        <f t="shared" si="2"/>
        <v>FAIL</v>
      </c>
      <c r="L212" s="8"/>
    </row>
    <row r="213" ht="15.75" customHeight="1">
      <c r="A213" s="4" t="s">
        <v>266</v>
      </c>
      <c r="B213" s="5" t="s">
        <v>19</v>
      </c>
      <c r="C213" s="6"/>
      <c r="D213" s="6"/>
      <c r="E213" s="6"/>
      <c r="F213" s="6"/>
      <c r="G213" s="6"/>
      <c r="H213" s="6"/>
      <c r="I213" s="6"/>
      <c r="J213" s="6" t="str">
        <f t="shared" si="1"/>
        <v>FAIL</v>
      </c>
      <c r="K213" s="7" t="str">
        <f t="shared" si="2"/>
        <v>FAIL</v>
      </c>
      <c r="L213" s="8"/>
    </row>
    <row r="214" ht="15.75" customHeight="1">
      <c r="A214" s="4" t="s">
        <v>267</v>
      </c>
      <c r="B214" s="5" t="s">
        <v>19</v>
      </c>
      <c r="C214" s="6"/>
      <c r="D214" s="6"/>
      <c r="E214" s="6"/>
      <c r="F214" s="6"/>
      <c r="G214" s="6"/>
      <c r="H214" s="6"/>
      <c r="I214" s="6"/>
      <c r="J214" s="6" t="str">
        <f t="shared" si="1"/>
        <v>FAIL</v>
      </c>
      <c r="K214" s="7" t="str">
        <f t="shared" si="2"/>
        <v>FAIL</v>
      </c>
      <c r="L214" s="8"/>
    </row>
    <row r="215" ht="15.75" customHeight="1">
      <c r="A215" s="4" t="s">
        <v>268</v>
      </c>
      <c r="B215" s="5" t="s">
        <v>13</v>
      </c>
      <c r="C215" s="5" t="s">
        <v>16</v>
      </c>
      <c r="D215" s="5" t="s">
        <v>59</v>
      </c>
      <c r="E215" s="5" t="s">
        <v>14</v>
      </c>
      <c r="F215" s="5">
        <v>1.0</v>
      </c>
      <c r="G215" s="5" t="s">
        <v>13</v>
      </c>
      <c r="H215" s="5" t="s">
        <v>16</v>
      </c>
      <c r="I215" s="5" t="s">
        <v>17</v>
      </c>
      <c r="J215" s="6" t="str">
        <f t="shared" si="1"/>
        <v>FAIL</v>
      </c>
      <c r="K215" s="7" t="str">
        <f t="shared" si="2"/>
        <v>FAIL</v>
      </c>
      <c r="L215" s="8"/>
    </row>
    <row r="216" ht="15.75" customHeight="1">
      <c r="A216" s="4" t="s">
        <v>269</v>
      </c>
      <c r="B216" s="5" t="s">
        <v>19</v>
      </c>
      <c r="C216" s="6"/>
      <c r="D216" s="6"/>
      <c r="E216" s="6"/>
      <c r="F216" s="6"/>
      <c r="G216" s="6"/>
      <c r="H216" s="6"/>
      <c r="I216" s="6"/>
      <c r="J216" s="6" t="str">
        <f t="shared" si="1"/>
        <v>FAIL</v>
      </c>
      <c r="K216" s="7" t="str">
        <f t="shared" si="2"/>
        <v>FAIL</v>
      </c>
      <c r="L216" s="8"/>
    </row>
    <row r="217" ht="15.75" customHeight="1">
      <c r="A217" s="4" t="s">
        <v>270</v>
      </c>
      <c r="B217" s="5" t="s">
        <v>19</v>
      </c>
      <c r="C217" s="6"/>
      <c r="D217" s="6"/>
      <c r="E217" s="6"/>
      <c r="F217" s="6"/>
      <c r="G217" s="6"/>
      <c r="H217" s="6"/>
      <c r="I217" s="6"/>
      <c r="J217" s="6" t="str">
        <f t="shared" si="1"/>
        <v>FAIL</v>
      </c>
      <c r="K217" s="7" t="str">
        <f t="shared" si="2"/>
        <v>FAIL</v>
      </c>
      <c r="L217" s="8"/>
    </row>
    <row r="218" ht="15.75" customHeight="1">
      <c r="A218" s="4" t="s">
        <v>271</v>
      </c>
      <c r="B218" s="5" t="s">
        <v>19</v>
      </c>
      <c r="C218" s="6"/>
      <c r="D218" s="6"/>
      <c r="E218" s="6"/>
      <c r="F218" s="6"/>
      <c r="G218" s="6"/>
      <c r="H218" s="6"/>
      <c r="I218" s="6"/>
      <c r="J218" s="6" t="str">
        <f t="shared" si="1"/>
        <v>FAIL</v>
      </c>
      <c r="K218" s="7" t="str">
        <f t="shared" si="2"/>
        <v>FAIL</v>
      </c>
      <c r="L218" s="8"/>
    </row>
    <row r="219" ht="15.75" customHeight="1">
      <c r="A219" s="4" t="s">
        <v>272</v>
      </c>
      <c r="B219" s="5" t="s">
        <v>13</v>
      </c>
      <c r="C219" s="5" t="s">
        <v>14</v>
      </c>
      <c r="D219" s="5" t="s">
        <v>14</v>
      </c>
      <c r="E219" s="5" t="s">
        <v>16</v>
      </c>
      <c r="F219" s="5">
        <v>1.0</v>
      </c>
      <c r="G219" s="5" t="s">
        <v>13</v>
      </c>
      <c r="H219" s="5" t="s">
        <v>21</v>
      </c>
      <c r="I219" s="5" t="s">
        <v>22</v>
      </c>
      <c r="J219" s="6" t="str">
        <f t="shared" si="1"/>
        <v>PASS</v>
      </c>
      <c r="K219" s="7" t="str">
        <f t="shared" si="2"/>
        <v>FAIL</v>
      </c>
      <c r="L219" s="8"/>
    </row>
    <row r="220" ht="15.75" customHeight="1">
      <c r="A220" s="4" t="s">
        <v>273</v>
      </c>
      <c r="B220" s="5" t="s">
        <v>13</v>
      </c>
      <c r="C220" s="5" t="s">
        <v>14</v>
      </c>
      <c r="D220" s="5" t="s">
        <v>14</v>
      </c>
      <c r="E220" s="5" t="s">
        <v>16</v>
      </c>
      <c r="F220" s="5">
        <v>2.0</v>
      </c>
      <c r="G220" s="5" t="s">
        <v>13</v>
      </c>
      <c r="H220" s="5" t="s">
        <v>21</v>
      </c>
      <c r="I220" s="5" t="s">
        <v>17</v>
      </c>
      <c r="J220" s="6" t="str">
        <f t="shared" si="1"/>
        <v>PASS</v>
      </c>
      <c r="K220" s="7" t="str">
        <f t="shared" si="2"/>
        <v>FAIL</v>
      </c>
      <c r="L220" s="9" t="s">
        <v>274</v>
      </c>
    </row>
    <row r="221" ht="15.75" customHeight="1">
      <c r="A221" s="4" t="s">
        <v>275</v>
      </c>
      <c r="B221" s="5" t="s">
        <v>19</v>
      </c>
      <c r="C221" s="6"/>
      <c r="D221" s="6"/>
      <c r="E221" s="6"/>
      <c r="F221" s="6"/>
      <c r="G221" s="6"/>
      <c r="H221" s="6"/>
      <c r="I221" s="6"/>
      <c r="J221" s="6" t="str">
        <f t="shared" si="1"/>
        <v>FAIL</v>
      </c>
      <c r="K221" s="7" t="str">
        <f t="shared" si="2"/>
        <v>FAIL</v>
      </c>
      <c r="L221" s="8"/>
    </row>
    <row r="222" ht="15.75" customHeight="1">
      <c r="A222" s="4" t="s">
        <v>276</v>
      </c>
      <c r="B222" s="5" t="s">
        <v>19</v>
      </c>
      <c r="C222" s="6"/>
      <c r="D222" s="6"/>
      <c r="E222" s="6"/>
      <c r="F222" s="6"/>
      <c r="G222" s="6"/>
      <c r="H222" s="6"/>
      <c r="I222" s="6"/>
      <c r="J222" s="6" t="str">
        <f t="shared" si="1"/>
        <v>FAIL</v>
      </c>
      <c r="K222" s="7" t="str">
        <f t="shared" si="2"/>
        <v>FAIL</v>
      </c>
      <c r="L222" s="8"/>
    </row>
    <row r="223" ht="15.75" customHeight="1">
      <c r="A223" s="4" t="s">
        <v>277</v>
      </c>
      <c r="B223" s="5" t="s">
        <v>19</v>
      </c>
      <c r="C223" s="6"/>
      <c r="D223" s="6"/>
      <c r="E223" s="6"/>
      <c r="F223" s="6"/>
      <c r="G223" s="6"/>
      <c r="H223" s="6"/>
      <c r="I223" s="6"/>
      <c r="J223" s="6" t="str">
        <f t="shared" si="1"/>
        <v>FAIL</v>
      </c>
      <c r="K223" s="7" t="str">
        <f t="shared" si="2"/>
        <v>FAIL</v>
      </c>
      <c r="L223" s="8"/>
    </row>
    <row r="224" ht="15.75" customHeight="1">
      <c r="A224" s="4" t="s">
        <v>278</v>
      </c>
      <c r="B224" s="5" t="s">
        <v>19</v>
      </c>
      <c r="C224" s="6"/>
      <c r="D224" s="6"/>
      <c r="E224" s="6"/>
      <c r="F224" s="6"/>
      <c r="G224" s="6"/>
      <c r="H224" s="6"/>
      <c r="I224" s="6"/>
      <c r="J224" s="6" t="str">
        <f t="shared" si="1"/>
        <v>FAIL</v>
      </c>
      <c r="K224" s="7" t="str">
        <f t="shared" si="2"/>
        <v>FAIL</v>
      </c>
      <c r="L224" s="8"/>
    </row>
    <row r="225" ht="15.75" customHeight="1">
      <c r="A225" s="4" t="s">
        <v>279</v>
      </c>
      <c r="B225" s="5" t="s">
        <v>13</v>
      </c>
      <c r="C225" s="5" t="s">
        <v>14</v>
      </c>
      <c r="D225" s="5" t="s">
        <v>14</v>
      </c>
      <c r="E225" s="5" t="s">
        <v>16</v>
      </c>
      <c r="F225" s="5">
        <v>2.0</v>
      </c>
      <c r="G225" s="5" t="s">
        <v>13</v>
      </c>
      <c r="H225" s="5" t="s">
        <v>21</v>
      </c>
      <c r="I225" s="5" t="s">
        <v>22</v>
      </c>
      <c r="J225" s="6" t="str">
        <f t="shared" si="1"/>
        <v>PASS</v>
      </c>
      <c r="K225" s="7" t="str">
        <f t="shared" si="2"/>
        <v>FAIL</v>
      </c>
      <c r="L225" s="9" t="s">
        <v>280</v>
      </c>
    </row>
    <row r="226" ht="15.75" customHeight="1">
      <c r="A226" s="4" t="s">
        <v>281</v>
      </c>
      <c r="B226" s="5" t="s">
        <v>13</v>
      </c>
      <c r="C226" s="5" t="s">
        <v>14</v>
      </c>
      <c r="D226" s="5" t="s">
        <v>14</v>
      </c>
      <c r="E226" s="5" t="s">
        <v>16</v>
      </c>
      <c r="F226" s="5">
        <v>2.0</v>
      </c>
      <c r="G226" s="5" t="s">
        <v>13</v>
      </c>
      <c r="H226" s="5" t="s">
        <v>21</v>
      </c>
      <c r="I226" s="5" t="s">
        <v>22</v>
      </c>
      <c r="J226" s="6" t="str">
        <f t="shared" si="1"/>
        <v>PASS</v>
      </c>
      <c r="K226" s="7" t="str">
        <f t="shared" si="2"/>
        <v>FAIL</v>
      </c>
      <c r="L226" s="9" t="s">
        <v>280</v>
      </c>
    </row>
    <row r="227" ht="15.75" customHeight="1">
      <c r="A227" s="4" t="s">
        <v>282</v>
      </c>
      <c r="B227" s="5" t="s">
        <v>19</v>
      </c>
      <c r="C227" s="6"/>
      <c r="D227" s="6"/>
      <c r="E227" s="6"/>
      <c r="F227" s="6"/>
      <c r="G227" s="6"/>
      <c r="H227" s="6"/>
      <c r="I227" s="6"/>
      <c r="J227" s="6" t="str">
        <f t="shared" si="1"/>
        <v>FAIL</v>
      </c>
      <c r="K227" s="7" t="str">
        <f t="shared" si="2"/>
        <v>FAIL</v>
      </c>
      <c r="L227" s="8"/>
    </row>
    <row r="228" ht="15.75" customHeight="1">
      <c r="A228" s="4" t="s">
        <v>283</v>
      </c>
      <c r="B228" s="5" t="s">
        <v>19</v>
      </c>
      <c r="C228" s="6"/>
      <c r="D228" s="6"/>
      <c r="E228" s="6"/>
      <c r="F228" s="6"/>
      <c r="G228" s="6"/>
      <c r="H228" s="6"/>
      <c r="I228" s="6"/>
      <c r="J228" s="6" t="str">
        <f t="shared" si="1"/>
        <v>FAIL</v>
      </c>
      <c r="K228" s="7" t="str">
        <f t="shared" si="2"/>
        <v>FAIL</v>
      </c>
      <c r="L228" s="8"/>
    </row>
    <row r="229" ht="15.75" customHeight="1">
      <c r="A229" s="4" t="s">
        <v>284</v>
      </c>
      <c r="B229" s="5" t="s">
        <v>19</v>
      </c>
      <c r="C229" s="6"/>
      <c r="D229" s="6"/>
      <c r="E229" s="6"/>
      <c r="F229" s="6"/>
      <c r="G229" s="6"/>
      <c r="H229" s="6"/>
      <c r="I229" s="6"/>
      <c r="J229" s="6" t="str">
        <f t="shared" si="1"/>
        <v>FAIL</v>
      </c>
      <c r="K229" s="7" t="str">
        <f t="shared" si="2"/>
        <v>FAIL</v>
      </c>
      <c r="L229" s="8"/>
    </row>
    <row r="230" ht="15.75" customHeight="1">
      <c r="A230" s="4" t="s">
        <v>285</v>
      </c>
      <c r="B230" s="5" t="s">
        <v>19</v>
      </c>
      <c r="C230" s="6"/>
      <c r="D230" s="6"/>
      <c r="E230" s="6"/>
      <c r="F230" s="6"/>
      <c r="G230" s="6"/>
      <c r="H230" s="6"/>
      <c r="I230" s="6"/>
      <c r="J230" s="6" t="str">
        <f t="shared" si="1"/>
        <v>FAIL</v>
      </c>
      <c r="K230" s="7" t="str">
        <f t="shared" si="2"/>
        <v>FAIL</v>
      </c>
      <c r="L230" s="8"/>
    </row>
    <row r="231" ht="15.75" customHeight="1">
      <c r="A231" s="4" t="s">
        <v>286</v>
      </c>
      <c r="B231" s="5" t="s">
        <v>19</v>
      </c>
      <c r="C231" s="6"/>
      <c r="D231" s="6"/>
      <c r="E231" s="6"/>
      <c r="F231" s="6"/>
      <c r="G231" s="6"/>
      <c r="H231" s="6"/>
      <c r="I231" s="6"/>
      <c r="J231" s="6" t="str">
        <f t="shared" si="1"/>
        <v>FAIL</v>
      </c>
      <c r="K231" s="7" t="str">
        <f t="shared" si="2"/>
        <v>FAIL</v>
      </c>
      <c r="L231" s="8"/>
    </row>
    <row r="232" ht="15.75" customHeight="1">
      <c r="A232" s="4" t="s">
        <v>287</v>
      </c>
      <c r="B232" s="5" t="s">
        <v>13</v>
      </c>
      <c r="C232" s="5" t="s">
        <v>14</v>
      </c>
      <c r="D232" s="5" t="s">
        <v>16</v>
      </c>
      <c r="E232" s="5" t="s">
        <v>16</v>
      </c>
      <c r="F232" s="5">
        <v>1.0</v>
      </c>
      <c r="G232" s="5" t="s">
        <v>13</v>
      </c>
      <c r="H232" s="5" t="s">
        <v>21</v>
      </c>
      <c r="I232" s="5" t="s">
        <v>17</v>
      </c>
      <c r="J232" s="6" t="str">
        <f t="shared" si="1"/>
        <v>PASS</v>
      </c>
      <c r="K232" s="7" t="str">
        <f t="shared" si="2"/>
        <v>FAIL</v>
      </c>
      <c r="L232" s="9" t="s">
        <v>288</v>
      </c>
    </row>
    <row r="233" ht="15.75" customHeight="1">
      <c r="A233" s="4" t="s">
        <v>289</v>
      </c>
      <c r="B233" s="5" t="s">
        <v>13</v>
      </c>
      <c r="C233" s="5" t="s">
        <v>14</v>
      </c>
      <c r="D233" s="5" t="s">
        <v>59</v>
      </c>
      <c r="E233" s="5" t="s">
        <v>14</v>
      </c>
      <c r="F233" s="5">
        <v>3.0</v>
      </c>
      <c r="G233" s="5" t="s">
        <v>13</v>
      </c>
      <c r="H233" s="5" t="s">
        <v>16</v>
      </c>
      <c r="I233" s="5" t="s">
        <v>22</v>
      </c>
      <c r="J233" s="6" t="str">
        <f t="shared" si="1"/>
        <v>FAIL</v>
      </c>
      <c r="K233" s="7" t="str">
        <f t="shared" si="2"/>
        <v>FAIL</v>
      </c>
      <c r="L233" s="9" t="s">
        <v>290</v>
      </c>
    </row>
    <row r="234" ht="15.75" customHeight="1">
      <c r="A234" s="4" t="s">
        <v>291</v>
      </c>
      <c r="B234" s="5" t="s">
        <v>13</v>
      </c>
      <c r="C234" s="5" t="s">
        <v>14</v>
      </c>
      <c r="D234" s="5" t="s">
        <v>59</v>
      </c>
      <c r="E234" s="5" t="s">
        <v>16</v>
      </c>
      <c r="F234" s="5">
        <v>1.0</v>
      </c>
      <c r="G234" s="5" t="s">
        <v>13</v>
      </c>
      <c r="H234" s="5" t="s">
        <v>21</v>
      </c>
      <c r="I234" s="5" t="s">
        <v>17</v>
      </c>
      <c r="J234" s="6" t="str">
        <f t="shared" si="1"/>
        <v>PASS</v>
      </c>
      <c r="K234" s="7" t="str">
        <f t="shared" si="2"/>
        <v>FAIL</v>
      </c>
      <c r="L234" s="9" t="s">
        <v>292</v>
      </c>
    </row>
    <row r="235" ht="15.75" customHeight="1">
      <c r="A235" s="4" t="s">
        <v>293</v>
      </c>
      <c r="B235" s="5" t="s">
        <v>13</v>
      </c>
      <c r="C235" s="5" t="s">
        <v>14</v>
      </c>
      <c r="D235" s="5" t="s">
        <v>59</v>
      </c>
      <c r="E235" s="5" t="s">
        <v>15</v>
      </c>
      <c r="F235" s="5">
        <v>2.0</v>
      </c>
      <c r="G235" s="5" t="s">
        <v>13</v>
      </c>
      <c r="H235" s="5" t="s">
        <v>21</v>
      </c>
      <c r="I235" s="5" t="s">
        <v>22</v>
      </c>
      <c r="J235" s="6" t="str">
        <f t="shared" si="1"/>
        <v>PASS</v>
      </c>
      <c r="K235" s="7" t="str">
        <f t="shared" si="2"/>
        <v>FAIL</v>
      </c>
      <c r="L235" s="9" t="s">
        <v>294</v>
      </c>
    </row>
    <row r="236" ht="15.75" customHeight="1">
      <c r="A236" s="4" t="s">
        <v>295</v>
      </c>
      <c r="B236" s="5" t="s">
        <v>19</v>
      </c>
      <c r="C236" s="6"/>
      <c r="D236" s="6"/>
      <c r="E236" s="6"/>
      <c r="F236" s="6"/>
      <c r="G236" s="6"/>
      <c r="H236" s="6"/>
      <c r="I236" s="6"/>
      <c r="J236" s="6" t="str">
        <f t="shared" si="1"/>
        <v>FAIL</v>
      </c>
      <c r="K236" s="7" t="str">
        <f t="shared" si="2"/>
        <v>FAIL</v>
      </c>
      <c r="L236" s="8"/>
    </row>
    <row r="237" ht="15.75" customHeight="1">
      <c r="A237" s="4" t="s">
        <v>296</v>
      </c>
      <c r="B237" s="5" t="s">
        <v>19</v>
      </c>
      <c r="C237" s="6"/>
      <c r="D237" s="6"/>
      <c r="E237" s="6"/>
      <c r="F237" s="6"/>
      <c r="G237" s="6"/>
      <c r="H237" s="6"/>
      <c r="I237" s="6"/>
      <c r="J237" s="6" t="str">
        <f t="shared" si="1"/>
        <v>FAIL</v>
      </c>
      <c r="K237" s="7" t="str">
        <f t="shared" si="2"/>
        <v>FAIL</v>
      </c>
      <c r="L237" s="8"/>
    </row>
    <row r="238" ht="15.75" customHeight="1">
      <c r="A238" s="4" t="s">
        <v>297</v>
      </c>
      <c r="B238" s="5" t="s">
        <v>19</v>
      </c>
      <c r="C238" s="6"/>
      <c r="D238" s="6"/>
      <c r="E238" s="6"/>
      <c r="F238" s="6"/>
      <c r="G238" s="6"/>
      <c r="H238" s="6"/>
      <c r="I238" s="6"/>
      <c r="J238" s="6" t="str">
        <f t="shared" si="1"/>
        <v>FAIL</v>
      </c>
      <c r="K238" s="7" t="str">
        <f t="shared" si="2"/>
        <v>FAIL</v>
      </c>
      <c r="L238" s="8"/>
    </row>
    <row r="239" ht="15.75" customHeight="1">
      <c r="A239" s="4" t="s">
        <v>298</v>
      </c>
      <c r="B239" s="5" t="s">
        <v>13</v>
      </c>
      <c r="C239" s="5" t="s">
        <v>14</v>
      </c>
      <c r="D239" s="5" t="s">
        <v>14</v>
      </c>
      <c r="E239" s="5" t="s">
        <v>14</v>
      </c>
      <c r="F239" s="5">
        <v>2.0</v>
      </c>
      <c r="G239" s="5" t="s">
        <v>13</v>
      </c>
      <c r="H239" s="5" t="s">
        <v>21</v>
      </c>
      <c r="I239" s="5" t="s">
        <v>17</v>
      </c>
      <c r="J239" s="6" t="str">
        <f t="shared" si="1"/>
        <v>FAIL</v>
      </c>
      <c r="K239" s="7" t="str">
        <f t="shared" si="2"/>
        <v>FAIL</v>
      </c>
      <c r="L239" s="9"/>
    </row>
    <row r="240" ht="15.75" customHeight="1">
      <c r="A240" s="4" t="s">
        <v>299</v>
      </c>
      <c r="B240" s="5" t="s">
        <v>19</v>
      </c>
      <c r="C240" s="6"/>
      <c r="D240" s="6"/>
      <c r="E240" s="6"/>
      <c r="F240" s="6"/>
      <c r="G240" s="6"/>
      <c r="H240" s="6"/>
      <c r="I240" s="6"/>
      <c r="J240" s="6" t="str">
        <f t="shared" si="1"/>
        <v>FAIL</v>
      </c>
      <c r="K240" s="7" t="str">
        <f t="shared" si="2"/>
        <v>FAIL</v>
      </c>
      <c r="L240" s="8"/>
    </row>
    <row r="241" ht="15.75" customHeight="1">
      <c r="A241" s="4" t="s">
        <v>300</v>
      </c>
      <c r="B241" s="5" t="s">
        <v>19</v>
      </c>
      <c r="C241" s="6"/>
      <c r="D241" s="6"/>
      <c r="E241" s="6"/>
      <c r="F241" s="6"/>
      <c r="G241" s="6"/>
      <c r="H241" s="6"/>
      <c r="I241" s="6"/>
      <c r="J241" s="6" t="str">
        <f t="shared" si="1"/>
        <v>FAIL</v>
      </c>
      <c r="K241" s="7" t="str">
        <f t="shared" si="2"/>
        <v>FAIL</v>
      </c>
      <c r="L241" s="8"/>
    </row>
    <row r="242" ht="15.75" customHeight="1">
      <c r="A242" s="4" t="s">
        <v>301</v>
      </c>
      <c r="B242" s="5" t="s">
        <v>13</v>
      </c>
      <c r="C242" s="5" t="s">
        <v>14</v>
      </c>
      <c r="D242" s="5" t="s">
        <v>14</v>
      </c>
      <c r="E242" s="5" t="s">
        <v>16</v>
      </c>
      <c r="F242" s="5">
        <v>2.0</v>
      </c>
      <c r="G242" s="5" t="s">
        <v>13</v>
      </c>
      <c r="H242" s="5" t="s">
        <v>21</v>
      </c>
      <c r="I242" s="5" t="s">
        <v>17</v>
      </c>
      <c r="J242" s="6" t="str">
        <f t="shared" si="1"/>
        <v>PASS</v>
      </c>
      <c r="K242" s="7" t="str">
        <f t="shared" si="2"/>
        <v>FAIL</v>
      </c>
      <c r="L242" s="9" t="s">
        <v>302</v>
      </c>
    </row>
    <row r="243" ht="15.75" customHeight="1">
      <c r="A243" s="4" t="s">
        <v>303</v>
      </c>
      <c r="B243" s="5" t="s">
        <v>13</v>
      </c>
      <c r="C243" s="5" t="s">
        <v>14</v>
      </c>
      <c r="D243" s="5" t="s">
        <v>14</v>
      </c>
      <c r="E243" s="5" t="s">
        <v>16</v>
      </c>
      <c r="F243" s="5">
        <v>2.0</v>
      </c>
      <c r="G243" s="5" t="s">
        <v>13</v>
      </c>
      <c r="H243" s="5" t="s">
        <v>16</v>
      </c>
      <c r="I243" s="5" t="s">
        <v>22</v>
      </c>
      <c r="J243" s="6" t="str">
        <f t="shared" si="1"/>
        <v>PASS</v>
      </c>
      <c r="K243" s="7" t="str">
        <f t="shared" si="2"/>
        <v>FAIL</v>
      </c>
      <c r="L243" s="9" t="s">
        <v>304</v>
      </c>
    </row>
    <row r="244" ht="15.75" customHeight="1">
      <c r="A244" s="4" t="s">
        <v>305</v>
      </c>
      <c r="B244" s="5" t="s">
        <v>13</v>
      </c>
      <c r="C244" s="5" t="s">
        <v>14</v>
      </c>
      <c r="D244" s="5" t="s">
        <v>59</v>
      </c>
      <c r="E244" s="5" t="s">
        <v>14</v>
      </c>
      <c r="F244" s="5">
        <v>3.0</v>
      </c>
      <c r="G244" s="5" t="s">
        <v>13</v>
      </c>
      <c r="H244" s="5" t="s">
        <v>21</v>
      </c>
      <c r="I244" s="5" t="s">
        <v>22</v>
      </c>
      <c r="J244" s="6" t="str">
        <f t="shared" si="1"/>
        <v>FAIL</v>
      </c>
      <c r="K244" s="7" t="str">
        <f t="shared" si="2"/>
        <v>FAIL</v>
      </c>
      <c r="L244" s="9"/>
    </row>
    <row r="245" ht="15.75" customHeight="1">
      <c r="A245" s="4" t="s">
        <v>306</v>
      </c>
      <c r="B245" s="5" t="s">
        <v>13</v>
      </c>
      <c r="C245" s="5" t="s">
        <v>14</v>
      </c>
      <c r="D245" s="5" t="s">
        <v>59</v>
      </c>
      <c r="E245" s="5" t="s">
        <v>15</v>
      </c>
      <c r="F245" s="5">
        <v>2.0</v>
      </c>
      <c r="G245" s="5" t="s">
        <v>13</v>
      </c>
      <c r="H245" s="5" t="s">
        <v>21</v>
      </c>
      <c r="I245" s="5" t="s">
        <v>17</v>
      </c>
      <c r="J245" s="6" t="str">
        <f t="shared" si="1"/>
        <v>PASS</v>
      </c>
      <c r="K245" s="7" t="str">
        <f t="shared" si="2"/>
        <v>FAIL</v>
      </c>
      <c r="L245" s="9" t="s">
        <v>307</v>
      </c>
    </row>
    <row r="246" ht="15.75" customHeight="1">
      <c r="A246" s="4" t="s">
        <v>308</v>
      </c>
      <c r="B246" s="5" t="s">
        <v>13</v>
      </c>
      <c r="C246" s="5" t="s">
        <v>14</v>
      </c>
      <c r="D246" s="5" t="s">
        <v>59</v>
      </c>
      <c r="E246" s="5" t="s">
        <v>16</v>
      </c>
      <c r="F246" s="5">
        <v>1.0</v>
      </c>
      <c r="G246" s="5" t="s">
        <v>13</v>
      </c>
      <c r="H246" s="5" t="s">
        <v>21</v>
      </c>
      <c r="I246" s="5" t="s">
        <v>17</v>
      </c>
      <c r="J246" s="6" t="str">
        <f t="shared" si="1"/>
        <v>PASS</v>
      </c>
      <c r="K246" s="10" t="s">
        <v>309</v>
      </c>
      <c r="L246" s="9" t="s">
        <v>310</v>
      </c>
    </row>
    <row r="247" ht="15.75" customHeight="1">
      <c r="A247" s="4" t="s">
        <v>311</v>
      </c>
      <c r="B247" s="5" t="s">
        <v>19</v>
      </c>
      <c r="C247" s="6"/>
      <c r="D247" s="6"/>
      <c r="E247" s="6"/>
      <c r="F247" s="6"/>
      <c r="G247" s="6"/>
      <c r="H247" s="6"/>
      <c r="I247" s="6"/>
      <c r="J247" s="6" t="str">
        <f t="shared" si="1"/>
        <v>FAIL</v>
      </c>
      <c r="K247" s="7" t="str">
        <f t="shared" ref="K247:K574" si="3">IF(AND(
  $J247="FAIL",
  $B247="Yes",
  OR($C247="Decreasing",$D247="Decreasing"),
  $E247&lt;&gt;"Increasing",
  IFERROR(VALUE($F247)&lt;=2,FALSE),
  $H247&lt;&gt;"Declining",
  OR($I247="Medium",$I247="Large")
),"PASS","FAIL")</f>
        <v>FAIL</v>
      </c>
      <c r="L247" s="8"/>
    </row>
    <row r="248" ht="15.75" customHeight="1">
      <c r="A248" s="4" t="s">
        <v>312</v>
      </c>
      <c r="B248" s="5" t="s">
        <v>19</v>
      </c>
      <c r="C248" s="6"/>
      <c r="D248" s="6"/>
      <c r="E248" s="6"/>
      <c r="F248" s="6"/>
      <c r="G248" s="6"/>
      <c r="H248" s="6"/>
      <c r="I248" s="6"/>
      <c r="J248" s="6" t="str">
        <f t="shared" si="1"/>
        <v>FAIL</v>
      </c>
      <c r="K248" s="7" t="str">
        <f t="shared" si="3"/>
        <v>FAIL</v>
      </c>
      <c r="L248" s="8"/>
    </row>
    <row r="249" ht="15.75" customHeight="1">
      <c r="A249" s="4" t="s">
        <v>313</v>
      </c>
      <c r="B249" s="5" t="s">
        <v>19</v>
      </c>
      <c r="C249" s="6"/>
      <c r="D249" s="6"/>
      <c r="E249" s="6"/>
      <c r="F249" s="6"/>
      <c r="G249" s="6"/>
      <c r="H249" s="6"/>
      <c r="I249" s="6"/>
      <c r="J249" s="6" t="str">
        <f t="shared" si="1"/>
        <v>FAIL</v>
      </c>
      <c r="K249" s="7" t="str">
        <f t="shared" si="3"/>
        <v>FAIL</v>
      </c>
      <c r="L249" s="8"/>
    </row>
    <row r="250" ht="15.75" customHeight="1">
      <c r="A250" s="4" t="s">
        <v>314</v>
      </c>
      <c r="B250" s="5" t="s">
        <v>19</v>
      </c>
      <c r="C250" s="6"/>
      <c r="D250" s="6"/>
      <c r="E250" s="6"/>
      <c r="F250" s="6"/>
      <c r="G250" s="6"/>
      <c r="H250" s="6"/>
      <c r="I250" s="6"/>
      <c r="J250" s="6" t="str">
        <f t="shared" si="1"/>
        <v>FAIL</v>
      </c>
      <c r="K250" s="7" t="str">
        <f t="shared" si="3"/>
        <v>FAIL</v>
      </c>
      <c r="L250" s="8"/>
    </row>
    <row r="251" ht="15.75" customHeight="1">
      <c r="A251" s="4" t="s">
        <v>315</v>
      </c>
      <c r="B251" s="5" t="s">
        <v>13</v>
      </c>
      <c r="C251" s="5" t="s">
        <v>59</v>
      </c>
      <c r="D251" s="5" t="s">
        <v>59</v>
      </c>
      <c r="E251" s="5" t="s">
        <v>16</v>
      </c>
      <c r="F251" s="5">
        <v>2.0</v>
      </c>
      <c r="G251" s="5" t="s">
        <v>13</v>
      </c>
      <c r="H251" s="5" t="s">
        <v>16</v>
      </c>
      <c r="I251" s="5" t="s">
        <v>22</v>
      </c>
      <c r="J251" s="5" t="s">
        <v>316</v>
      </c>
      <c r="K251" s="7" t="str">
        <f t="shared" si="3"/>
        <v>FAIL</v>
      </c>
      <c r="L251" s="9" t="s">
        <v>317</v>
      </c>
    </row>
    <row r="252" ht="15.75" customHeight="1">
      <c r="A252" s="4" t="s">
        <v>318</v>
      </c>
      <c r="B252" s="5" t="s">
        <v>13</v>
      </c>
      <c r="C252" s="5" t="s">
        <v>14</v>
      </c>
      <c r="D252" s="5" t="s">
        <v>59</v>
      </c>
      <c r="E252" s="5" t="s">
        <v>15</v>
      </c>
      <c r="F252" s="5">
        <v>3.0</v>
      </c>
      <c r="G252" s="5" t="s">
        <v>19</v>
      </c>
      <c r="H252" s="5" t="s">
        <v>16</v>
      </c>
      <c r="I252" s="5" t="s">
        <v>17</v>
      </c>
      <c r="J252" s="6" t="str">
        <f t="shared" ref="J252:J645" si="4">IF(COUNTBLANK(B252:I252)=8,"",
IF(OR(
B252="No",
C252="Decreasing",
D252="Decreasing",
E252="Increasing",
F252=3,
G252="No",
H252="Declining",
I252="Small"
),"FAIL","PASS"))</f>
        <v>FAIL</v>
      </c>
      <c r="K252" s="7" t="str">
        <f t="shared" si="3"/>
        <v>FAIL</v>
      </c>
      <c r="L252" s="8"/>
    </row>
    <row r="253" ht="15.75" customHeight="1">
      <c r="A253" s="4" t="s">
        <v>319</v>
      </c>
      <c r="B253" s="5" t="s">
        <v>19</v>
      </c>
      <c r="C253" s="6"/>
      <c r="D253" s="6"/>
      <c r="E253" s="6"/>
      <c r="F253" s="6"/>
      <c r="G253" s="6"/>
      <c r="H253" s="6"/>
      <c r="I253" s="6"/>
      <c r="J253" s="6" t="str">
        <f t="shared" si="4"/>
        <v>FAIL</v>
      </c>
      <c r="K253" s="7" t="str">
        <f t="shared" si="3"/>
        <v>FAIL</v>
      </c>
      <c r="L253" s="8"/>
    </row>
    <row r="254" ht="15.75" customHeight="1">
      <c r="A254" s="4" t="s">
        <v>320</v>
      </c>
      <c r="B254" s="5" t="s">
        <v>19</v>
      </c>
      <c r="C254" s="6"/>
      <c r="D254" s="6"/>
      <c r="E254" s="6"/>
      <c r="F254" s="6"/>
      <c r="G254" s="6"/>
      <c r="H254" s="6"/>
      <c r="I254" s="6"/>
      <c r="J254" s="6" t="str">
        <f t="shared" si="4"/>
        <v>FAIL</v>
      </c>
      <c r="K254" s="7" t="str">
        <f t="shared" si="3"/>
        <v>FAIL</v>
      </c>
      <c r="L254" s="8"/>
    </row>
    <row r="255" ht="15.75" customHeight="1">
      <c r="A255" s="4" t="s">
        <v>321</v>
      </c>
      <c r="B255" s="5" t="s">
        <v>19</v>
      </c>
      <c r="C255" s="6"/>
      <c r="D255" s="6"/>
      <c r="E255" s="6"/>
      <c r="F255" s="6"/>
      <c r="G255" s="6"/>
      <c r="H255" s="6"/>
      <c r="I255" s="6"/>
      <c r="J255" s="6" t="str">
        <f t="shared" si="4"/>
        <v>FAIL</v>
      </c>
      <c r="K255" s="7" t="str">
        <f t="shared" si="3"/>
        <v>FAIL</v>
      </c>
      <c r="L255" s="8"/>
    </row>
    <row r="256" ht="15.75" customHeight="1">
      <c r="A256" s="4" t="s">
        <v>322</v>
      </c>
      <c r="B256" s="5" t="s">
        <v>19</v>
      </c>
      <c r="C256" s="6"/>
      <c r="D256" s="6"/>
      <c r="E256" s="6"/>
      <c r="F256" s="6"/>
      <c r="G256" s="6"/>
      <c r="H256" s="6"/>
      <c r="I256" s="6"/>
      <c r="J256" s="6" t="str">
        <f t="shared" si="4"/>
        <v>FAIL</v>
      </c>
      <c r="K256" s="7" t="str">
        <f t="shared" si="3"/>
        <v>FAIL</v>
      </c>
      <c r="L256" s="8"/>
    </row>
    <row r="257" ht="15.75" customHeight="1">
      <c r="A257" s="4" t="s">
        <v>323</v>
      </c>
      <c r="B257" s="5" t="s">
        <v>19</v>
      </c>
      <c r="C257" s="6"/>
      <c r="D257" s="6"/>
      <c r="E257" s="6"/>
      <c r="F257" s="6"/>
      <c r="G257" s="6"/>
      <c r="H257" s="6"/>
      <c r="I257" s="6"/>
      <c r="J257" s="6" t="str">
        <f t="shared" si="4"/>
        <v>FAIL</v>
      </c>
      <c r="K257" s="7" t="str">
        <f t="shared" si="3"/>
        <v>FAIL</v>
      </c>
      <c r="L257" s="8"/>
    </row>
    <row r="258" ht="15.75" customHeight="1">
      <c r="A258" s="4" t="s">
        <v>324</v>
      </c>
      <c r="B258" s="5" t="s">
        <v>19</v>
      </c>
      <c r="C258" s="6"/>
      <c r="D258" s="6"/>
      <c r="E258" s="6"/>
      <c r="F258" s="6"/>
      <c r="G258" s="6"/>
      <c r="H258" s="6"/>
      <c r="I258" s="6"/>
      <c r="J258" s="6" t="str">
        <f t="shared" si="4"/>
        <v>FAIL</v>
      </c>
      <c r="K258" s="7" t="str">
        <f t="shared" si="3"/>
        <v>FAIL</v>
      </c>
      <c r="L258" s="8"/>
    </row>
    <row r="259" ht="15.75" customHeight="1">
      <c r="A259" s="4" t="s">
        <v>325</v>
      </c>
      <c r="B259" s="5" t="s">
        <v>19</v>
      </c>
      <c r="C259" s="6"/>
      <c r="D259" s="6"/>
      <c r="E259" s="6"/>
      <c r="F259" s="6"/>
      <c r="G259" s="6"/>
      <c r="H259" s="6"/>
      <c r="I259" s="6"/>
      <c r="J259" s="6" t="str">
        <f t="shared" si="4"/>
        <v>FAIL</v>
      </c>
      <c r="K259" s="7" t="str">
        <f t="shared" si="3"/>
        <v>FAIL</v>
      </c>
      <c r="L259" s="8"/>
    </row>
    <row r="260" ht="15.75" customHeight="1">
      <c r="A260" s="4" t="s">
        <v>326</v>
      </c>
      <c r="B260" s="5" t="s">
        <v>13</v>
      </c>
      <c r="C260" s="5" t="s">
        <v>16</v>
      </c>
      <c r="D260" s="5" t="s">
        <v>16</v>
      </c>
      <c r="E260" s="5" t="s">
        <v>16</v>
      </c>
      <c r="F260" s="5">
        <v>1.0</v>
      </c>
      <c r="G260" s="5" t="s">
        <v>13</v>
      </c>
      <c r="H260" s="5" t="s">
        <v>21</v>
      </c>
      <c r="I260" s="5" t="s">
        <v>17</v>
      </c>
      <c r="J260" s="6" t="str">
        <f t="shared" si="4"/>
        <v>PASS</v>
      </c>
      <c r="K260" s="7" t="str">
        <f t="shared" si="3"/>
        <v>FAIL</v>
      </c>
      <c r="L260" s="8"/>
    </row>
    <row r="261" ht="15.75" customHeight="1">
      <c r="A261" s="4" t="s">
        <v>327</v>
      </c>
      <c r="B261" s="5" t="s">
        <v>19</v>
      </c>
      <c r="C261" s="6"/>
      <c r="D261" s="6"/>
      <c r="E261" s="6"/>
      <c r="F261" s="6"/>
      <c r="G261" s="6"/>
      <c r="H261" s="6"/>
      <c r="I261" s="6"/>
      <c r="J261" s="6" t="str">
        <f t="shared" si="4"/>
        <v>FAIL</v>
      </c>
      <c r="K261" s="7" t="str">
        <f t="shared" si="3"/>
        <v>FAIL</v>
      </c>
      <c r="L261" s="8"/>
    </row>
    <row r="262" ht="15.75" customHeight="1">
      <c r="A262" s="4" t="s">
        <v>328</v>
      </c>
      <c r="B262" s="5" t="s">
        <v>19</v>
      </c>
      <c r="C262" s="6"/>
      <c r="D262" s="6"/>
      <c r="E262" s="6"/>
      <c r="F262" s="6"/>
      <c r="G262" s="6"/>
      <c r="H262" s="6"/>
      <c r="I262" s="6"/>
      <c r="J262" s="6" t="str">
        <f t="shared" si="4"/>
        <v>FAIL</v>
      </c>
      <c r="K262" s="7" t="str">
        <f t="shared" si="3"/>
        <v>FAIL</v>
      </c>
      <c r="L262" s="8"/>
    </row>
    <row r="263" ht="15.75" customHeight="1">
      <c r="A263" s="4" t="s">
        <v>329</v>
      </c>
      <c r="B263" s="5" t="s">
        <v>13</v>
      </c>
      <c r="C263" s="5" t="s">
        <v>16</v>
      </c>
      <c r="D263" s="5" t="s">
        <v>16</v>
      </c>
      <c r="E263" s="5" t="s">
        <v>16</v>
      </c>
      <c r="F263" s="5">
        <v>1.0</v>
      </c>
      <c r="G263" s="5" t="s">
        <v>13</v>
      </c>
      <c r="H263" s="5" t="s">
        <v>21</v>
      </c>
      <c r="I263" s="5" t="s">
        <v>17</v>
      </c>
      <c r="J263" s="6" t="str">
        <f t="shared" si="4"/>
        <v>PASS</v>
      </c>
      <c r="K263" s="7" t="str">
        <f t="shared" si="3"/>
        <v>FAIL</v>
      </c>
      <c r="L263" s="9" t="s">
        <v>330</v>
      </c>
    </row>
    <row r="264" ht="15.75" customHeight="1">
      <c r="A264" s="4" t="s">
        <v>331</v>
      </c>
      <c r="B264" s="5" t="s">
        <v>19</v>
      </c>
      <c r="C264" s="6"/>
      <c r="D264" s="6"/>
      <c r="E264" s="6"/>
      <c r="F264" s="6"/>
      <c r="G264" s="6"/>
      <c r="H264" s="6"/>
      <c r="I264" s="6"/>
      <c r="J264" s="6" t="str">
        <f t="shared" si="4"/>
        <v>FAIL</v>
      </c>
      <c r="K264" s="7" t="str">
        <f t="shared" si="3"/>
        <v>FAIL</v>
      </c>
      <c r="L264" s="8"/>
    </row>
    <row r="265" ht="15.75" customHeight="1">
      <c r="A265" s="4" t="s">
        <v>332</v>
      </c>
      <c r="B265" s="5" t="s">
        <v>19</v>
      </c>
      <c r="C265" s="6"/>
      <c r="D265" s="6"/>
      <c r="E265" s="6"/>
      <c r="F265" s="6"/>
      <c r="G265" s="6"/>
      <c r="H265" s="6"/>
      <c r="I265" s="6"/>
      <c r="J265" s="6" t="str">
        <f t="shared" si="4"/>
        <v>FAIL</v>
      </c>
      <c r="K265" s="7" t="str">
        <f t="shared" si="3"/>
        <v>FAIL</v>
      </c>
      <c r="L265" s="8"/>
    </row>
    <row r="266" ht="15.75" customHeight="1">
      <c r="A266" s="4" t="s">
        <v>333</v>
      </c>
      <c r="B266" s="5" t="s">
        <v>19</v>
      </c>
      <c r="C266" s="6"/>
      <c r="D266" s="6"/>
      <c r="E266" s="6"/>
      <c r="F266" s="6"/>
      <c r="G266" s="6"/>
      <c r="H266" s="6"/>
      <c r="I266" s="6"/>
      <c r="J266" s="6" t="str">
        <f t="shared" si="4"/>
        <v>FAIL</v>
      </c>
      <c r="K266" s="7" t="str">
        <f t="shared" si="3"/>
        <v>FAIL</v>
      </c>
      <c r="L266" s="8"/>
    </row>
    <row r="267" ht="15.75" customHeight="1">
      <c r="A267" s="4" t="s">
        <v>334</v>
      </c>
      <c r="B267" s="5" t="s">
        <v>19</v>
      </c>
      <c r="C267" s="6"/>
      <c r="D267" s="6"/>
      <c r="E267" s="6"/>
      <c r="F267" s="6"/>
      <c r="G267" s="6"/>
      <c r="H267" s="6"/>
      <c r="I267" s="6"/>
      <c r="J267" s="6" t="str">
        <f t="shared" si="4"/>
        <v>FAIL</v>
      </c>
      <c r="K267" s="7" t="str">
        <f t="shared" si="3"/>
        <v>FAIL</v>
      </c>
      <c r="L267" s="8"/>
    </row>
    <row r="268" ht="15.75" customHeight="1">
      <c r="A268" s="4" t="s">
        <v>335</v>
      </c>
      <c r="B268" s="5" t="s">
        <v>19</v>
      </c>
      <c r="C268" s="6"/>
      <c r="D268" s="6"/>
      <c r="E268" s="6"/>
      <c r="F268" s="6"/>
      <c r="G268" s="6"/>
      <c r="H268" s="6"/>
      <c r="I268" s="6"/>
      <c r="J268" s="6" t="str">
        <f t="shared" si="4"/>
        <v>FAIL</v>
      </c>
      <c r="K268" s="7" t="str">
        <f t="shared" si="3"/>
        <v>FAIL</v>
      </c>
      <c r="L268" s="8"/>
    </row>
    <row r="269" ht="15.75" customHeight="1">
      <c r="A269" s="4" t="s">
        <v>336</v>
      </c>
      <c r="B269" s="5" t="s">
        <v>13</v>
      </c>
      <c r="C269" s="5" t="s">
        <v>14</v>
      </c>
      <c r="D269" s="5" t="s">
        <v>14</v>
      </c>
      <c r="E269" s="5" t="s">
        <v>15</v>
      </c>
      <c r="F269" s="5">
        <v>2.0</v>
      </c>
      <c r="G269" s="5" t="s">
        <v>13</v>
      </c>
      <c r="H269" s="5" t="s">
        <v>21</v>
      </c>
      <c r="I269" s="5" t="s">
        <v>17</v>
      </c>
      <c r="J269" s="6" t="str">
        <f t="shared" si="4"/>
        <v>PASS</v>
      </c>
      <c r="K269" s="7" t="str">
        <f t="shared" si="3"/>
        <v>FAIL</v>
      </c>
      <c r="L269" s="9" t="s">
        <v>337</v>
      </c>
    </row>
    <row r="270" ht="15.75" customHeight="1">
      <c r="A270" s="4" t="s">
        <v>338</v>
      </c>
      <c r="B270" s="5" t="s">
        <v>19</v>
      </c>
      <c r="C270" s="6"/>
      <c r="D270" s="6"/>
      <c r="E270" s="6"/>
      <c r="F270" s="6"/>
      <c r="G270" s="6"/>
      <c r="H270" s="6"/>
      <c r="I270" s="6"/>
      <c r="J270" s="6" t="str">
        <f t="shared" si="4"/>
        <v>FAIL</v>
      </c>
      <c r="K270" s="7" t="str">
        <f t="shared" si="3"/>
        <v>FAIL</v>
      </c>
      <c r="L270" s="8"/>
    </row>
    <row r="271" ht="15.75" customHeight="1">
      <c r="A271" s="4" t="s">
        <v>339</v>
      </c>
      <c r="B271" s="5" t="s">
        <v>19</v>
      </c>
      <c r="C271" s="6"/>
      <c r="D271" s="6"/>
      <c r="E271" s="6"/>
      <c r="F271" s="6"/>
      <c r="G271" s="6"/>
      <c r="H271" s="6"/>
      <c r="I271" s="6"/>
      <c r="J271" s="6" t="str">
        <f t="shared" si="4"/>
        <v>FAIL</v>
      </c>
      <c r="K271" s="7" t="str">
        <f t="shared" si="3"/>
        <v>FAIL</v>
      </c>
      <c r="L271" s="8"/>
    </row>
    <row r="272" ht="15.75" customHeight="1">
      <c r="A272" s="4" t="s">
        <v>340</v>
      </c>
      <c r="B272" s="5" t="s">
        <v>13</v>
      </c>
      <c r="C272" s="5" t="s">
        <v>15</v>
      </c>
      <c r="D272" s="6"/>
      <c r="E272" s="6"/>
      <c r="F272" s="6"/>
      <c r="G272" s="6"/>
      <c r="H272" s="6"/>
      <c r="I272" s="6"/>
      <c r="J272" s="6" t="str">
        <f t="shared" si="4"/>
        <v>FAIL</v>
      </c>
      <c r="K272" s="7" t="str">
        <f t="shared" si="3"/>
        <v>FAIL</v>
      </c>
      <c r="L272" s="9" t="s">
        <v>341</v>
      </c>
    </row>
    <row r="273" ht="15.75" customHeight="1">
      <c r="A273" s="4" t="s">
        <v>342</v>
      </c>
      <c r="B273" s="5" t="s">
        <v>19</v>
      </c>
      <c r="C273" s="6"/>
      <c r="D273" s="6"/>
      <c r="E273" s="6"/>
      <c r="F273" s="6"/>
      <c r="G273" s="6"/>
      <c r="H273" s="6"/>
      <c r="I273" s="6"/>
      <c r="J273" s="6" t="str">
        <f t="shared" si="4"/>
        <v>FAIL</v>
      </c>
      <c r="K273" s="7" t="str">
        <f t="shared" si="3"/>
        <v>FAIL</v>
      </c>
      <c r="L273" s="8"/>
    </row>
    <row r="274" ht="15.75" customHeight="1">
      <c r="A274" s="4" t="s">
        <v>343</v>
      </c>
      <c r="B274" s="5" t="s">
        <v>19</v>
      </c>
      <c r="C274" s="6"/>
      <c r="D274" s="6"/>
      <c r="E274" s="6"/>
      <c r="F274" s="6"/>
      <c r="G274" s="6"/>
      <c r="H274" s="6"/>
      <c r="I274" s="6"/>
      <c r="J274" s="6" t="str">
        <f t="shared" si="4"/>
        <v>FAIL</v>
      </c>
      <c r="K274" s="7" t="str">
        <f t="shared" si="3"/>
        <v>FAIL</v>
      </c>
      <c r="L274" s="8"/>
    </row>
    <row r="275" ht="15.75" customHeight="1">
      <c r="A275" s="4" t="s">
        <v>344</v>
      </c>
      <c r="B275" s="5" t="s">
        <v>13</v>
      </c>
      <c r="C275" s="6"/>
      <c r="D275" s="6"/>
      <c r="E275" s="6"/>
      <c r="F275" s="6"/>
      <c r="G275" s="5" t="s">
        <v>19</v>
      </c>
      <c r="H275" s="6"/>
      <c r="I275" s="6"/>
      <c r="J275" s="6" t="str">
        <f t="shared" si="4"/>
        <v>FAIL</v>
      </c>
      <c r="K275" s="7" t="str">
        <f t="shared" si="3"/>
        <v>FAIL</v>
      </c>
      <c r="L275" s="8"/>
    </row>
    <row r="276" ht="15.75" customHeight="1">
      <c r="A276" s="4" t="s">
        <v>345</v>
      </c>
      <c r="B276" s="5" t="s">
        <v>19</v>
      </c>
      <c r="C276" s="6"/>
      <c r="D276" s="6"/>
      <c r="E276" s="6"/>
      <c r="F276" s="6"/>
      <c r="G276" s="6"/>
      <c r="H276" s="6"/>
      <c r="I276" s="6"/>
      <c r="J276" s="6" t="str">
        <f t="shared" si="4"/>
        <v>FAIL</v>
      </c>
      <c r="K276" s="7" t="str">
        <f t="shared" si="3"/>
        <v>FAIL</v>
      </c>
      <c r="L276" s="8"/>
    </row>
    <row r="277" ht="15.75" customHeight="1">
      <c r="A277" s="4" t="s">
        <v>346</v>
      </c>
      <c r="B277" s="5" t="s">
        <v>19</v>
      </c>
      <c r="C277" s="6"/>
      <c r="D277" s="6"/>
      <c r="E277" s="6"/>
      <c r="F277" s="6"/>
      <c r="G277" s="6"/>
      <c r="H277" s="6"/>
      <c r="I277" s="6"/>
      <c r="J277" s="6" t="str">
        <f t="shared" si="4"/>
        <v>FAIL</v>
      </c>
      <c r="K277" s="7" t="str">
        <f t="shared" si="3"/>
        <v>FAIL</v>
      </c>
      <c r="L277" s="8"/>
    </row>
    <row r="278" ht="15.75" customHeight="1">
      <c r="A278" s="4" t="s">
        <v>347</v>
      </c>
      <c r="B278" s="5" t="s">
        <v>19</v>
      </c>
      <c r="C278" s="6"/>
      <c r="D278" s="6"/>
      <c r="E278" s="6"/>
      <c r="F278" s="6"/>
      <c r="G278" s="6"/>
      <c r="H278" s="6"/>
      <c r="I278" s="6"/>
      <c r="J278" s="6" t="str">
        <f t="shared" si="4"/>
        <v>FAIL</v>
      </c>
      <c r="K278" s="7" t="str">
        <f t="shared" si="3"/>
        <v>FAIL</v>
      </c>
      <c r="L278" s="8"/>
    </row>
    <row r="279" ht="15.75" customHeight="1">
      <c r="A279" s="4" t="s">
        <v>348</v>
      </c>
      <c r="B279" s="5" t="s">
        <v>19</v>
      </c>
      <c r="C279" s="6"/>
      <c r="D279" s="6"/>
      <c r="E279" s="6"/>
      <c r="F279" s="6"/>
      <c r="G279" s="6"/>
      <c r="H279" s="6"/>
      <c r="I279" s="6"/>
      <c r="J279" s="6" t="str">
        <f t="shared" si="4"/>
        <v>FAIL</v>
      </c>
      <c r="K279" s="7" t="str">
        <f t="shared" si="3"/>
        <v>FAIL</v>
      </c>
      <c r="L279" s="8"/>
    </row>
    <row r="280" ht="15.75" customHeight="1">
      <c r="A280" s="4" t="s">
        <v>349</v>
      </c>
      <c r="B280" s="5" t="s">
        <v>19</v>
      </c>
      <c r="C280" s="6"/>
      <c r="D280" s="6"/>
      <c r="E280" s="6"/>
      <c r="F280" s="6"/>
      <c r="G280" s="6"/>
      <c r="H280" s="6"/>
      <c r="I280" s="6"/>
      <c r="J280" s="6" t="str">
        <f t="shared" si="4"/>
        <v>FAIL</v>
      </c>
      <c r="K280" s="7" t="str">
        <f t="shared" si="3"/>
        <v>FAIL</v>
      </c>
      <c r="L280" s="8"/>
    </row>
    <row r="281" ht="15.75" customHeight="1">
      <c r="A281" s="4" t="s">
        <v>350</v>
      </c>
      <c r="B281" s="5" t="s">
        <v>19</v>
      </c>
      <c r="C281" s="6"/>
      <c r="D281" s="6"/>
      <c r="E281" s="6"/>
      <c r="F281" s="6"/>
      <c r="G281" s="6"/>
      <c r="H281" s="6"/>
      <c r="I281" s="6"/>
      <c r="J281" s="6" t="str">
        <f t="shared" si="4"/>
        <v>FAIL</v>
      </c>
      <c r="K281" s="7" t="str">
        <f t="shared" si="3"/>
        <v>FAIL</v>
      </c>
      <c r="L281" s="8"/>
    </row>
    <row r="282" ht="15.75" customHeight="1">
      <c r="A282" s="4" t="s">
        <v>351</v>
      </c>
      <c r="B282" s="5" t="s">
        <v>19</v>
      </c>
      <c r="C282" s="6"/>
      <c r="D282" s="6"/>
      <c r="E282" s="6"/>
      <c r="F282" s="6"/>
      <c r="G282" s="6"/>
      <c r="H282" s="6"/>
      <c r="I282" s="6"/>
      <c r="J282" s="6" t="str">
        <f t="shared" si="4"/>
        <v>FAIL</v>
      </c>
      <c r="K282" s="7" t="str">
        <f t="shared" si="3"/>
        <v>FAIL</v>
      </c>
      <c r="L282" s="8"/>
    </row>
    <row r="283" ht="15.75" customHeight="1">
      <c r="A283" s="4" t="s">
        <v>352</v>
      </c>
      <c r="B283" s="5" t="s">
        <v>19</v>
      </c>
      <c r="C283" s="6"/>
      <c r="D283" s="6"/>
      <c r="E283" s="6"/>
      <c r="F283" s="6"/>
      <c r="G283" s="6"/>
      <c r="H283" s="6"/>
      <c r="I283" s="6"/>
      <c r="J283" s="6" t="str">
        <f t="shared" si="4"/>
        <v>FAIL</v>
      </c>
      <c r="K283" s="7" t="str">
        <f t="shared" si="3"/>
        <v>FAIL</v>
      </c>
      <c r="L283" s="8"/>
    </row>
    <row r="284" ht="15.75" customHeight="1">
      <c r="A284" s="4" t="s">
        <v>353</v>
      </c>
      <c r="B284" s="5" t="s">
        <v>19</v>
      </c>
      <c r="C284" s="6"/>
      <c r="D284" s="6"/>
      <c r="E284" s="6"/>
      <c r="F284" s="6"/>
      <c r="G284" s="6"/>
      <c r="H284" s="6"/>
      <c r="I284" s="6"/>
      <c r="J284" s="6" t="str">
        <f t="shared" si="4"/>
        <v>FAIL</v>
      </c>
      <c r="K284" s="7" t="str">
        <f t="shared" si="3"/>
        <v>FAIL</v>
      </c>
      <c r="L284" s="8"/>
    </row>
    <row r="285" ht="15.75" customHeight="1">
      <c r="A285" s="4" t="s">
        <v>354</v>
      </c>
      <c r="B285" s="5" t="s">
        <v>13</v>
      </c>
      <c r="C285" s="5" t="s">
        <v>14</v>
      </c>
      <c r="D285" s="5" t="s">
        <v>59</v>
      </c>
      <c r="E285" s="5" t="s">
        <v>16</v>
      </c>
      <c r="F285" s="5">
        <v>2.0</v>
      </c>
      <c r="G285" s="5" t="s">
        <v>13</v>
      </c>
      <c r="H285" s="5" t="s">
        <v>21</v>
      </c>
      <c r="I285" s="5" t="s">
        <v>17</v>
      </c>
      <c r="J285" s="6" t="str">
        <f t="shared" si="4"/>
        <v>PASS</v>
      </c>
      <c r="K285" s="7" t="str">
        <f t="shared" si="3"/>
        <v>FAIL</v>
      </c>
      <c r="L285" s="9" t="s">
        <v>355</v>
      </c>
    </row>
    <row r="286" ht="15.75" customHeight="1">
      <c r="A286" s="4" t="s">
        <v>356</v>
      </c>
      <c r="B286" s="5" t="s">
        <v>19</v>
      </c>
      <c r="C286" s="6"/>
      <c r="D286" s="6"/>
      <c r="E286" s="6"/>
      <c r="F286" s="6"/>
      <c r="G286" s="6"/>
      <c r="H286" s="6"/>
      <c r="I286" s="6"/>
      <c r="J286" s="6" t="str">
        <f t="shared" si="4"/>
        <v>FAIL</v>
      </c>
      <c r="K286" s="7" t="str">
        <f t="shared" si="3"/>
        <v>FAIL</v>
      </c>
      <c r="L286" s="8"/>
    </row>
    <row r="287" ht="15.75" customHeight="1">
      <c r="A287" s="4" t="s">
        <v>357</v>
      </c>
      <c r="B287" s="5" t="s">
        <v>19</v>
      </c>
      <c r="C287" s="6"/>
      <c r="D287" s="6"/>
      <c r="E287" s="6"/>
      <c r="F287" s="6"/>
      <c r="G287" s="6"/>
      <c r="H287" s="6"/>
      <c r="I287" s="6"/>
      <c r="J287" s="6" t="str">
        <f t="shared" si="4"/>
        <v>FAIL</v>
      </c>
      <c r="K287" s="7" t="str">
        <f t="shared" si="3"/>
        <v>FAIL</v>
      </c>
      <c r="L287" s="8"/>
    </row>
    <row r="288" ht="15.75" customHeight="1">
      <c r="A288" s="4" t="s">
        <v>358</v>
      </c>
      <c r="B288" s="5" t="s">
        <v>19</v>
      </c>
      <c r="C288" s="6"/>
      <c r="D288" s="6"/>
      <c r="E288" s="6"/>
      <c r="F288" s="6"/>
      <c r="G288" s="6"/>
      <c r="H288" s="6"/>
      <c r="I288" s="6"/>
      <c r="J288" s="6" t="str">
        <f t="shared" si="4"/>
        <v>FAIL</v>
      </c>
      <c r="K288" s="7" t="str">
        <f t="shared" si="3"/>
        <v>FAIL</v>
      </c>
      <c r="L288" s="8"/>
    </row>
    <row r="289" ht="15.75" customHeight="1">
      <c r="A289" s="4" t="s">
        <v>359</v>
      </c>
      <c r="B289" s="5" t="s">
        <v>19</v>
      </c>
      <c r="C289" s="6"/>
      <c r="D289" s="6"/>
      <c r="E289" s="6"/>
      <c r="F289" s="6"/>
      <c r="G289" s="6"/>
      <c r="H289" s="6"/>
      <c r="I289" s="6"/>
      <c r="J289" s="6" t="str">
        <f t="shared" si="4"/>
        <v>FAIL</v>
      </c>
      <c r="K289" s="7" t="str">
        <f t="shared" si="3"/>
        <v>FAIL</v>
      </c>
      <c r="L289" s="8"/>
    </row>
    <row r="290" ht="15.75" customHeight="1">
      <c r="A290" s="4" t="s">
        <v>360</v>
      </c>
      <c r="B290" s="5" t="s">
        <v>19</v>
      </c>
      <c r="C290" s="6"/>
      <c r="D290" s="6"/>
      <c r="E290" s="6"/>
      <c r="F290" s="6"/>
      <c r="G290" s="6"/>
      <c r="H290" s="6"/>
      <c r="I290" s="6"/>
      <c r="J290" s="6" t="str">
        <f t="shared" si="4"/>
        <v>FAIL</v>
      </c>
      <c r="K290" s="7" t="str">
        <f t="shared" si="3"/>
        <v>FAIL</v>
      </c>
      <c r="L290" s="8"/>
    </row>
    <row r="291" ht="15.75" customHeight="1">
      <c r="A291" s="4" t="s">
        <v>361</v>
      </c>
      <c r="B291" s="5" t="s">
        <v>19</v>
      </c>
      <c r="C291" s="6"/>
      <c r="D291" s="6"/>
      <c r="E291" s="6"/>
      <c r="F291" s="6"/>
      <c r="G291" s="6"/>
      <c r="H291" s="6"/>
      <c r="I291" s="6"/>
      <c r="J291" s="6" t="str">
        <f t="shared" si="4"/>
        <v>FAIL</v>
      </c>
      <c r="K291" s="7" t="str">
        <f t="shared" si="3"/>
        <v>FAIL</v>
      </c>
      <c r="L291" s="8"/>
    </row>
    <row r="292" ht="15.75" customHeight="1">
      <c r="A292" s="4" t="s">
        <v>362</v>
      </c>
      <c r="B292" s="5" t="s">
        <v>19</v>
      </c>
      <c r="C292" s="6"/>
      <c r="D292" s="6"/>
      <c r="E292" s="6"/>
      <c r="F292" s="6"/>
      <c r="G292" s="6"/>
      <c r="H292" s="6"/>
      <c r="I292" s="6"/>
      <c r="J292" s="6" t="str">
        <f t="shared" si="4"/>
        <v>FAIL</v>
      </c>
      <c r="K292" s="7" t="str">
        <f t="shared" si="3"/>
        <v>FAIL</v>
      </c>
      <c r="L292" s="8"/>
    </row>
    <row r="293" ht="15.75" customHeight="1">
      <c r="A293" s="4" t="s">
        <v>363</v>
      </c>
      <c r="B293" s="5" t="s">
        <v>19</v>
      </c>
      <c r="C293" s="6"/>
      <c r="D293" s="6"/>
      <c r="E293" s="6"/>
      <c r="F293" s="6"/>
      <c r="G293" s="6"/>
      <c r="H293" s="6"/>
      <c r="I293" s="6"/>
      <c r="J293" s="6" t="str">
        <f t="shared" si="4"/>
        <v>FAIL</v>
      </c>
      <c r="K293" s="7" t="str">
        <f t="shared" si="3"/>
        <v>FAIL</v>
      </c>
      <c r="L293" s="8"/>
    </row>
    <row r="294" ht="15.75" customHeight="1">
      <c r="A294" s="4" t="s">
        <v>364</v>
      </c>
      <c r="B294" s="5" t="s">
        <v>19</v>
      </c>
      <c r="C294" s="6"/>
      <c r="D294" s="6"/>
      <c r="E294" s="6"/>
      <c r="F294" s="6"/>
      <c r="G294" s="6"/>
      <c r="H294" s="6"/>
      <c r="I294" s="6"/>
      <c r="J294" s="6" t="str">
        <f t="shared" si="4"/>
        <v>FAIL</v>
      </c>
      <c r="K294" s="7" t="str">
        <f t="shared" si="3"/>
        <v>FAIL</v>
      </c>
      <c r="L294" s="8"/>
    </row>
    <row r="295" ht="15.75" customHeight="1">
      <c r="A295" s="4" t="s">
        <v>365</v>
      </c>
      <c r="B295" s="5" t="s">
        <v>19</v>
      </c>
      <c r="C295" s="6"/>
      <c r="D295" s="6"/>
      <c r="E295" s="6"/>
      <c r="F295" s="6"/>
      <c r="G295" s="6"/>
      <c r="H295" s="6"/>
      <c r="I295" s="6"/>
      <c r="J295" s="6" t="str">
        <f t="shared" si="4"/>
        <v>FAIL</v>
      </c>
      <c r="K295" s="7" t="str">
        <f t="shared" si="3"/>
        <v>FAIL</v>
      </c>
      <c r="L295" s="8"/>
    </row>
    <row r="296" ht="15.75" customHeight="1">
      <c r="A296" s="4" t="s">
        <v>366</v>
      </c>
      <c r="B296" s="5" t="s">
        <v>19</v>
      </c>
      <c r="C296" s="6"/>
      <c r="D296" s="6"/>
      <c r="E296" s="6"/>
      <c r="F296" s="6"/>
      <c r="G296" s="6"/>
      <c r="H296" s="6"/>
      <c r="I296" s="6"/>
      <c r="J296" s="6" t="str">
        <f t="shared" si="4"/>
        <v>FAIL</v>
      </c>
      <c r="K296" s="7" t="str">
        <f t="shared" si="3"/>
        <v>FAIL</v>
      </c>
      <c r="L296" s="8"/>
    </row>
    <row r="297" ht="15.75" customHeight="1">
      <c r="A297" s="4" t="s">
        <v>367</v>
      </c>
      <c r="B297" s="5" t="s">
        <v>19</v>
      </c>
      <c r="C297" s="6"/>
      <c r="D297" s="6"/>
      <c r="E297" s="6"/>
      <c r="F297" s="6"/>
      <c r="G297" s="6"/>
      <c r="H297" s="6"/>
      <c r="I297" s="6"/>
      <c r="J297" s="6" t="str">
        <f t="shared" si="4"/>
        <v>FAIL</v>
      </c>
      <c r="K297" s="7" t="str">
        <f t="shared" si="3"/>
        <v>FAIL</v>
      </c>
      <c r="L297" s="8"/>
    </row>
    <row r="298" ht="15.75" customHeight="1">
      <c r="A298" s="4" t="s">
        <v>368</v>
      </c>
      <c r="B298" s="5" t="s">
        <v>19</v>
      </c>
      <c r="C298" s="6"/>
      <c r="D298" s="6"/>
      <c r="E298" s="6"/>
      <c r="F298" s="6"/>
      <c r="G298" s="6"/>
      <c r="H298" s="6"/>
      <c r="I298" s="6"/>
      <c r="J298" s="6" t="str">
        <f t="shared" si="4"/>
        <v>FAIL</v>
      </c>
      <c r="K298" s="7" t="str">
        <f t="shared" si="3"/>
        <v>FAIL</v>
      </c>
      <c r="L298" s="8"/>
    </row>
    <row r="299" ht="15.75" customHeight="1">
      <c r="A299" s="4" t="s">
        <v>369</v>
      </c>
      <c r="B299" s="5" t="s">
        <v>13</v>
      </c>
      <c r="C299" s="5" t="s">
        <v>14</v>
      </c>
      <c r="D299" s="5" t="s">
        <v>59</v>
      </c>
      <c r="E299" s="5" t="s">
        <v>16</v>
      </c>
      <c r="F299" s="5">
        <v>3.0</v>
      </c>
      <c r="G299" s="5" t="s">
        <v>13</v>
      </c>
      <c r="H299" s="5" t="s">
        <v>21</v>
      </c>
      <c r="I299" s="5" t="s">
        <v>17</v>
      </c>
      <c r="J299" s="6" t="str">
        <f t="shared" si="4"/>
        <v>FAIL</v>
      </c>
      <c r="K299" s="7" t="str">
        <f t="shared" si="3"/>
        <v>FAIL</v>
      </c>
      <c r="L299" s="8"/>
    </row>
    <row r="300" ht="15.75" customHeight="1">
      <c r="A300" s="4" t="s">
        <v>370</v>
      </c>
      <c r="B300" s="6"/>
      <c r="C300" s="6"/>
      <c r="D300" s="6"/>
      <c r="E300" s="6"/>
      <c r="F300" s="6"/>
      <c r="G300" s="6"/>
      <c r="H300" s="6"/>
      <c r="I300" s="6"/>
      <c r="J300" s="6" t="str">
        <f t="shared" si="4"/>
        <v/>
      </c>
      <c r="K300" s="7" t="str">
        <f t="shared" si="3"/>
        <v>FAIL</v>
      </c>
      <c r="L300" s="8"/>
    </row>
    <row r="301" ht="15.75" customHeight="1">
      <c r="A301" s="4" t="s">
        <v>371</v>
      </c>
      <c r="B301" s="5" t="s">
        <v>19</v>
      </c>
      <c r="C301" s="6"/>
      <c r="D301" s="6"/>
      <c r="E301" s="6"/>
      <c r="F301" s="6"/>
      <c r="G301" s="6"/>
      <c r="H301" s="6"/>
      <c r="I301" s="6"/>
      <c r="J301" s="6" t="str">
        <f t="shared" si="4"/>
        <v>FAIL</v>
      </c>
      <c r="K301" s="7" t="str">
        <f t="shared" si="3"/>
        <v>FAIL</v>
      </c>
      <c r="L301" s="8"/>
    </row>
    <row r="302" ht="15.75" customHeight="1">
      <c r="A302" s="4" t="s">
        <v>372</v>
      </c>
      <c r="B302" s="5" t="s">
        <v>19</v>
      </c>
      <c r="C302" s="6"/>
      <c r="D302" s="6"/>
      <c r="E302" s="6"/>
      <c r="F302" s="6"/>
      <c r="G302" s="6"/>
      <c r="H302" s="6"/>
      <c r="I302" s="6"/>
      <c r="J302" s="6" t="str">
        <f t="shared" si="4"/>
        <v>FAIL</v>
      </c>
      <c r="K302" s="7" t="str">
        <f t="shared" si="3"/>
        <v>FAIL</v>
      </c>
      <c r="L302" s="8"/>
    </row>
    <row r="303" ht="15.75" customHeight="1">
      <c r="A303" s="4" t="s">
        <v>373</v>
      </c>
      <c r="B303" s="6"/>
      <c r="C303" s="6"/>
      <c r="D303" s="6"/>
      <c r="E303" s="6"/>
      <c r="F303" s="6"/>
      <c r="G303" s="6"/>
      <c r="H303" s="6"/>
      <c r="I303" s="6"/>
      <c r="J303" s="6" t="str">
        <f t="shared" si="4"/>
        <v/>
      </c>
      <c r="K303" s="7" t="str">
        <f t="shared" si="3"/>
        <v>FAIL</v>
      </c>
      <c r="L303" s="8"/>
    </row>
    <row r="304" ht="15.75" customHeight="1">
      <c r="A304" s="4" t="s">
        <v>374</v>
      </c>
      <c r="B304" s="5" t="s">
        <v>19</v>
      </c>
      <c r="C304" s="6"/>
      <c r="D304" s="6"/>
      <c r="E304" s="6"/>
      <c r="F304" s="6"/>
      <c r="G304" s="6"/>
      <c r="H304" s="6"/>
      <c r="I304" s="6"/>
      <c r="J304" s="6" t="str">
        <f t="shared" si="4"/>
        <v>FAIL</v>
      </c>
      <c r="K304" s="7" t="str">
        <f t="shared" si="3"/>
        <v>FAIL</v>
      </c>
      <c r="L304" s="8"/>
    </row>
    <row r="305" ht="15.75" customHeight="1">
      <c r="A305" s="4" t="s">
        <v>375</v>
      </c>
      <c r="B305" s="5" t="s">
        <v>19</v>
      </c>
      <c r="C305" s="6"/>
      <c r="D305" s="6"/>
      <c r="E305" s="6"/>
      <c r="F305" s="6"/>
      <c r="G305" s="6"/>
      <c r="H305" s="6"/>
      <c r="I305" s="6"/>
      <c r="J305" s="6" t="str">
        <f t="shared" si="4"/>
        <v>FAIL</v>
      </c>
      <c r="K305" s="7" t="str">
        <f t="shared" si="3"/>
        <v>FAIL</v>
      </c>
      <c r="L305" s="8"/>
    </row>
    <row r="306" ht="15.75" customHeight="1">
      <c r="A306" s="4" t="s">
        <v>376</v>
      </c>
      <c r="B306" s="5" t="s">
        <v>19</v>
      </c>
      <c r="C306" s="6"/>
      <c r="D306" s="6"/>
      <c r="E306" s="6"/>
      <c r="F306" s="6"/>
      <c r="G306" s="6"/>
      <c r="H306" s="6"/>
      <c r="I306" s="6"/>
      <c r="J306" s="6" t="str">
        <f t="shared" si="4"/>
        <v>FAIL</v>
      </c>
      <c r="K306" s="7" t="str">
        <f t="shared" si="3"/>
        <v>FAIL</v>
      </c>
      <c r="L306" s="8"/>
    </row>
    <row r="307" ht="15.75" customHeight="1">
      <c r="A307" s="4" t="s">
        <v>377</v>
      </c>
      <c r="B307" s="5" t="s">
        <v>13</v>
      </c>
      <c r="C307" s="5" t="s">
        <v>16</v>
      </c>
      <c r="D307" s="5" t="s">
        <v>59</v>
      </c>
      <c r="E307" s="5" t="s">
        <v>16</v>
      </c>
      <c r="F307" s="5">
        <v>2.0</v>
      </c>
      <c r="G307" s="5" t="s">
        <v>13</v>
      </c>
      <c r="H307" s="5" t="s">
        <v>16</v>
      </c>
      <c r="I307" s="5" t="s">
        <v>17</v>
      </c>
      <c r="J307" s="6" t="str">
        <f t="shared" si="4"/>
        <v>PASS</v>
      </c>
      <c r="K307" s="7" t="str">
        <f t="shared" si="3"/>
        <v>FAIL</v>
      </c>
      <c r="L307" s="8"/>
    </row>
    <row r="308" ht="15.75" customHeight="1">
      <c r="A308" s="4" t="s">
        <v>378</v>
      </c>
      <c r="B308" s="5" t="s">
        <v>19</v>
      </c>
      <c r="C308" s="6"/>
      <c r="D308" s="6"/>
      <c r="E308" s="6"/>
      <c r="F308" s="6"/>
      <c r="G308" s="6"/>
      <c r="H308" s="6"/>
      <c r="I308" s="6"/>
      <c r="J308" s="6" t="str">
        <f t="shared" si="4"/>
        <v>FAIL</v>
      </c>
      <c r="K308" s="7" t="str">
        <f t="shared" si="3"/>
        <v>FAIL</v>
      </c>
      <c r="L308" s="8"/>
    </row>
    <row r="309" ht="15.75" customHeight="1">
      <c r="A309" s="4" t="s">
        <v>379</v>
      </c>
      <c r="B309" s="5" t="s">
        <v>13</v>
      </c>
      <c r="C309" s="5" t="s">
        <v>59</v>
      </c>
      <c r="D309" s="5" t="s">
        <v>59</v>
      </c>
      <c r="E309" s="5" t="s">
        <v>16</v>
      </c>
      <c r="F309" s="5">
        <v>2.0</v>
      </c>
      <c r="G309" s="5" t="s">
        <v>13</v>
      </c>
      <c r="H309" s="5" t="s">
        <v>16</v>
      </c>
      <c r="I309" s="5" t="s">
        <v>17</v>
      </c>
      <c r="J309" s="6" t="str">
        <f t="shared" si="4"/>
        <v>PASS</v>
      </c>
      <c r="K309" s="7" t="str">
        <f t="shared" si="3"/>
        <v>FAIL</v>
      </c>
      <c r="L309" s="8"/>
    </row>
    <row r="310" ht="15.75" customHeight="1">
      <c r="A310" s="4" t="s">
        <v>380</v>
      </c>
      <c r="B310" s="5" t="s">
        <v>13</v>
      </c>
      <c r="C310" s="5" t="s">
        <v>59</v>
      </c>
      <c r="D310" s="5" t="s">
        <v>59</v>
      </c>
      <c r="E310" s="5" t="s">
        <v>16</v>
      </c>
      <c r="F310" s="5">
        <v>3.0</v>
      </c>
      <c r="G310" s="5" t="s">
        <v>13</v>
      </c>
      <c r="H310" s="5" t="s">
        <v>16</v>
      </c>
      <c r="I310" s="5" t="s">
        <v>17</v>
      </c>
      <c r="J310" s="6" t="str">
        <f t="shared" si="4"/>
        <v>FAIL</v>
      </c>
      <c r="K310" s="7" t="str">
        <f t="shared" si="3"/>
        <v>FAIL</v>
      </c>
      <c r="L310" s="8"/>
    </row>
    <row r="311" ht="15.75" customHeight="1">
      <c r="A311" s="4" t="s">
        <v>381</v>
      </c>
      <c r="B311" s="5" t="s">
        <v>19</v>
      </c>
      <c r="C311" s="6"/>
      <c r="D311" s="6"/>
      <c r="E311" s="6"/>
      <c r="F311" s="6"/>
      <c r="G311" s="6"/>
      <c r="H311" s="6"/>
      <c r="I311" s="6"/>
      <c r="J311" s="6" t="str">
        <f t="shared" si="4"/>
        <v>FAIL</v>
      </c>
      <c r="K311" s="7" t="str">
        <f t="shared" si="3"/>
        <v>FAIL</v>
      </c>
      <c r="L311" s="8"/>
    </row>
    <row r="312" ht="15.75" customHeight="1">
      <c r="A312" s="4" t="s">
        <v>382</v>
      </c>
      <c r="B312" s="5" t="s">
        <v>13</v>
      </c>
      <c r="C312" s="5" t="s">
        <v>14</v>
      </c>
      <c r="D312" s="5" t="s">
        <v>14</v>
      </c>
      <c r="E312" s="5" t="s">
        <v>16</v>
      </c>
      <c r="F312" s="5">
        <v>2.0</v>
      </c>
      <c r="G312" s="5" t="s">
        <v>13</v>
      </c>
      <c r="H312" s="5" t="s">
        <v>16</v>
      </c>
      <c r="I312" s="5" t="s">
        <v>17</v>
      </c>
      <c r="J312" s="6" t="str">
        <f t="shared" si="4"/>
        <v>PASS</v>
      </c>
      <c r="K312" s="7" t="str">
        <f t="shared" si="3"/>
        <v>FAIL</v>
      </c>
      <c r="L312" s="8"/>
    </row>
    <row r="313" ht="15.75" customHeight="1">
      <c r="A313" s="4" t="s">
        <v>383</v>
      </c>
      <c r="B313" s="5" t="s">
        <v>19</v>
      </c>
      <c r="C313" s="6"/>
      <c r="D313" s="6"/>
      <c r="E313" s="6"/>
      <c r="F313" s="6"/>
      <c r="G313" s="6"/>
      <c r="H313" s="6"/>
      <c r="I313" s="6"/>
      <c r="J313" s="6" t="str">
        <f t="shared" si="4"/>
        <v>FAIL</v>
      </c>
      <c r="K313" s="7" t="str">
        <f t="shared" si="3"/>
        <v>FAIL</v>
      </c>
      <c r="L313" s="8"/>
    </row>
    <row r="314" ht="15.75" customHeight="1">
      <c r="A314" s="4" t="s">
        <v>384</v>
      </c>
      <c r="B314" s="5" t="s">
        <v>13</v>
      </c>
      <c r="C314" s="5" t="s">
        <v>14</v>
      </c>
      <c r="D314" s="5" t="s">
        <v>14</v>
      </c>
      <c r="E314" s="5" t="s">
        <v>16</v>
      </c>
      <c r="F314" s="5">
        <v>2.0</v>
      </c>
      <c r="G314" s="5" t="s">
        <v>13</v>
      </c>
      <c r="H314" s="5" t="s">
        <v>21</v>
      </c>
      <c r="I314" s="5" t="s">
        <v>17</v>
      </c>
      <c r="J314" s="6" t="str">
        <f t="shared" si="4"/>
        <v>PASS</v>
      </c>
      <c r="K314" s="7" t="str">
        <f t="shared" si="3"/>
        <v>FAIL</v>
      </c>
      <c r="L314" s="8"/>
    </row>
    <row r="315" ht="15.75" customHeight="1">
      <c r="A315" s="4" t="s">
        <v>385</v>
      </c>
      <c r="B315" s="5" t="s">
        <v>19</v>
      </c>
      <c r="C315" s="6"/>
      <c r="D315" s="6"/>
      <c r="E315" s="6"/>
      <c r="F315" s="6"/>
      <c r="G315" s="6"/>
      <c r="H315" s="6"/>
      <c r="I315" s="6"/>
      <c r="J315" s="6" t="str">
        <f t="shared" si="4"/>
        <v>FAIL</v>
      </c>
      <c r="K315" s="7" t="str">
        <f t="shared" si="3"/>
        <v>FAIL</v>
      </c>
      <c r="L315" s="8"/>
    </row>
    <row r="316" ht="15.75" customHeight="1">
      <c r="A316" s="4" t="s">
        <v>386</v>
      </c>
      <c r="B316" s="5" t="s">
        <v>19</v>
      </c>
      <c r="C316" s="6"/>
      <c r="D316" s="6"/>
      <c r="E316" s="6"/>
      <c r="F316" s="6"/>
      <c r="G316" s="6"/>
      <c r="H316" s="6"/>
      <c r="I316" s="6"/>
      <c r="J316" s="6" t="str">
        <f t="shared" si="4"/>
        <v>FAIL</v>
      </c>
      <c r="K316" s="7" t="str">
        <f t="shared" si="3"/>
        <v>FAIL</v>
      </c>
      <c r="L316" s="8"/>
    </row>
    <row r="317" ht="15.75" customHeight="1">
      <c r="A317" s="4" t="s">
        <v>387</v>
      </c>
      <c r="B317" s="5" t="s">
        <v>19</v>
      </c>
      <c r="C317" s="6"/>
      <c r="D317" s="6"/>
      <c r="E317" s="6"/>
      <c r="F317" s="6"/>
      <c r="G317" s="6"/>
      <c r="H317" s="6"/>
      <c r="I317" s="6"/>
      <c r="J317" s="6" t="str">
        <f t="shared" si="4"/>
        <v>FAIL</v>
      </c>
      <c r="K317" s="7" t="str">
        <f t="shared" si="3"/>
        <v>FAIL</v>
      </c>
      <c r="L317" s="8"/>
    </row>
    <row r="318" ht="15.75" customHeight="1">
      <c r="A318" s="4" t="s">
        <v>388</v>
      </c>
      <c r="B318" s="5" t="s">
        <v>13</v>
      </c>
      <c r="C318" s="5" t="s">
        <v>14</v>
      </c>
      <c r="D318" s="5" t="s">
        <v>59</v>
      </c>
      <c r="E318" s="5" t="s">
        <v>16</v>
      </c>
      <c r="F318" s="5">
        <v>3.0</v>
      </c>
      <c r="G318" s="5" t="s">
        <v>13</v>
      </c>
      <c r="H318" s="5" t="s">
        <v>16</v>
      </c>
      <c r="I318" s="5" t="s">
        <v>22</v>
      </c>
      <c r="J318" s="6" t="str">
        <f t="shared" si="4"/>
        <v>FAIL</v>
      </c>
      <c r="K318" s="7" t="str">
        <f t="shared" si="3"/>
        <v>FAIL</v>
      </c>
      <c r="L318" s="8"/>
    </row>
    <row r="319" ht="15.75" customHeight="1">
      <c r="A319" s="4" t="s">
        <v>389</v>
      </c>
      <c r="B319" s="5" t="s">
        <v>19</v>
      </c>
      <c r="C319" s="6"/>
      <c r="D319" s="6"/>
      <c r="E319" s="6"/>
      <c r="F319" s="6"/>
      <c r="G319" s="6"/>
      <c r="H319" s="6"/>
      <c r="I319" s="6"/>
      <c r="J319" s="6" t="str">
        <f t="shared" si="4"/>
        <v>FAIL</v>
      </c>
      <c r="K319" s="7" t="str">
        <f t="shared" si="3"/>
        <v>FAIL</v>
      </c>
      <c r="L319" s="8"/>
    </row>
    <row r="320" ht="15.75" customHeight="1">
      <c r="A320" s="4" t="s">
        <v>390</v>
      </c>
      <c r="B320" s="5" t="s">
        <v>19</v>
      </c>
      <c r="C320" s="6"/>
      <c r="D320" s="6"/>
      <c r="E320" s="6"/>
      <c r="F320" s="6"/>
      <c r="G320" s="6"/>
      <c r="H320" s="6"/>
      <c r="I320" s="6"/>
      <c r="J320" s="6" t="str">
        <f t="shared" si="4"/>
        <v>FAIL</v>
      </c>
      <c r="K320" s="7" t="str">
        <f t="shared" si="3"/>
        <v>FAIL</v>
      </c>
      <c r="L320" s="8"/>
    </row>
    <row r="321" ht="15.75" customHeight="1">
      <c r="A321" s="4" t="s">
        <v>391</v>
      </c>
      <c r="B321" s="5" t="s">
        <v>19</v>
      </c>
      <c r="C321" s="6"/>
      <c r="D321" s="6"/>
      <c r="E321" s="6"/>
      <c r="F321" s="6"/>
      <c r="G321" s="6"/>
      <c r="H321" s="6"/>
      <c r="I321" s="6"/>
      <c r="J321" s="6" t="str">
        <f t="shared" si="4"/>
        <v>FAIL</v>
      </c>
      <c r="K321" s="7" t="str">
        <f t="shared" si="3"/>
        <v>FAIL</v>
      </c>
      <c r="L321" s="8"/>
    </row>
    <row r="322" ht="15.75" customHeight="1">
      <c r="A322" s="4" t="s">
        <v>392</v>
      </c>
      <c r="B322" s="5" t="s">
        <v>19</v>
      </c>
      <c r="C322" s="6"/>
      <c r="D322" s="6"/>
      <c r="E322" s="6"/>
      <c r="F322" s="6"/>
      <c r="G322" s="6"/>
      <c r="H322" s="6"/>
      <c r="I322" s="6"/>
      <c r="J322" s="6" t="str">
        <f t="shared" si="4"/>
        <v>FAIL</v>
      </c>
      <c r="K322" s="7" t="str">
        <f t="shared" si="3"/>
        <v>FAIL</v>
      </c>
      <c r="L322" s="8"/>
    </row>
    <row r="323" ht="15.75" customHeight="1">
      <c r="A323" s="4" t="s">
        <v>393</v>
      </c>
      <c r="B323" s="5" t="s">
        <v>19</v>
      </c>
      <c r="C323" s="6"/>
      <c r="D323" s="6"/>
      <c r="E323" s="6"/>
      <c r="F323" s="6"/>
      <c r="G323" s="6"/>
      <c r="H323" s="6"/>
      <c r="I323" s="6"/>
      <c r="J323" s="6" t="str">
        <f t="shared" si="4"/>
        <v>FAIL</v>
      </c>
      <c r="K323" s="7" t="str">
        <f t="shared" si="3"/>
        <v>FAIL</v>
      </c>
      <c r="L323" s="8"/>
    </row>
    <row r="324" ht="15.75" customHeight="1">
      <c r="A324" s="4" t="s">
        <v>394</v>
      </c>
      <c r="B324" s="5" t="s">
        <v>19</v>
      </c>
      <c r="C324" s="6"/>
      <c r="D324" s="6"/>
      <c r="E324" s="6"/>
      <c r="F324" s="6"/>
      <c r="G324" s="6"/>
      <c r="H324" s="6"/>
      <c r="I324" s="6"/>
      <c r="J324" s="6" t="str">
        <f t="shared" si="4"/>
        <v>FAIL</v>
      </c>
      <c r="K324" s="7" t="str">
        <f t="shared" si="3"/>
        <v>FAIL</v>
      </c>
      <c r="L324" s="8"/>
    </row>
    <row r="325" ht="15.75" customHeight="1">
      <c r="A325" s="4" t="s">
        <v>395</v>
      </c>
      <c r="B325" s="5" t="s">
        <v>13</v>
      </c>
      <c r="C325" s="5" t="s">
        <v>14</v>
      </c>
      <c r="D325" s="5" t="s">
        <v>15</v>
      </c>
      <c r="E325" s="5" t="s">
        <v>14</v>
      </c>
      <c r="F325" s="5">
        <v>3.0</v>
      </c>
      <c r="G325" s="5" t="s">
        <v>13</v>
      </c>
      <c r="H325" s="5" t="s">
        <v>21</v>
      </c>
      <c r="I325" s="5" t="s">
        <v>17</v>
      </c>
      <c r="J325" s="6" t="str">
        <f t="shared" si="4"/>
        <v>FAIL</v>
      </c>
      <c r="K325" s="7" t="str">
        <f t="shared" si="3"/>
        <v>FAIL</v>
      </c>
      <c r="L325" s="8"/>
    </row>
    <row r="326" ht="15.75" customHeight="1">
      <c r="A326" s="4" t="s">
        <v>396</v>
      </c>
      <c r="B326" s="5" t="s">
        <v>19</v>
      </c>
      <c r="C326" s="6"/>
      <c r="D326" s="6"/>
      <c r="E326" s="6"/>
      <c r="F326" s="6"/>
      <c r="G326" s="6"/>
      <c r="H326" s="6"/>
      <c r="I326" s="6"/>
      <c r="J326" s="6" t="str">
        <f t="shared" si="4"/>
        <v>FAIL</v>
      </c>
      <c r="K326" s="7" t="str">
        <f t="shared" si="3"/>
        <v>FAIL</v>
      </c>
      <c r="L326" s="8"/>
    </row>
    <row r="327" ht="15.75" customHeight="1">
      <c r="A327" s="4" t="s">
        <v>397</v>
      </c>
      <c r="B327" s="5" t="s">
        <v>19</v>
      </c>
      <c r="C327" s="6"/>
      <c r="D327" s="6"/>
      <c r="E327" s="6"/>
      <c r="F327" s="6"/>
      <c r="G327" s="6"/>
      <c r="H327" s="6"/>
      <c r="I327" s="6"/>
      <c r="J327" s="6" t="str">
        <f t="shared" si="4"/>
        <v>FAIL</v>
      </c>
      <c r="K327" s="7" t="str">
        <f t="shared" si="3"/>
        <v>FAIL</v>
      </c>
      <c r="L327" s="8"/>
    </row>
    <row r="328" ht="15.75" customHeight="1">
      <c r="A328" s="4" t="s">
        <v>398</v>
      </c>
      <c r="B328" s="5" t="s">
        <v>19</v>
      </c>
      <c r="C328" s="6"/>
      <c r="D328" s="6"/>
      <c r="E328" s="6"/>
      <c r="F328" s="6"/>
      <c r="G328" s="6"/>
      <c r="H328" s="6"/>
      <c r="I328" s="6"/>
      <c r="J328" s="6" t="str">
        <f t="shared" si="4"/>
        <v>FAIL</v>
      </c>
      <c r="K328" s="7" t="str">
        <f t="shared" si="3"/>
        <v>FAIL</v>
      </c>
      <c r="L328" s="8"/>
    </row>
    <row r="329" ht="15.75" customHeight="1">
      <c r="A329" s="4" t="s">
        <v>399</v>
      </c>
      <c r="B329" s="5" t="s">
        <v>19</v>
      </c>
      <c r="C329" s="6"/>
      <c r="D329" s="6"/>
      <c r="E329" s="6"/>
      <c r="F329" s="6"/>
      <c r="G329" s="6"/>
      <c r="H329" s="6"/>
      <c r="I329" s="6"/>
      <c r="J329" s="6" t="str">
        <f t="shared" si="4"/>
        <v>FAIL</v>
      </c>
      <c r="K329" s="7" t="str">
        <f t="shared" si="3"/>
        <v>FAIL</v>
      </c>
      <c r="L329" s="8"/>
    </row>
    <row r="330" ht="15.75" customHeight="1">
      <c r="A330" s="4" t="s">
        <v>400</v>
      </c>
      <c r="B330" s="5" t="s">
        <v>19</v>
      </c>
      <c r="C330" s="6"/>
      <c r="D330" s="6"/>
      <c r="E330" s="6"/>
      <c r="F330" s="6"/>
      <c r="G330" s="6"/>
      <c r="H330" s="6"/>
      <c r="I330" s="6"/>
      <c r="J330" s="6" t="str">
        <f t="shared" si="4"/>
        <v>FAIL</v>
      </c>
      <c r="K330" s="7" t="str">
        <f t="shared" si="3"/>
        <v>FAIL</v>
      </c>
      <c r="L330" s="8"/>
    </row>
    <row r="331" ht="15.75" customHeight="1">
      <c r="A331" s="4" t="s">
        <v>401</v>
      </c>
      <c r="B331" s="5" t="s">
        <v>13</v>
      </c>
      <c r="C331" s="5" t="s">
        <v>16</v>
      </c>
      <c r="D331" s="5" t="s">
        <v>59</v>
      </c>
      <c r="E331" s="5" t="s">
        <v>15</v>
      </c>
      <c r="F331" s="5">
        <v>3.0</v>
      </c>
      <c r="G331" s="5" t="s">
        <v>13</v>
      </c>
      <c r="H331" s="5" t="s">
        <v>16</v>
      </c>
      <c r="I331" s="5" t="s">
        <v>17</v>
      </c>
      <c r="J331" s="6" t="str">
        <f t="shared" si="4"/>
        <v>FAIL</v>
      </c>
      <c r="K331" s="7" t="str">
        <f t="shared" si="3"/>
        <v>FAIL</v>
      </c>
      <c r="L331" s="8"/>
    </row>
    <row r="332" ht="15.75" customHeight="1">
      <c r="A332" s="4" t="s">
        <v>402</v>
      </c>
      <c r="B332" s="5" t="s">
        <v>19</v>
      </c>
      <c r="C332" s="6"/>
      <c r="D332" s="6"/>
      <c r="E332" s="6"/>
      <c r="F332" s="6"/>
      <c r="G332" s="6"/>
      <c r="H332" s="6"/>
      <c r="I332" s="6"/>
      <c r="J332" s="6" t="str">
        <f t="shared" si="4"/>
        <v>FAIL</v>
      </c>
      <c r="K332" s="7" t="str">
        <f t="shared" si="3"/>
        <v>FAIL</v>
      </c>
      <c r="L332" s="8"/>
    </row>
    <row r="333" ht="15.75" customHeight="1">
      <c r="A333" s="4" t="s">
        <v>403</v>
      </c>
      <c r="B333" s="5" t="s">
        <v>19</v>
      </c>
      <c r="C333" s="6"/>
      <c r="D333" s="6"/>
      <c r="E333" s="6"/>
      <c r="F333" s="6"/>
      <c r="G333" s="6"/>
      <c r="H333" s="6"/>
      <c r="I333" s="6"/>
      <c r="J333" s="6" t="str">
        <f t="shared" si="4"/>
        <v>FAIL</v>
      </c>
      <c r="K333" s="7" t="str">
        <f t="shared" si="3"/>
        <v>FAIL</v>
      </c>
      <c r="L333" s="8"/>
    </row>
    <row r="334" ht="15.75" customHeight="1">
      <c r="A334" s="4" t="s">
        <v>404</v>
      </c>
      <c r="B334" s="5" t="s">
        <v>19</v>
      </c>
      <c r="C334" s="6"/>
      <c r="D334" s="6"/>
      <c r="E334" s="6"/>
      <c r="F334" s="6"/>
      <c r="G334" s="6"/>
      <c r="H334" s="6"/>
      <c r="I334" s="6"/>
      <c r="J334" s="6" t="str">
        <f t="shared" si="4"/>
        <v>FAIL</v>
      </c>
      <c r="K334" s="7" t="str">
        <f t="shared" si="3"/>
        <v>FAIL</v>
      </c>
      <c r="L334" s="8"/>
    </row>
    <row r="335" ht="15.75" customHeight="1">
      <c r="A335" s="4" t="s">
        <v>405</v>
      </c>
      <c r="B335" s="5" t="s">
        <v>13</v>
      </c>
      <c r="C335" s="5" t="s">
        <v>59</v>
      </c>
      <c r="D335" s="5" t="s">
        <v>16</v>
      </c>
      <c r="E335" s="5" t="s">
        <v>16</v>
      </c>
      <c r="F335" s="5">
        <v>1.0</v>
      </c>
      <c r="G335" s="5" t="s">
        <v>13</v>
      </c>
      <c r="H335" s="5" t="s">
        <v>21</v>
      </c>
      <c r="I335" s="5" t="s">
        <v>22</v>
      </c>
      <c r="J335" s="6" t="str">
        <f t="shared" si="4"/>
        <v>PASS</v>
      </c>
      <c r="K335" s="7" t="str">
        <f t="shared" si="3"/>
        <v>FAIL</v>
      </c>
      <c r="L335" s="8"/>
    </row>
    <row r="336" ht="15.75" customHeight="1">
      <c r="A336" s="4" t="s">
        <v>406</v>
      </c>
      <c r="B336" s="5" t="s">
        <v>19</v>
      </c>
      <c r="C336" s="6"/>
      <c r="D336" s="6"/>
      <c r="E336" s="6"/>
      <c r="F336" s="6"/>
      <c r="G336" s="6"/>
      <c r="H336" s="6"/>
      <c r="I336" s="6"/>
      <c r="J336" s="6" t="str">
        <f t="shared" si="4"/>
        <v>FAIL</v>
      </c>
      <c r="K336" s="7" t="str">
        <f t="shared" si="3"/>
        <v>FAIL</v>
      </c>
      <c r="L336" s="8"/>
    </row>
    <row r="337" ht="15.75" customHeight="1">
      <c r="A337" s="4" t="s">
        <v>407</v>
      </c>
      <c r="B337" s="5" t="s">
        <v>13</v>
      </c>
      <c r="C337" s="5" t="s">
        <v>14</v>
      </c>
      <c r="D337" s="5" t="s">
        <v>59</v>
      </c>
      <c r="E337" s="5" t="s">
        <v>15</v>
      </c>
      <c r="F337" s="5">
        <v>1.0</v>
      </c>
      <c r="G337" s="5" t="s">
        <v>13</v>
      </c>
      <c r="H337" s="5" t="s">
        <v>21</v>
      </c>
      <c r="I337" s="5" t="s">
        <v>17</v>
      </c>
      <c r="J337" s="6" t="str">
        <f t="shared" si="4"/>
        <v>PASS</v>
      </c>
      <c r="K337" s="7" t="str">
        <f t="shared" si="3"/>
        <v>FAIL</v>
      </c>
      <c r="L337" s="8"/>
    </row>
    <row r="338" ht="15.75" customHeight="1">
      <c r="A338" s="4" t="s">
        <v>408</v>
      </c>
      <c r="B338" s="5" t="s">
        <v>13</v>
      </c>
      <c r="C338" s="5" t="s">
        <v>59</v>
      </c>
      <c r="D338" s="5" t="s">
        <v>59</v>
      </c>
      <c r="E338" s="5" t="s">
        <v>16</v>
      </c>
      <c r="F338" s="5">
        <v>1.0</v>
      </c>
      <c r="G338" s="5" t="s">
        <v>13</v>
      </c>
      <c r="H338" s="5" t="s">
        <v>21</v>
      </c>
      <c r="I338" s="5" t="s">
        <v>17</v>
      </c>
      <c r="J338" s="6" t="str">
        <f t="shared" si="4"/>
        <v>PASS</v>
      </c>
      <c r="K338" s="7" t="str">
        <f t="shared" si="3"/>
        <v>FAIL</v>
      </c>
      <c r="L338" s="8"/>
    </row>
    <row r="339" ht="15.75" customHeight="1">
      <c r="A339" s="4" t="s">
        <v>409</v>
      </c>
      <c r="B339" s="5" t="s">
        <v>19</v>
      </c>
      <c r="C339" s="6"/>
      <c r="D339" s="6"/>
      <c r="E339" s="6"/>
      <c r="F339" s="6"/>
      <c r="G339" s="6"/>
      <c r="H339" s="6"/>
      <c r="I339" s="6"/>
      <c r="J339" s="6" t="str">
        <f t="shared" si="4"/>
        <v>FAIL</v>
      </c>
      <c r="K339" s="7" t="str">
        <f t="shared" si="3"/>
        <v>FAIL</v>
      </c>
      <c r="L339" s="8"/>
    </row>
    <row r="340" ht="15.75" customHeight="1">
      <c r="A340" s="4" t="s">
        <v>410</v>
      </c>
      <c r="B340" s="5" t="s">
        <v>19</v>
      </c>
      <c r="C340" s="6"/>
      <c r="D340" s="6"/>
      <c r="E340" s="6"/>
      <c r="F340" s="6"/>
      <c r="G340" s="6"/>
      <c r="H340" s="6"/>
      <c r="I340" s="6"/>
      <c r="J340" s="6" t="str">
        <f t="shared" si="4"/>
        <v>FAIL</v>
      </c>
      <c r="K340" s="7" t="str">
        <f t="shared" si="3"/>
        <v>FAIL</v>
      </c>
      <c r="L340" s="8"/>
    </row>
    <row r="341" ht="15.75" customHeight="1">
      <c r="A341" s="4" t="s">
        <v>411</v>
      </c>
      <c r="B341" s="5" t="s">
        <v>19</v>
      </c>
      <c r="C341" s="6"/>
      <c r="D341" s="6"/>
      <c r="E341" s="6"/>
      <c r="F341" s="6"/>
      <c r="G341" s="6"/>
      <c r="H341" s="6"/>
      <c r="I341" s="6"/>
      <c r="J341" s="6" t="str">
        <f t="shared" si="4"/>
        <v>FAIL</v>
      </c>
      <c r="K341" s="7" t="str">
        <f t="shared" si="3"/>
        <v>FAIL</v>
      </c>
      <c r="L341" s="8"/>
    </row>
    <row r="342" ht="15.75" customHeight="1">
      <c r="A342" s="4" t="s">
        <v>412</v>
      </c>
      <c r="B342" s="5" t="s">
        <v>19</v>
      </c>
      <c r="C342" s="6"/>
      <c r="D342" s="6"/>
      <c r="E342" s="6"/>
      <c r="F342" s="6"/>
      <c r="G342" s="6"/>
      <c r="H342" s="6"/>
      <c r="I342" s="6"/>
      <c r="J342" s="6" t="str">
        <f t="shared" si="4"/>
        <v>FAIL</v>
      </c>
      <c r="K342" s="7" t="str">
        <f t="shared" si="3"/>
        <v>FAIL</v>
      </c>
      <c r="L342" s="8"/>
    </row>
    <row r="343" ht="15.75" customHeight="1">
      <c r="A343" s="4" t="s">
        <v>413</v>
      </c>
      <c r="B343" s="5" t="s">
        <v>19</v>
      </c>
      <c r="C343" s="6"/>
      <c r="D343" s="6"/>
      <c r="E343" s="6"/>
      <c r="F343" s="6"/>
      <c r="G343" s="6"/>
      <c r="H343" s="6"/>
      <c r="I343" s="6"/>
      <c r="J343" s="6" t="str">
        <f t="shared" si="4"/>
        <v>FAIL</v>
      </c>
      <c r="K343" s="7" t="str">
        <f t="shared" si="3"/>
        <v>FAIL</v>
      </c>
      <c r="L343" s="8"/>
    </row>
    <row r="344" ht="15.75" customHeight="1">
      <c r="A344" s="4" t="s">
        <v>414</v>
      </c>
      <c r="B344" s="5" t="s">
        <v>19</v>
      </c>
      <c r="C344" s="6"/>
      <c r="D344" s="6"/>
      <c r="E344" s="6"/>
      <c r="F344" s="6"/>
      <c r="G344" s="6"/>
      <c r="H344" s="6"/>
      <c r="I344" s="6"/>
      <c r="J344" s="6" t="str">
        <f t="shared" si="4"/>
        <v>FAIL</v>
      </c>
      <c r="K344" s="7" t="str">
        <f t="shared" si="3"/>
        <v>FAIL</v>
      </c>
      <c r="L344" s="8"/>
    </row>
    <row r="345" ht="15.75" customHeight="1">
      <c r="A345" s="4" t="s">
        <v>415</v>
      </c>
      <c r="B345" s="5" t="s">
        <v>19</v>
      </c>
      <c r="C345" s="6"/>
      <c r="D345" s="6"/>
      <c r="E345" s="6"/>
      <c r="F345" s="6"/>
      <c r="G345" s="6"/>
      <c r="H345" s="6"/>
      <c r="I345" s="6"/>
      <c r="J345" s="6" t="str">
        <f t="shared" si="4"/>
        <v>FAIL</v>
      </c>
      <c r="K345" s="7" t="str">
        <f t="shared" si="3"/>
        <v>FAIL</v>
      </c>
      <c r="L345" s="8"/>
    </row>
    <row r="346" ht="15.75" customHeight="1">
      <c r="A346" s="4" t="s">
        <v>416</v>
      </c>
      <c r="B346" s="5" t="s">
        <v>19</v>
      </c>
      <c r="C346" s="6"/>
      <c r="D346" s="6"/>
      <c r="E346" s="6"/>
      <c r="F346" s="6"/>
      <c r="G346" s="6"/>
      <c r="H346" s="6"/>
      <c r="I346" s="6"/>
      <c r="J346" s="6" t="str">
        <f t="shared" si="4"/>
        <v>FAIL</v>
      </c>
      <c r="K346" s="7" t="str">
        <f t="shared" si="3"/>
        <v>FAIL</v>
      </c>
      <c r="L346" s="8"/>
    </row>
    <row r="347" ht="15.75" customHeight="1">
      <c r="A347" s="4" t="s">
        <v>417</v>
      </c>
      <c r="B347" s="5" t="s">
        <v>19</v>
      </c>
      <c r="C347" s="6"/>
      <c r="D347" s="6"/>
      <c r="E347" s="6"/>
      <c r="F347" s="6"/>
      <c r="G347" s="6"/>
      <c r="H347" s="6"/>
      <c r="I347" s="6"/>
      <c r="J347" s="6" t="str">
        <f t="shared" si="4"/>
        <v>FAIL</v>
      </c>
      <c r="K347" s="7" t="str">
        <f t="shared" si="3"/>
        <v>FAIL</v>
      </c>
      <c r="L347" s="8"/>
    </row>
    <row r="348" ht="15.75" customHeight="1">
      <c r="A348" s="4" t="s">
        <v>418</v>
      </c>
      <c r="B348" s="5" t="s">
        <v>19</v>
      </c>
      <c r="C348" s="6"/>
      <c r="D348" s="6"/>
      <c r="E348" s="6"/>
      <c r="F348" s="6"/>
      <c r="G348" s="6"/>
      <c r="H348" s="6"/>
      <c r="I348" s="6"/>
      <c r="J348" s="6" t="str">
        <f t="shared" si="4"/>
        <v>FAIL</v>
      </c>
      <c r="K348" s="7" t="str">
        <f t="shared" si="3"/>
        <v>FAIL</v>
      </c>
      <c r="L348" s="8"/>
    </row>
    <row r="349" ht="15.75" customHeight="1">
      <c r="A349" s="4" t="s">
        <v>419</v>
      </c>
      <c r="B349" s="5" t="s">
        <v>19</v>
      </c>
      <c r="C349" s="6"/>
      <c r="D349" s="6"/>
      <c r="E349" s="6"/>
      <c r="F349" s="6"/>
      <c r="G349" s="6"/>
      <c r="H349" s="6"/>
      <c r="I349" s="6"/>
      <c r="J349" s="6" t="str">
        <f t="shared" si="4"/>
        <v>FAIL</v>
      </c>
      <c r="K349" s="7" t="str">
        <f t="shared" si="3"/>
        <v>FAIL</v>
      </c>
      <c r="L349" s="8"/>
    </row>
    <row r="350" ht="15.75" customHeight="1">
      <c r="A350" s="4" t="s">
        <v>420</v>
      </c>
      <c r="B350" s="5" t="s">
        <v>13</v>
      </c>
      <c r="C350" s="5" t="s">
        <v>14</v>
      </c>
      <c r="D350" s="5" t="s">
        <v>59</v>
      </c>
      <c r="E350" s="5" t="s">
        <v>16</v>
      </c>
      <c r="F350" s="5">
        <v>2.0</v>
      </c>
      <c r="G350" s="5" t="s">
        <v>13</v>
      </c>
      <c r="H350" s="5" t="s">
        <v>16</v>
      </c>
      <c r="I350" s="5" t="s">
        <v>17</v>
      </c>
      <c r="J350" s="6" t="str">
        <f t="shared" si="4"/>
        <v>PASS</v>
      </c>
      <c r="K350" s="7" t="str">
        <f t="shared" si="3"/>
        <v>FAIL</v>
      </c>
      <c r="L350" s="8"/>
    </row>
    <row r="351" ht="15.75" customHeight="1">
      <c r="A351" s="4" t="s">
        <v>421</v>
      </c>
      <c r="B351" s="5" t="s">
        <v>13</v>
      </c>
      <c r="C351" s="5" t="s">
        <v>14</v>
      </c>
      <c r="D351" s="5" t="s">
        <v>59</v>
      </c>
      <c r="E351" s="5" t="s">
        <v>16</v>
      </c>
      <c r="F351" s="5">
        <v>1.0</v>
      </c>
      <c r="G351" s="5" t="s">
        <v>13</v>
      </c>
      <c r="H351" s="5" t="s">
        <v>16</v>
      </c>
      <c r="I351" s="5" t="s">
        <v>22</v>
      </c>
      <c r="J351" s="6" t="str">
        <f t="shared" si="4"/>
        <v>PASS</v>
      </c>
      <c r="K351" s="7" t="str">
        <f t="shared" si="3"/>
        <v>FAIL</v>
      </c>
      <c r="L351" s="8"/>
    </row>
    <row r="352" ht="15.75" customHeight="1">
      <c r="A352" s="4" t="s">
        <v>422</v>
      </c>
      <c r="B352" s="5" t="s">
        <v>13</v>
      </c>
      <c r="C352" s="5" t="s">
        <v>14</v>
      </c>
      <c r="D352" s="5" t="s">
        <v>59</v>
      </c>
      <c r="E352" s="5" t="s">
        <v>16</v>
      </c>
      <c r="F352" s="5">
        <v>1.0</v>
      </c>
      <c r="G352" s="5" t="s">
        <v>13</v>
      </c>
      <c r="H352" s="5" t="s">
        <v>21</v>
      </c>
      <c r="I352" s="5" t="s">
        <v>17</v>
      </c>
      <c r="J352" s="6" t="str">
        <f t="shared" si="4"/>
        <v>PASS</v>
      </c>
      <c r="K352" s="7" t="str">
        <f t="shared" si="3"/>
        <v>FAIL</v>
      </c>
      <c r="L352" s="9" t="s">
        <v>423</v>
      </c>
    </row>
    <row r="353" ht="15.75" customHeight="1">
      <c r="A353" s="4" t="s">
        <v>424</v>
      </c>
      <c r="B353" s="5" t="s">
        <v>19</v>
      </c>
      <c r="C353" s="6"/>
      <c r="D353" s="6"/>
      <c r="E353" s="6"/>
      <c r="F353" s="6"/>
      <c r="G353" s="6"/>
      <c r="H353" s="6"/>
      <c r="I353" s="6"/>
      <c r="J353" s="6" t="str">
        <f t="shared" si="4"/>
        <v>FAIL</v>
      </c>
      <c r="K353" s="7" t="str">
        <f t="shared" si="3"/>
        <v>FAIL</v>
      </c>
      <c r="L353" s="8"/>
    </row>
    <row r="354" ht="15.75" customHeight="1">
      <c r="A354" s="4" t="s">
        <v>425</v>
      </c>
      <c r="B354" s="5" t="s">
        <v>19</v>
      </c>
      <c r="C354" s="6"/>
      <c r="D354" s="6"/>
      <c r="E354" s="6"/>
      <c r="F354" s="6"/>
      <c r="G354" s="6"/>
      <c r="H354" s="6"/>
      <c r="I354" s="6"/>
      <c r="J354" s="6" t="str">
        <f t="shared" si="4"/>
        <v>FAIL</v>
      </c>
      <c r="K354" s="7" t="str">
        <f t="shared" si="3"/>
        <v>FAIL</v>
      </c>
      <c r="L354" s="8"/>
    </row>
    <row r="355" ht="15.75" customHeight="1">
      <c r="A355" s="4" t="s">
        <v>426</v>
      </c>
      <c r="B355" s="5" t="s">
        <v>19</v>
      </c>
      <c r="C355" s="6"/>
      <c r="D355" s="6"/>
      <c r="E355" s="6"/>
      <c r="F355" s="6"/>
      <c r="G355" s="6"/>
      <c r="H355" s="6"/>
      <c r="I355" s="6"/>
      <c r="J355" s="6" t="str">
        <f t="shared" si="4"/>
        <v>FAIL</v>
      </c>
      <c r="K355" s="7" t="str">
        <f t="shared" si="3"/>
        <v>FAIL</v>
      </c>
      <c r="L355" s="8"/>
    </row>
    <row r="356" ht="15.75" customHeight="1">
      <c r="A356" s="4" t="s">
        <v>427</v>
      </c>
      <c r="B356" s="5" t="s">
        <v>19</v>
      </c>
      <c r="C356" s="6"/>
      <c r="D356" s="6"/>
      <c r="E356" s="6"/>
      <c r="F356" s="6"/>
      <c r="G356" s="6"/>
      <c r="H356" s="6"/>
      <c r="I356" s="6"/>
      <c r="J356" s="6" t="str">
        <f t="shared" si="4"/>
        <v>FAIL</v>
      </c>
      <c r="K356" s="7" t="str">
        <f t="shared" si="3"/>
        <v>FAIL</v>
      </c>
      <c r="L356" s="8"/>
    </row>
    <row r="357" ht="15.75" customHeight="1">
      <c r="A357" s="4" t="s">
        <v>428</v>
      </c>
      <c r="B357" s="6"/>
      <c r="C357" s="6"/>
      <c r="D357" s="6"/>
      <c r="E357" s="6"/>
      <c r="F357" s="6"/>
      <c r="G357" s="6"/>
      <c r="H357" s="6"/>
      <c r="I357" s="6"/>
      <c r="J357" s="6" t="str">
        <f t="shared" si="4"/>
        <v/>
      </c>
      <c r="K357" s="7" t="str">
        <f t="shared" si="3"/>
        <v>FAIL</v>
      </c>
      <c r="L357" s="8"/>
    </row>
    <row r="358" ht="15.75" customHeight="1">
      <c r="A358" s="4" t="s">
        <v>429</v>
      </c>
      <c r="B358" s="5" t="s">
        <v>19</v>
      </c>
      <c r="C358" s="6"/>
      <c r="D358" s="6"/>
      <c r="E358" s="6"/>
      <c r="F358" s="6"/>
      <c r="G358" s="6"/>
      <c r="H358" s="6"/>
      <c r="I358" s="6"/>
      <c r="J358" s="6" t="str">
        <f t="shared" si="4"/>
        <v>FAIL</v>
      </c>
      <c r="K358" s="7" t="str">
        <f t="shared" si="3"/>
        <v>FAIL</v>
      </c>
      <c r="L358" s="8"/>
    </row>
    <row r="359" ht="15.75" customHeight="1">
      <c r="A359" s="4" t="s">
        <v>430</v>
      </c>
      <c r="B359" s="5" t="s">
        <v>13</v>
      </c>
      <c r="C359" s="5" t="s">
        <v>15</v>
      </c>
      <c r="D359" s="5" t="s">
        <v>15</v>
      </c>
      <c r="E359" s="5" t="s">
        <v>14</v>
      </c>
      <c r="F359" s="5">
        <v>2.0</v>
      </c>
      <c r="G359" s="5" t="s">
        <v>13</v>
      </c>
      <c r="H359" s="5" t="s">
        <v>16</v>
      </c>
      <c r="I359" s="5" t="s">
        <v>17</v>
      </c>
      <c r="J359" s="6" t="str">
        <f t="shared" si="4"/>
        <v>FAIL</v>
      </c>
      <c r="K359" s="7" t="str">
        <f t="shared" si="3"/>
        <v>FAIL</v>
      </c>
      <c r="L359" s="8"/>
    </row>
    <row r="360" ht="15.75" customHeight="1">
      <c r="A360" s="4" t="s">
        <v>431</v>
      </c>
      <c r="B360" s="6"/>
      <c r="C360" s="6"/>
      <c r="D360" s="6"/>
      <c r="E360" s="6"/>
      <c r="F360" s="6"/>
      <c r="G360" s="6"/>
      <c r="H360" s="6"/>
      <c r="I360" s="6"/>
      <c r="J360" s="6" t="str">
        <f t="shared" si="4"/>
        <v/>
      </c>
      <c r="K360" s="7" t="str">
        <f t="shared" si="3"/>
        <v>FAIL</v>
      </c>
      <c r="L360" s="8"/>
    </row>
    <row r="361" ht="15.75" customHeight="1">
      <c r="A361" s="4" t="s">
        <v>432</v>
      </c>
      <c r="B361" s="6"/>
      <c r="C361" s="6"/>
      <c r="D361" s="6"/>
      <c r="E361" s="6"/>
      <c r="F361" s="6"/>
      <c r="G361" s="6"/>
      <c r="H361" s="6"/>
      <c r="I361" s="6"/>
      <c r="J361" s="6" t="str">
        <f t="shared" si="4"/>
        <v/>
      </c>
      <c r="K361" s="7" t="str">
        <f t="shared" si="3"/>
        <v>FAIL</v>
      </c>
      <c r="L361" s="8"/>
    </row>
    <row r="362" ht="15.75" customHeight="1">
      <c r="A362" s="4" t="s">
        <v>433</v>
      </c>
      <c r="B362" s="5" t="s">
        <v>19</v>
      </c>
      <c r="C362" s="6"/>
      <c r="D362" s="6"/>
      <c r="E362" s="6"/>
      <c r="F362" s="6"/>
      <c r="G362" s="6"/>
      <c r="H362" s="6"/>
      <c r="I362" s="6"/>
      <c r="J362" s="6" t="str">
        <f t="shared" si="4"/>
        <v>FAIL</v>
      </c>
      <c r="K362" s="7" t="str">
        <f t="shared" si="3"/>
        <v>FAIL</v>
      </c>
      <c r="L362" s="8"/>
    </row>
    <row r="363" ht="15.75" customHeight="1">
      <c r="A363" s="4" t="s">
        <v>434</v>
      </c>
      <c r="B363" s="5" t="s">
        <v>19</v>
      </c>
      <c r="C363" s="6"/>
      <c r="D363" s="6"/>
      <c r="E363" s="6"/>
      <c r="F363" s="6"/>
      <c r="G363" s="6"/>
      <c r="H363" s="6"/>
      <c r="I363" s="6"/>
      <c r="J363" s="6" t="str">
        <f t="shared" si="4"/>
        <v>FAIL</v>
      </c>
      <c r="K363" s="7" t="str">
        <f t="shared" si="3"/>
        <v>FAIL</v>
      </c>
      <c r="L363" s="8"/>
    </row>
    <row r="364" ht="15.75" customHeight="1">
      <c r="A364" s="4" t="s">
        <v>435</v>
      </c>
      <c r="B364" s="5" t="s">
        <v>19</v>
      </c>
      <c r="C364" s="6"/>
      <c r="D364" s="6"/>
      <c r="E364" s="6"/>
      <c r="F364" s="6"/>
      <c r="G364" s="6"/>
      <c r="H364" s="6"/>
      <c r="I364" s="6"/>
      <c r="J364" s="6" t="str">
        <f t="shared" si="4"/>
        <v>FAIL</v>
      </c>
      <c r="K364" s="7" t="str">
        <f t="shared" si="3"/>
        <v>FAIL</v>
      </c>
      <c r="L364" s="8"/>
    </row>
    <row r="365" ht="15.75" customHeight="1">
      <c r="A365" s="4" t="s">
        <v>436</v>
      </c>
      <c r="B365" s="5" t="s">
        <v>19</v>
      </c>
      <c r="C365" s="6"/>
      <c r="D365" s="6"/>
      <c r="E365" s="6"/>
      <c r="F365" s="6"/>
      <c r="G365" s="6"/>
      <c r="H365" s="6"/>
      <c r="I365" s="6"/>
      <c r="J365" s="6" t="str">
        <f t="shared" si="4"/>
        <v>FAIL</v>
      </c>
      <c r="K365" s="7" t="str">
        <f t="shared" si="3"/>
        <v>FAIL</v>
      </c>
      <c r="L365" s="8"/>
    </row>
    <row r="366" ht="15.75" customHeight="1">
      <c r="A366" s="4" t="s">
        <v>437</v>
      </c>
      <c r="B366" s="6"/>
      <c r="C366" s="6"/>
      <c r="D366" s="6"/>
      <c r="E366" s="6"/>
      <c r="F366" s="6"/>
      <c r="G366" s="6"/>
      <c r="H366" s="6"/>
      <c r="I366" s="6"/>
      <c r="J366" s="6" t="str">
        <f t="shared" si="4"/>
        <v/>
      </c>
      <c r="K366" s="7" t="str">
        <f t="shared" si="3"/>
        <v>FAIL</v>
      </c>
      <c r="L366" s="8"/>
    </row>
    <row r="367" ht="15.75" customHeight="1">
      <c r="A367" s="4" t="s">
        <v>438</v>
      </c>
      <c r="B367" s="5" t="s">
        <v>19</v>
      </c>
      <c r="C367" s="6"/>
      <c r="D367" s="6"/>
      <c r="E367" s="6"/>
      <c r="F367" s="6"/>
      <c r="G367" s="6"/>
      <c r="H367" s="6"/>
      <c r="I367" s="6"/>
      <c r="J367" s="6" t="str">
        <f t="shared" si="4"/>
        <v>FAIL</v>
      </c>
      <c r="K367" s="7" t="str">
        <f t="shared" si="3"/>
        <v>FAIL</v>
      </c>
      <c r="L367" s="8"/>
    </row>
    <row r="368" ht="15.75" customHeight="1">
      <c r="A368" s="4" t="s">
        <v>439</v>
      </c>
      <c r="B368" s="5" t="s">
        <v>19</v>
      </c>
      <c r="C368" s="6"/>
      <c r="D368" s="6"/>
      <c r="E368" s="6"/>
      <c r="F368" s="6"/>
      <c r="G368" s="6"/>
      <c r="H368" s="6"/>
      <c r="I368" s="6"/>
      <c r="J368" s="6" t="str">
        <f t="shared" si="4"/>
        <v>FAIL</v>
      </c>
      <c r="K368" s="7" t="str">
        <f t="shared" si="3"/>
        <v>FAIL</v>
      </c>
      <c r="L368" s="8"/>
    </row>
    <row r="369" ht="15.75" customHeight="1">
      <c r="A369" s="4" t="s">
        <v>440</v>
      </c>
      <c r="B369" s="5" t="s">
        <v>19</v>
      </c>
      <c r="C369" s="6"/>
      <c r="D369" s="6"/>
      <c r="E369" s="6"/>
      <c r="F369" s="6"/>
      <c r="G369" s="6"/>
      <c r="H369" s="6"/>
      <c r="I369" s="6"/>
      <c r="J369" s="6" t="str">
        <f t="shared" si="4"/>
        <v>FAIL</v>
      </c>
      <c r="K369" s="7" t="str">
        <f t="shared" si="3"/>
        <v>FAIL</v>
      </c>
      <c r="L369" s="8"/>
    </row>
    <row r="370" ht="15.75" customHeight="1">
      <c r="A370" s="4" t="s">
        <v>441</v>
      </c>
      <c r="B370" s="6"/>
      <c r="C370" s="6"/>
      <c r="D370" s="6"/>
      <c r="E370" s="6"/>
      <c r="F370" s="6"/>
      <c r="G370" s="6"/>
      <c r="H370" s="6"/>
      <c r="I370" s="6"/>
      <c r="J370" s="6" t="str">
        <f t="shared" si="4"/>
        <v/>
      </c>
      <c r="K370" s="7" t="str">
        <f t="shared" si="3"/>
        <v>FAIL</v>
      </c>
      <c r="L370" s="8"/>
    </row>
    <row r="371" ht="15.75" customHeight="1">
      <c r="A371" s="4" t="s">
        <v>442</v>
      </c>
      <c r="B371" s="6"/>
      <c r="C371" s="6"/>
      <c r="D371" s="6"/>
      <c r="E371" s="6"/>
      <c r="F371" s="6"/>
      <c r="G371" s="6"/>
      <c r="H371" s="6"/>
      <c r="I371" s="6"/>
      <c r="J371" s="6" t="str">
        <f t="shared" si="4"/>
        <v/>
      </c>
      <c r="K371" s="7" t="str">
        <f t="shared" si="3"/>
        <v>FAIL</v>
      </c>
      <c r="L371" s="8"/>
    </row>
    <row r="372" ht="15.75" customHeight="1">
      <c r="A372" s="4" t="s">
        <v>443</v>
      </c>
      <c r="B372" s="6"/>
      <c r="C372" s="6"/>
      <c r="D372" s="6"/>
      <c r="E372" s="6"/>
      <c r="F372" s="6"/>
      <c r="G372" s="6"/>
      <c r="H372" s="6"/>
      <c r="I372" s="6"/>
      <c r="J372" s="6" t="str">
        <f t="shared" si="4"/>
        <v/>
      </c>
      <c r="K372" s="7" t="str">
        <f t="shared" si="3"/>
        <v>FAIL</v>
      </c>
      <c r="L372" s="8"/>
    </row>
    <row r="373" ht="15.75" customHeight="1">
      <c r="A373" s="4" t="s">
        <v>444</v>
      </c>
      <c r="B373" s="5" t="s">
        <v>19</v>
      </c>
      <c r="C373" s="6"/>
      <c r="D373" s="6"/>
      <c r="E373" s="6"/>
      <c r="F373" s="6"/>
      <c r="G373" s="6"/>
      <c r="H373" s="6"/>
      <c r="I373" s="6"/>
      <c r="J373" s="6" t="str">
        <f t="shared" si="4"/>
        <v>FAIL</v>
      </c>
      <c r="K373" s="7" t="str">
        <f t="shared" si="3"/>
        <v>FAIL</v>
      </c>
      <c r="L373" s="8"/>
    </row>
    <row r="374" ht="15.75" customHeight="1">
      <c r="A374" s="4" t="s">
        <v>445</v>
      </c>
      <c r="B374" s="5" t="s">
        <v>19</v>
      </c>
      <c r="C374" s="6"/>
      <c r="D374" s="6"/>
      <c r="E374" s="6"/>
      <c r="F374" s="6"/>
      <c r="G374" s="6"/>
      <c r="H374" s="6"/>
      <c r="I374" s="6"/>
      <c r="J374" s="6" t="str">
        <f t="shared" si="4"/>
        <v>FAIL</v>
      </c>
      <c r="K374" s="7" t="str">
        <f t="shared" si="3"/>
        <v>FAIL</v>
      </c>
      <c r="L374" s="8"/>
    </row>
    <row r="375" ht="15.75" customHeight="1">
      <c r="A375" s="4" t="s">
        <v>446</v>
      </c>
      <c r="B375" s="5" t="s">
        <v>19</v>
      </c>
      <c r="C375" s="6"/>
      <c r="D375" s="6"/>
      <c r="E375" s="6"/>
      <c r="F375" s="6"/>
      <c r="G375" s="6"/>
      <c r="H375" s="6"/>
      <c r="I375" s="6"/>
      <c r="J375" s="6" t="str">
        <f t="shared" si="4"/>
        <v>FAIL</v>
      </c>
      <c r="K375" s="7" t="str">
        <f t="shared" si="3"/>
        <v>FAIL</v>
      </c>
      <c r="L375" s="8"/>
    </row>
    <row r="376" ht="15.75" customHeight="1">
      <c r="A376" s="4" t="s">
        <v>447</v>
      </c>
      <c r="B376" s="6"/>
      <c r="C376" s="6"/>
      <c r="D376" s="6"/>
      <c r="E376" s="6"/>
      <c r="F376" s="6"/>
      <c r="G376" s="6"/>
      <c r="H376" s="6"/>
      <c r="I376" s="6"/>
      <c r="J376" s="6" t="str">
        <f t="shared" si="4"/>
        <v/>
      </c>
      <c r="K376" s="7" t="str">
        <f t="shared" si="3"/>
        <v>FAIL</v>
      </c>
      <c r="L376" s="8"/>
    </row>
    <row r="377" ht="15.75" customHeight="1">
      <c r="A377" s="4" t="s">
        <v>448</v>
      </c>
      <c r="B377" s="5" t="s">
        <v>19</v>
      </c>
      <c r="C377" s="6"/>
      <c r="D377" s="6"/>
      <c r="E377" s="6"/>
      <c r="F377" s="6"/>
      <c r="G377" s="6"/>
      <c r="H377" s="6"/>
      <c r="I377" s="6"/>
      <c r="J377" s="6" t="str">
        <f t="shared" si="4"/>
        <v>FAIL</v>
      </c>
      <c r="K377" s="7" t="str">
        <f t="shared" si="3"/>
        <v>FAIL</v>
      </c>
      <c r="L377" s="8"/>
    </row>
    <row r="378" ht="15.75" customHeight="1">
      <c r="A378" s="4" t="s">
        <v>449</v>
      </c>
      <c r="B378" s="5" t="s">
        <v>19</v>
      </c>
      <c r="C378" s="6"/>
      <c r="D378" s="6"/>
      <c r="E378" s="6"/>
      <c r="F378" s="6"/>
      <c r="G378" s="6"/>
      <c r="H378" s="6"/>
      <c r="I378" s="6"/>
      <c r="J378" s="6" t="str">
        <f t="shared" si="4"/>
        <v>FAIL</v>
      </c>
      <c r="K378" s="7" t="str">
        <f t="shared" si="3"/>
        <v>FAIL</v>
      </c>
      <c r="L378" s="8"/>
    </row>
    <row r="379" ht="15.75" customHeight="1">
      <c r="A379" s="4" t="s">
        <v>450</v>
      </c>
      <c r="B379" s="6"/>
      <c r="C379" s="6"/>
      <c r="D379" s="6"/>
      <c r="E379" s="6"/>
      <c r="F379" s="6"/>
      <c r="G379" s="6"/>
      <c r="H379" s="6"/>
      <c r="I379" s="6"/>
      <c r="J379" s="6" t="str">
        <f t="shared" si="4"/>
        <v/>
      </c>
      <c r="K379" s="7" t="str">
        <f t="shared" si="3"/>
        <v>FAIL</v>
      </c>
      <c r="L379" s="8"/>
    </row>
    <row r="380" ht="15.75" customHeight="1">
      <c r="A380" s="4" t="s">
        <v>451</v>
      </c>
      <c r="B380" s="6"/>
      <c r="C380" s="6"/>
      <c r="D380" s="6"/>
      <c r="E380" s="6"/>
      <c r="F380" s="6"/>
      <c r="G380" s="6"/>
      <c r="H380" s="6"/>
      <c r="I380" s="6"/>
      <c r="J380" s="6" t="str">
        <f t="shared" si="4"/>
        <v/>
      </c>
      <c r="K380" s="7" t="str">
        <f t="shared" si="3"/>
        <v>FAIL</v>
      </c>
      <c r="L380" s="8"/>
    </row>
    <row r="381" ht="15.75" customHeight="1">
      <c r="A381" s="4" t="s">
        <v>452</v>
      </c>
      <c r="B381" s="6"/>
      <c r="C381" s="6"/>
      <c r="D381" s="6"/>
      <c r="E381" s="6"/>
      <c r="F381" s="6"/>
      <c r="G381" s="6"/>
      <c r="H381" s="6"/>
      <c r="I381" s="6"/>
      <c r="J381" s="6" t="str">
        <f t="shared" si="4"/>
        <v/>
      </c>
      <c r="K381" s="7" t="str">
        <f t="shared" si="3"/>
        <v>FAIL</v>
      </c>
      <c r="L381" s="8"/>
    </row>
    <row r="382" ht="15.75" customHeight="1">
      <c r="A382" s="4" t="s">
        <v>453</v>
      </c>
      <c r="B382" s="6"/>
      <c r="C382" s="6"/>
      <c r="D382" s="6"/>
      <c r="E382" s="6"/>
      <c r="F382" s="6"/>
      <c r="G382" s="6"/>
      <c r="H382" s="6"/>
      <c r="I382" s="6"/>
      <c r="J382" s="6" t="str">
        <f t="shared" si="4"/>
        <v/>
      </c>
      <c r="K382" s="7" t="str">
        <f t="shared" si="3"/>
        <v>FAIL</v>
      </c>
      <c r="L382" s="8"/>
    </row>
    <row r="383" ht="15.75" customHeight="1">
      <c r="A383" s="4" t="s">
        <v>454</v>
      </c>
      <c r="B383" s="5" t="s">
        <v>19</v>
      </c>
      <c r="C383" s="6"/>
      <c r="D383" s="6"/>
      <c r="E383" s="6"/>
      <c r="F383" s="6"/>
      <c r="G383" s="6"/>
      <c r="H383" s="6"/>
      <c r="I383" s="6"/>
      <c r="J383" s="6" t="str">
        <f t="shared" si="4"/>
        <v>FAIL</v>
      </c>
      <c r="K383" s="7" t="str">
        <f t="shared" si="3"/>
        <v>FAIL</v>
      </c>
      <c r="L383" s="8"/>
    </row>
    <row r="384" ht="15.75" customHeight="1">
      <c r="A384" s="4" t="s">
        <v>455</v>
      </c>
      <c r="B384" s="6"/>
      <c r="C384" s="6"/>
      <c r="D384" s="6"/>
      <c r="E384" s="6"/>
      <c r="F384" s="6"/>
      <c r="G384" s="6"/>
      <c r="H384" s="6"/>
      <c r="I384" s="6"/>
      <c r="J384" s="6" t="str">
        <f t="shared" si="4"/>
        <v/>
      </c>
      <c r="K384" s="7" t="str">
        <f t="shared" si="3"/>
        <v>FAIL</v>
      </c>
      <c r="L384" s="8"/>
    </row>
    <row r="385" ht="15.75" customHeight="1">
      <c r="A385" s="4" t="s">
        <v>456</v>
      </c>
      <c r="B385" s="6"/>
      <c r="C385" s="6"/>
      <c r="D385" s="6"/>
      <c r="E385" s="6"/>
      <c r="F385" s="6"/>
      <c r="G385" s="6"/>
      <c r="H385" s="6"/>
      <c r="I385" s="6"/>
      <c r="J385" s="6" t="str">
        <f t="shared" si="4"/>
        <v/>
      </c>
      <c r="K385" s="7" t="str">
        <f t="shared" si="3"/>
        <v>FAIL</v>
      </c>
      <c r="L385" s="8"/>
    </row>
    <row r="386" ht="15.75" customHeight="1">
      <c r="A386" s="4" t="s">
        <v>457</v>
      </c>
      <c r="B386" s="5" t="s">
        <v>19</v>
      </c>
      <c r="C386" s="6"/>
      <c r="D386" s="6"/>
      <c r="E386" s="6"/>
      <c r="F386" s="6"/>
      <c r="G386" s="6"/>
      <c r="H386" s="6"/>
      <c r="I386" s="6"/>
      <c r="J386" s="6" t="str">
        <f t="shared" si="4"/>
        <v>FAIL</v>
      </c>
      <c r="K386" s="7" t="str">
        <f t="shared" si="3"/>
        <v>FAIL</v>
      </c>
      <c r="L386" s="8"/>
    </row>
    <row r="387" ht="15.75" customHeight="1">
      <c r="A387" s="4" t="s">
        <v>458</v>
      </c>
      <c r="B387" s="5" t="s">
        <v>19</v>
      </c>
      <c r="C387" s="6"/>
      <c r="D387" s="6"/>
      <c r="E387" s="6"/>
      <c r="F387" s="6"/>
      <c r="G387" s="6"/>
      <c r="H387" s="6"/>
      <c r="I387" s="6"/>
      <c r="J387" s="6" t="str">
        <f t="shared" si="4"/>
        <v>FAIL</v>
      </c>
      <c r="K387" s="7" t="str">
        <f t="shared" si="3"/>
        <v>FAIL</v>
      </c>
      <c r="L387" s="8"/>
    </row>
    <row r="388" ht="15.75" customHeight="1">
      <c r="A388" s="4" t="s">
        <v>459</v>
      </c>
      <c r="B388" s="5" t="s">
        <v>13</v>
      </c>
      <c r="C388" s="5" t="s">
        <v>14</v>
      </c>
      <c r="D388" s="5" t="s">
        <v>59</v>
      </c>
      <c r="E388" s="5" t="s">
        <v>16</v>
      </c>
      <c r="F388" s="5">
        <v>1.0</v>
      </c>
      <c r="G388" s="5" t="s">
        <v>13</v>
      </c>
      <c r="H388" s="5" t="s">
        <v>21</v>
      </c>
      <c r="I388" s="5" t="s">
        <v>17</v>
      </c>
      <c r="J388" s="6" t="str">
        <f t="shared" si="4"/>
        <v>PASS</v>
      </c>
      <c r="K388" s="7" t="str">
        <f t="shared" si="3"/>
        <v>FAIL</v>
      </c>
      <c r="L388" s="8"/>
    </row>
    <row r="389" ht="15.75" customHeight="1">
      <c r="A389" s="4" t="s">
        <v>460</v>
      </c>
      <c r="B389" s="5" t="s">
        <v>19</v>
      </c>
      <c r="C389" s="6"/>
      <c r="D389" s="6"/>
      <c r="E389" s="6"/>
      <c r="F389" s="6"/>
      <c r="G389" s="6"/>
      <c r="H389" s="6"/>
      <c r="I389" s="6"/>
      <c r="J389" s="6" t="str">
        <f t="shared" si="4"/>
        <v>FAIL</v>
      </c>
      <c r="K389" s="7" t="str">
        <f t="shared" si="3"/>
        <v>FAIL</v>
      </c>
      <c r="L389" s="8"/>
    </row>
    <row r="390" ht="15.75" customHeight="1">
      <c r="A390" s="4" t="s">
        <v>461</v>
      </c>
      <c r="B390" s="5" t="s">
        <v>19</v>
      </c>
      <c r="C390" s="6"/>
      <c r="D390" s="6"/>
      <c r="E390" s="6"/>
      <c r="F390" s="6"/>
      <c r="G390" s="6"/>
      <c r="H390" s="6"/>
      <c r="I390" s="6"/>
      <c r="J390" s="6" t="str">
        <f t="shared" si="4"/>
        <v>FAIL</v>
      </c>
      <c r="K390" s="7" t="str">
        <f t="shared" si="3"/>
        <v>FAIL</v>
      </c>
      <c r="L390" s="8"/>
    </row>
    <row r="391" ht="15.75" customHeight="1">
      <c r="A391" s="4" t="s">
        <v>462</v>
      </c>
      <c r="B391" s="6"/>
      <c r="C391" s="6"/>
      <c r="D391" s="6"/>
      <c r="E391" s="6"/>
      <c r="F391" s="6"/>
      <c r="G391" s="6"/>
      <c r="H391" s="6"/>
      <c r="I391" s="6"/>
      <c r="J391" s="6" t="str">
        <f t="shared" si="4"/>
        <v/>
      </c>
      <c r="K391" s="7" t="str">
        <f t="shared" si="3"/>
        <v>FAIL</v>
      </c>
      <c r="L391" s="8"/>
    </row>
    <row r="392" ht="15.75" customHeight="1">
      <c r="A392" s="4" t="s">
        <v>463</v>
      </c>
      <c r="B392" s="6"/>
      <c r="C392" s="6"/>
      <c r="D392" s="6"/>
      <c r="E392" s="6"/>
      <c r="F392" s="6"/>
      <c r="G392" s="6"/>
      <c r="H392" s="6"/>
      <c r="I392" s="6"/>
      <c r="J392" s="6" t="str">
        <f t="shared" si="4"/>
        <v/>
      </c>
      <c r="K392" s="7" t="str">
        <f t="shared" si="3"/>
        <v>FAIL</v>
      </c>
      <c r="L392" s="8"/>
    </row>
    <row r="393" ht="15.75" customHeight="1">
      <c r="A393" s="4" t="s">
        <v>464</v>
      </c>
      <c r="B393" s="5" t="s">
        <v>19</v>
      </c>
      <c r="C393" s="6"/>
      <c r="D393" s="6"/>
      <c r="E393" s="6"/>
      <c r="F393" s="6"/>
      <c r="G393" s="6"/>
      <c r="H393" s="6"/>
      <c r="I393" s="6"/>
      <c r="J393" s="6" t="str">
        <f t="shared" si="4"/>
        <v>FAIL</v>
      </c>
      <c r="K393" s="7" t="str">
        <f t="shared" si="3"/>
        <v>FAIL</v>
      </c>
      <c r="L393" s="8"/>
    </row>
    <row r="394" ht="15.75" customHeight="1">
      <c r="A394" s="4" t="s">
        <v>465</v>
      </c>
      <c r="B394" s="6"/>
      <c r="C394" s="6"/>
      <c r="D394" s="6"/>
      <c r="E394" s="6"/>
      <c r="F394" s="6"/>
      <c r="G394" s="6"/>
      <c r="H394" s="6"/>
      <c r="I394" s="6"/>
      <c r="J394" s="6" t="str">
        <f t="shared" si="4"/>
        <v/>
      </c>
      <c r="K394" s="7" t="str">
        <f t="shared" si="3"/>
        <v>FAIL</v>
      </c>
      <c r="L394" s="8"/>
    </row>
    <row r="395" ht="15.75" customHeight="1">
      <c r="A395" s="4" t="s">
        <v>466</v>
      </c>
      <c r="B395" s="6"/>
      <c r="C395" s="6"/>
      <c r="D395" s="6"/>
      <c r="E395" s="6"/>
      <c r="F395" s="6"/>
      <c r="G395" s="6"/>
      <c r="H395" s="6"/>
      <c r="I395" s="6"/>
      <c r="J395" s="6" t="str">
        <f t="shared" si="4"/>
        <v/>
      </c>
      <c r="K395" s="7" t="str">
        <f t="shared" si="3"/>
        <v>FAIL</v>
      </c>
      <c r="L395" s="8"/>
    </row>
    <row r="396" ht="15.75" customHeight="1">
      <c r="A396" s="4" t="s">
        <v>467</v>
      </c>
      <c r="B396" s="6"/>
      <c r="C396" s="6"/>
      <c r="D396" s="6"/>
      <c r="E396" s="6"/>
      <c r="F396" s="6"/>
      <c r="G396" s="6"/>
      <c r="H396" s="6"/>
      <c r="I396" s="6"/>
      <c r="J396" s="6" t="str">
        <f t="shared" si="4"/>
        <v/>
      </c>
      <c r="K396" s="7" t="str">
        <f t="shared" si="3"/>
        <v>FAIL</v>
      </c>
      <c r="L396" s="8"/>
    </row>
    <row r="397" ht="15.75" customHeight="1">
      <c r="A397" s="4" t="s">
        <v>468</v>
      </c>
      <c r="B397" s="5" t="s">
        <v>19</v>
      </c>
      <c r="C397" s="6"/>
      <c r="D397" s="6"/>
      <c r="E397" s="6"/>
      <c r="F397" s="6"/>
      <c r="G397" s="6"/>
      <c r="H397" s="6"/>
      <c r="I397" s="6"/>
      <c r="J397" s="6" t="str">
        <f t="shared" si="4"/>
        <v>FAIL</v>
      </c>
      <c r="K397" s="7" t="str">
        <f t="shared" si="3"/>
        <v>FAIL</v>
      </c>
      <c r="L397" s="8"/>
    </row>
    <row r="398" ht="15.75" customHeight="1">
      <c r="A398" s="4" t="s">
        <v>469</v>
      </c>
      <c r="B398" s="6"/>
      <c r="C398" s="6"/>
      <c r="D398" s="6"/>
      <c r="E398" s="6"/>
      <c r="F398" s="6"/>
      <c r="G398" s="6"/>
      <c r="H398" s="6"/>
      <c r="I398" s="6"/>
      <c r="J398" s="6" t="str">
        <f t="shared" si="4"/>
        <v/>
      </c>
      <c r="K398" s="7" t="str">
        <f t="shared" si="3"/>
        <v>FAIL</v>
      </c>
      <c r="L398" s="8"/>
    </row>
    <row r="399" ht="15.75" customHeight="1">
      <c r="A399" s="4" t="s">
        <v>470</v>
      </c>
      <c r="B399" s="5" t="s">
        <v>19</v>
      </c>
      <c r="C399" s="5" t="s">
        <v>15</v>
      </c>
      <c r="D399" s="5" t="s">
        <v>59</v>
      </c>
      <c r="E399" s="5" t="s">
        <v>15</v>
      </c>
      <c r="F399" s="5">
        <v>2.0</v>
      </c>
      <c r="G399" s="5" t="s">
        <v>13</v>
      </c>
      <c r="H399" s="5" t="s">
        <v>21</v>
      </c>
      <c r="I399" s="5" t="s">
        <v>17</v>
      </c>
      <c r="J399" s="6" t="str">
        <f t="shared" si="4"/>
        <v>FAIL</v>
      </c>
      <c r="K399" s="7" t="str">
        <f t="shared" si="3"/>
        <v>FAIL</v>
      </c>
      <c r="L399" s="8"/>
    </row>
    <row r="400" ht="15.75" customHeight="1">
      <c r="A400" s="4" t="s">
        <v>471</v>
      </c>
      <c r="B400" s="6"/>
      <c r="C400" s="6"/>
      <c r="D400" s="6"/>
      <c r="E400" s="6"/>
      <c r="F400" s="6"/>
      <c r="G400" s="6"/>
      <c r="H400" s="6"/>
      <c r="I400" s="6"/>
      <c r="J400" s="6" t="str">
        <f t="shared" si="4"/>
        <v/>
      </c>
      <c r="K400" s="7" t="str">
        <f t="shared" si="3"/>
        <v>FAIL</v>
      </c>
      <c r="L400" s="8"/>
    </row>
    <row r="401" ht="15.75" customHeight="1">
      <c r="A401" s="4" t="s">
        <v>472</v>
      </c>
      <c r="B401" s="6"/>
      <c r="C401" s="6"/>
      <c r="D401" s="6"/>
      <c r="E401" s="6"/>
      <c r="F401" s="6"/>
      <c r="G401" s="6"/>
      <c r="H401" s="6"/>
      <c r="I401" s="6"/>
      <c r="J401" s="6" t="str">
        <f t="shared" si="4"/>
        <v/>
      </c>
      <c r="K401" s="7" t="str">
        <f t="shared" si="3"/>
        <v>FAIL</v>
      </c>
      <c r="L401" s="8"/>
    </row>
    <row r="402" ht="15.75" customHeight="1">
      <c r="A402" s="4" t="s">
        <v>473</v>
      </c>
      <c r="B402" s="6"/>
      <c r="C402" s="6"/>
      <c r="D402" s="6"/>
      <c r="E402" s="6"/>
      <c r="F402" s="6"/>
      <c r="G402" s="6"/>
      <c r="H402" s="6"/>
      <c r="I402" s="6"/>
      <c r="J402" s="6" t="str">
        <f t="shared" si="4"/>
        <v/>
      </c>
      <c r="K402" s="7" t="str">
        <f t="shared" si="3"/>
        <v>FAIL</v>
      </c>
      <c r="L402" s="8"/>
    </row>
    <row r="403" ht="15.75" customHeight="1">
      <c r="A403" s="4" t="s">
        <v>474</v>
      </c>
      <c r="B403" s="5" t="s">
        <v>19</v>
      </c>
      <c r="C403" s="6"/>
      <c r="D403" s="6"/>
      <c r="E403" s="6"/>
      <c r="F403" s="6"/>
      <c r="G403" s="6"/>
      <c r="H403" s="6"/>
      <c r="I403" s="6"/>
      <c r="J403" s="6" t="str">
        <f t="shared" si="4"/>
        <v>FAIL</v>
      </c>
      <c r="K403" s="7" t="str">
        <f t="shared" si="3"/>
        <v>FAIL</v>
      </c>
      <c r="L403" s="8"/>
    </row>
    <row r="404" ht="15.75" customHeight="1">
      <c r="A404" s="4" t="s">
        <v>475</v>
      </c>
      <c r="B404" s="6"/>
      <c r="C404" s="6"/>
      <c r="D404" s="6"/>
      <c r="E404" s="6"/>
      <c r="F404" s="6"/>
      <c r="G404" s="6"/>
      <c r="H404" s="6"/>
      <c r="I404" s="6"/>
      <c r="J404" s="6" t="str">
        <f t="shared" si="4"/>
        <v/>
      </c>
      <c r="K404" s="7" t="str">
        <f t="shared" si="3"/>
        <v>FAIL</v>
      </c>
      <c r="L404" s="8"/>
    </row>
    <row r="405" ht="15.75" customHeight="1">
      <c r="A405" s="4" t="s">
        <v>476</v>
      </c>
      <c r="B405" s="6"/>
      <c r="C405" s="6"/>
      <c r="D405" s="6"/>
      <c r="E405" s="6"/>
      <c r="F405" s="6"/>
      <c r="G405" s="6"/>
      <c r="H405" s="6"/>
      <c r="I405" s="6"/>
      <c r="J405" s="6" t="str">
        <f t="shared" si="4"/>
        <v/>
      </c>
      <c r="K405" s="7" t="str">
        <f t="shared" si="3"/>
        <v>FAIL</v>
      </c>
      <c r="L405" s="8"/>
    </row>
    <row r="406" ht="15.75" customHeight="1">
      <c r="A406" s="4" t="s">
        <v>477</v>
      </c>
      <c r="B406" s="5" t="s">
        <v>19</v>
      </c>
      <c r="C406" s="6"/>
      <c r="D406" s="6"/>
      <c r="E406" s="6"/>
      <c r="F406" s="6"/>
      <c r="G406" s="6"/>
      <c r="H406" s="6"/>
      <c r="I406" s="6"/>
      <c r="J406" s="6" t="str">
        <f t="shared" si="4"/>
        <v>FAIL</v>
      </c>
      <c r="K406" s="7" t="str">
        <f t="shared" si="3"/>
        <v>FAIL</v>
      </c>
      <c r="L406" s="8"/>
    </row>
    <row r="407" ht="15.75" customHeight="1">
      <c r="A407" s="4" t="s">
        <v>478</v>
      </c>
      <c r="B407" s="5" t="s">
        <v>19</v>
      </c>
      <c r="C407" s="6"/>
      <c r="D407" s="6"/>
      <c r="E407" s="6"/>
      <c r="F407" s="6"/>
      <c r="G407" s="6"/>
      <c r="H407" s="6"/>
      <c r="I407" s="6"/>
      <c r="J407" s="6" t="str">
        <f t="shared" si="4"/>
        <v>FAIL</v>
      </c>
      <c r="K407" s="7" t="str">
        <f t="shared" si="3"/>
        <v>FAIL</v>
      </c>
      <c r="L407" s="8"/>
    </row>
    <row r="408" ht="15.75" customHeight="1">
      <c r="A408" s="4" t="s">
        <v>479</v>
      </c>
      <c r="B408" s="5" t="s">
        <v>19</v>
      </c>
      <c r="C408" s="6"/>
      <c r="D408" s="6"/>
      <c r="E408" s="6"/>
      <c r="F408" s="6"/>
      <c r="G408" s="6"/>
      <c r="H408" s="6"/>
      <c r="I408" s="6"/>
      <c r="J408" s="6" t="str">
        <f t="shared" si="4"/>
        <v>FAIL</v>
      </c>
      <c r="K408" s="7" t="str">
        <f t="shared" si="3"/>
        <v>FAIL</v>
      </c>
      <c r="L408" s="8"/>
    </row>
    <row r="409" ht="15.75" customHeight="1">
      <c r="A409" s="4" t="s">
        <v>480</v>
      </c>
      <c r="B409" s="5" t="s">
        <v>19</v>
      </c>
      <c r="C409" s="6"/>
      <c r="D409" s="6"/>
      <c r="E409" s="6"/>
      <c r="F409" s="6"/>
      <c r="G409" s="6"/>
      <c r="H409" s="6"/>
      <c r="I409" s="6"/>
      <c r="J409" s="6" t="str">
        <f t="shared" si="4"/>
        <v>FAIL</v>
      </c>
      <c r="K409" s="7" t="str">
        <f t="shared" si="3"/>
        <v>FAIL</v>
      </c>
      <c r="L409" s="8"/>
    </row>
    <row r="410" ht="15.75" customHeight="1">
      <c r="A410" s="4" t="s">
        <v>481</v>
      </c>
      <c r="B410" s="5" t="s">
        <v>19</v>
      </c>
      <c r="C410" s="6"/>
      <c r="D410" s="6"/>
      <c r="E410" s="6"/>
      <c r="F410" s="6"/>
      <c r="G410" s="6"/>
      <c r="H410" s="6"/>
      <c r="I410" s="6"/>
      <c r="J410" s="6" t="str">
        <f t="shared" si="4"/>
        <v>FAIL</v>
      </c>
      <c r="K410" s="7" t="str">
        <f t="shared" si="3"/>
        <v>FAIL</v>
      </c>
      <c r="L410" s="8"/>
    </row>
    <row r="411" ht="15.75" customHeight="1">
      <c r="A411" s="4" t="s">
        <v>482</v>
      </c>
      <c r="B411" s="5" t="s">
        <v>19</v>
      </c>
      <c r="C411" s="6"/>
      <c r="D411" s="6"/>
      <c r="E411" s="6"/>
      <c r="F411" s="6"/>
      <c r="G411" s="6"/>
      <c r="H411" s="6"/>
      <c r="I411" s="6"/>
      <c r="J411" s="6" t="str">
        <f t="shared" si="4"/>
        <v>FAIL</v>
      </c>
      <c r="K411" s="7" t="str">
        <f t="shared" si="3"/>
        <v>FAIL</v>
      </c>
      <c r="L411" s="8"/>
    </row>
    <row r="412" ht="15.75" customHeight="1">
      <c r="A412" s="4" t="s">
        <v>483</v>
      </c>
      <c r="B412" s="6"/>
      <c r="C412" s="6"/>
      <c r="D412" s="6"/>
      <c r="E412" s="6"/>
      <c r="F412" s="6"/>
      <c r="G412" s="6"/>
      <c r="H412" s="6"/>
      <c r="I412" s="6"/>
      <c r="J412" s="6" t="str">
        <f t="shared" si="4"/>
        <v/>
      </c>
      <c r="K412" s="7" t="str">
        <f t="shared" si="3"/>
        <v>FAIL</v>
      </c>
      <c r="L412" s="8"/>
    </row>
    <row r="413" ht="15.75" customHeight="1">
      <c r="A413" s="4" t="s">
        <v>484</v>
      </c>
      <c r="B413" s="5" t="s">
        <v>19</v>
      </c>
      <c r="C413" s="6"/>
      <c r="D413" s="6"/>
      <c r="E413" s="6"/>
      <c r="F413" s="6"/>
      <c r="G413" s="6"/>
      <c r="H413" s="6"/>
      <c r="I413" s="6"/>
      <c r="J413" s="6" t="str">
        <f t="shared" si="4"/>
        <v>FAIL</v>
      </c>
      <c r="K413" s="7" t="str">
        <f t="shared" si="3"/>
        <v>FAIL</v>
      </c>
      <c r="L413" s="8"/>
    </row>
    <row r="414" ht="15.75" customHeight="1">
      <c r="A414" s="4" t="s">
        <v>485</v>
      </c>
      <c r="B414" s="5" t="s">
        <v>19</v>
      </c>
      <c r="C414" s="6"/>
      <c r="D414" s="6"/>
      <c r="E414" s="6"/>
      <c r="F414" s="6"/>
      <c r="G414" s="6"/>
      <c r="H414" s="6"/>
      <c r="I414" s="6"/>
      <c r="J414" s="6" t="str">
        <f t="shared" si="4"/>
        <v>FAIL</v>
      </c>
      <c r="K414" s="7" t="str">
        <f t="shared" si="3"/>
        <v>FAIL</v>
      </c>
      <c r="L414" s="8"/>
    </row>
    <row r="415" ht="15.75" customHeight="1">
      <c r="A415" s="4" t="s">
        <v>486</v>
      </c>
      <c r="B415" s="5" t="s">
        <v>19</v>
      </c>
      <c r="C415" s="6"/>
      <c r="D415" s="6"/>
      <c r="E415" s="6"/>
      <c r="F415" s="6"/>
      <c r="G415" s="6"/>
      <c r="H415" s="6"/>
      <c r="I415" s="6"/>
      <c r="J415" s="6" t="str">
        <f t="shared" si="4"/>
        <v>FAIL</v>
      </c>
      <c r="K415" s="7" t="str">
        <f t="shared" si="3"/>
        <v>FAIL</v>
      </c>
      <c r="L415" s="8"/>
    </row>
    <row r="416" ht="15.75" customHeight="1">
      <c r="A416" s="4" t="s">
        <v>487</v>
      </c>
      <c r="B416" s="6"/>
      <c r="C416" s="6"/>
      <c r="D416" s="6"/>
      <c r="E416" s="6"/>
      <c r="F416" s="6"/>
      <c r="G416" s="6"/>
      <c r="H416" s="6"/>
      <c r="I416" s="6"/>
      <c r="J416" s="6" t="str">
        <f t="shared" si="4"/>
        <v/>
      </c>
      <c r="K416" s="7" t="str">
        <f t="shared" si="3"/>
        <v>FAIL</v>
      </c>
      <c r="L416" s="8"/>
    </row>
    <row r="417" ht="15.75" customHeight="1">
      <c r="A417" s="4" t="s">
        <v>488</v>
      </c>
      <c r="B417" s="5" t="s">
        <v>19</v>
      </c>
      <c r="C417" s="6"/>
      <c r="D417" s="6"/>
      <c r="E417" s="6"/>
      <c r="F417" s="6"/>
      <c r="G417" s="6"/>
      <c r="H417" s="6"/>
      <c r="I417" s="6"/>
      <c r="J417" s="6" t="str">
        <f t="shared" si="4"/>
        <v>FAIL</v>
      </c>
      <c r="K417" s="7" t="str">
        <f t="shared" si="3"/>
        <v>FAIL</v>
      </c>
      <c r="L417" s="8"/>
    </row>
    <row r="418" ht="15.75" customHeight="1">
      <c r="A418" s="4" t="s">
        <v>489</v>
      </c>
      <c r="B418" s="5" t="s">
        <v>19</v>
      </c>
      <c r="C418" s="6"/>
      <c r="D418" s="6"/>
      <c r="E418" s="6"/>
      <c r="F418" s="6"/>
      <c r="G418" s="6"/>
      <c r="H418" s="6"/>
      <c r="I418" s="6"/>
      <c r="J418" s="6" t="str">
        <f t="shared" si="4"/>
        <v>FAIL</v>
      </c>
      <c r="K418" s="7" t="str">
        <f t="shared" si="3"/>
        <v>FAIL</v>
      </c>
      <c r="L418" s="8"/>
    </row>
    <row r="419" ht="15.75" customHeight="1">
      <c r="A419" s="4" t="s">
        <v>490</v>
      </c>
      <c r="B419" s="5" t="s">
        <v>19</v>
      </c>
      <c r="C419" s="6"/>
      <c r="D419" s="6"/>
      <c r="E419" s="6"/>
      <c r="F419" s="6"/>
      <c r="G419" s="6"/>
      <c r="H419" s="6"/>
      <c r="I419" s="6"/>
      <c r="J419" s="6" t="str">
        <f t="shared" si="4"/>
        <v>FAIL</v>
      </c>
      <c r="K419" s="7" t="str">
        <f t="shared" si="3"/>
        <v>FAIL</v>
      </c>
      <c r="L419" s="8"/>
    </row>
    <row r="420" ht="15.75" customHeight="1">
      <c r="A420" s="4" t="s">
        <v>491</v>
      </c>
      <c r="B420" s="5" t="s">
        <v>19</v>
      </c>
      <c r="C420" s="6"/>
      <c r="D420" s="6"/>
      <c r="E420" s="6"/>
      <c r="F420" s="6"/>
      <c r="G420" s="6"/>
      <c r="H420" s="6"/>
      <c r="I420" s="6"/>
      <c r="J420" s="6" t="str">
        <f t="shared" si="4"/>
        <v>FAIL</v>
      </c>
      <c r="K420" s="7" t="str">
        <f t="shared" si="3"/>
        <v>FAIL</v>
      </c>
      <c r="L420" s="8"/>
    </row>
    <row r="421" ht="15.75" customHeight="1">
      <c r="A421" s="4" t="s">
        <v>492</v>
      </c>
      <c r="B421" s="6"/>
      <c r="C421" s="6"/>
      <c r="D421" s="6"/>
      <c r="E421" s="6"/>
      <c r="F421" s="6"/>
      <c r="G421" s="6"/>
      <c r="H421" s="6"/>
      <c r="I421" s="6"/>
      <c r="J421" s="6" t="str">
        <f t="shared" si="4"/>
        <v/>
      </c>
      <c r="K421" s="7" t="str">
        <f t="shared" si="3"/>
        <v>FAIL</v>
      </c>
      <c r="L421" s="8"/>
    </row>
    <row r="422" ht="15.75" customHeight="1">
      <c r="A422" s="4" t="s">
        <v>493</v>
      </c>
      <c r="B422" s="6"/>
      <c r="C422" s="6"/>
      <c r="D422" s="6"/>
      <c r="E422" s="6"/>
      <c r="F422" s="6"/>
      <c r="G422" s="6"/>
      <c r="H422" s="6"/>
      <c r="I422" s="6"/>
      <c r="J422" s="6" t="str">
        <f t="shared" si="4"/>
        <v/>
      </c>
      <c r="K422" s="7" t="str">
        <f t="shared" si="3"/>
        <v>FAIL</v>
      </c>
      <c r="L422" s="8"/>
    </row>
    <row r="423" ht="15.75" customHeight="1">
      <c r="A423" s="4" t="s">
        <v>494</v>
      </c>
      <c r="B423" s="6"/>
      <c r="C423" s="6"/>
      <c r="D423" s="6"/>
      <c r="E423" s="6"/>
      <c r="F423" s="6"/>
      <c r="G423" s="6"/>
      <c r="H423" s="6"/>
      <c r="I423" s="6"/>
      <c r="J423" s="6" t="str">
        <f t="shared" si="4"/>
        <v/>
      </c>
      <c r="K423" s="7" t="str">
        <f t="shared" si="3"/>
        <v>FAIL</v>
      </c>
      <c r="L423" s="8"/>
    </row>
    <row r="424" ht="15.75" customHeight="1">
      <c r="A424" s="4" t="s">
        <v>495</v>
      </c>
      <c r="B424" s="5" t="s">
        <v>19</v>
      </c>
      <c r="C424" s="6"/>
      <c r="D424" s="6"/>
      <c r="E424" s="6"/>
      <c r="F424" s="6"/>
      <c r="G424" s="6"/>
      <c r="H424" s="6"/>
      <c r="I424" s="6"/>
      <c r="J424" s="6" t="str">
        <f t="shared" si="4"/>
        <v>FAIL</v>
      </c>
      <c r="K424" s="7" t="str">
        <f t="shared" si="3"/>
        <v>FAIL</v>
      </c>
      <c r="L424" s="8"/>
    </row>
    <row r="425" ht="15.75" customHeight="1">
      <c r="A425" s="4" t="s">
        <v>496</v>
      </c>
      <c r="B425" s="5" t="s">
        <v>19</v>
      </c>
      <c r="C425" s="6"/>
      <c r="D425" s="6"/>
      <c r="E425" s="6"/>
      <c r="F425" s="6"/>
      <c r="G425" s="6"/>
      <c r="H425" s="6"/>
      <c r="I425" s="6"/>
      <c r="J425" s="6" t="str">
        <f t="shared" si="4"/>
        <v>FAIL</v>
      </c>
      <c r="K425" s="7" t="str">
        <f t="shared" si="3"/>
        <v>FAIL</v>
      </c>
      <c r="L425" s="8"/>
    </row>
    <row r="426" ht="15.75" customHeight="1">
      <c r="A426" s="4" t="s">
        <v>497</v>
      </c>
      <c r="B426" s="5" t="s">
        <v>19</v>
      </c>
      <c r="C426" s="6"/>
      <c r="D426" s="6"/>
      <c r="E426" s="6"/>
      <c r="F426" s="6"/>
      <c r="G426" s="6"/>
      <c r="H426" s="6"/>
      <c r="I426" s="6"/>
      <c r="J426" s="6" t="str">
        <f t="shared" si="4"/>
        <v>FAIL</v>
      </c>
      <c r="K426" s="7" t="str">
        <f t="shared" si="3"/>
        <v>FAIL</v>
      </c>
      <c r="L426" s="8"/>
    </row>
    <row r="427" ht="15.75" customHeight="1">
      <c r="A427" s="4" t="s">
        <v>498</v>
      </c>
      <c r="B427" s="5" t="s">
        <v>19</v>
      </c>
      <c r="C427" s="6"/>
      <c r="D427" s="6"/>
      <c r="E427" s="6"/>
      <c r="F427" s="6"/>
      <c r="G427" s="6"/>
      <c r="H427" s="6"/>
      <c r="I427" s="6"/>
      <c r="J427" s="6" t="str">
        <f t="shared" si="4"/>
        <v>FAIL</v>
      </c>
      <c r="K427" s="7" t="str">
        <f t="shared" si="3"/>
        <v>FAIL</v>
      </c>
      <c r="L427" s="8"/>
    </row>
    <row r="428" ht="15.75" customHeight="1">
      <c r="A428" s="4" t="s">
        <v>499</v>
      </c>
      <c r="B428" s="6"/>
      <c r="C428" s="6"/>
      <c r="D428" s="6"/>
      <c r="E428" s="6"/>
      <c r="F428" s="6"/>
      <c r="G428" s="6"/>
      <c r="H428" s="6"/>
      <c r="I428" s="6"/>
      <c r="J428" s="6" t="str">
        <f t="shared" si="4"/>
        <v/>
      </c>
      <c r="K428" s="7" t="str">
        <f t="shared" si="3"/>
        <v>FAIL</v>
      </c>
      <c r="L428" s="8"/>
    </row>
    <row r="429" ht="15.75" customHeight="1">
      <c r="A429" s="4" t="s">
        <v>500</v>
      </c>
      <c r="B429" s="5" t="s">
        <v>13</v>
      </c>
      <c r="C429" s="5" t="s">
        <v>15</v>
      </c>
      <c r="D429" s="5" t="s">
        <v>59</v>
      </c>
      <c r="E429" s="5" t="s">
        <v>16</v>
      </c>
      <c r="F429" s="5">
        <v>2.0</v>
      </c>
      <c r="G429" s="5" t="s">
        <v>13</v>
      </c>
      <c r="H429" s="5" t="s">
        <v>16</v>
      </c>
      <c r="I429" s="5" t="s">
        <v>17</v>
      </c>
      <c r="J429" s="6" t="str">
        <f t="shared" si="4"/>
        <v>FAIL</v>
      </c>
      <c r="K429" s="7" t="str">
        <f t="shared" si="3"/>
        <v>PASS</v>
      </c>
      <c r="L429" s="8"/>
    </row>
    <row r="430" ht="15.75" customHeight="1">
      <c r="A430" s="4" t="s">
        <v>501</v>
      </c>
      <c r="B430" s="6"/>
      <c r="C430" s="6"/>
      <c r="D430" s="6"/>
      <c r="E430" s="6"/>
      <c r="F430" s="6"/>
      <c r="G430" s="6"/>
      <c r="H430" s="6"/>
      <c r="I430" s="6"/>
      <c r="J430" s="6" t="str">
        <f t="shared" si="4"/>
        <v/>
      </c>
      <c r="K430" s="7" t="str">
        <f t="shared" si="3"/>
        <v>FAIL</v>
      </c>
      <c r="L430" s="8"/>
    </row>
    <row r="431" ht="15.75" customHeight="1">
      <c r="A431" s="4" t="s">
        <v>502</v>
      </c>
      <c r="B431" s="6"/>
      <c r="C431" s="6"/>
      <c r="D431" s="6"/>
      <c r="E431" s="6"/>
      <c r="F431" s="6"/>
      <c r="G431" s="6"/>
      <c r="H431" s="6"/>
      <c r="I431" s="6"/>
      <c r="J431" s="6" t="str">
        <f t="shared" si="4"/>
        <v/>
      </c>
      <c r="K431" s="7" t="str">
        <f t="shared" si="3"/>
        <v>FAIL</v>
      </c>
      <c r="L431" s="8"/>
    </row>
    <row r="432" ht="15.75" customHeight="1">
      <c r="A432" s="4" t="s">
        <v>503</v>
      </c>
      <c r="B432" s="5" t="s">
        <v>19</v>
      </c>
      <c r="C432" s="6"/>
      <c r="D432" s="6"/>
      <c r="E432" s="6"/>
      <c r="F432" s="6"/>
      <c r="G432" s="6"/>
      <c r="H432" s="6"/>
      <c r="I432" s="6"/>
      <c r="J432" s="6" t="str">
        <f t="shared" si="4"/>
        <v>FAIL</v>
      </c>
      <c r="K432" s="7" t="str">
        <f t="shared" si="3"/>
        <v>FAIL</v>
      </c>
      <c r="L432" s="8"/>
    </row>
    <row r="433" ht="15.75" customHeight="1">
      <c r="A433" s="4" t="s">
        <v>504</v>
      </c>
      <c r="B433" s="5" t="s">
        <v>19</v>
      </c>
      <c r="C433" s="6"/>
      <c r="D433" s="6"/>
      <c r="E433" s="6"/>
      <c r="F433" s="6"/>
      <c r="G433" s="6"/>
      <c r="H433" s="6"/>
      <c r="I433" s="6"/>
      <c r="J433" s="6" t="str">
        <f t="shared" si="4"/>
        <v>FAIL</v>
      </c>
      <c r="K433" s="7" t="str">
        <f t="shared" si="3"/>
        <v>FAIL</v>
      </c>
      <c r="L433" s="8"/>
    </row>
    <row r="434" ht="15.75" customHeight="1">
      <c r="A434" s="4" t="s">
        <v>505</v>
      </c>
      <c r="B434" s="5" t="s">
        <v>19</v>
      </c>
      <c r="C434" s="6"/>
      <c r="D434" s="6"/>
      <c r="E434" s="6"/>
      <c r="F434" s="6"/>
      <c r="G434" s="6"/>
      <c r="H434" s="6"/>
      <c r="I434" s="6"/>
      <c r="J434" s="6" t="str">
        <f t="shared" si="4"/>
        <v>FAIL</v>
      </c>
      <c r="K434" s="7" t="str">
        <f t="shared" si="3"/>
        <v>FAIL</v>
      </c>
      <c r="L434" s="8"/>
    </row>
    <row r="435" ht="15.75" customHeight="1">
      <c r="A435" s="4" t="s">
        <v>506</v>
      </c>
      <c r="B435" s="5" t="s">
        <v>19</v>
      </c>
      <c r="C435" s="6"/>
      <c r="D435" s="6"/>
      <c r="E435" s="6"/>
      <c r="F435" s="6"/>
      <c r="G435" s="6"/>
      <c r="H435" s="6"/>
      <c r="I435" s="6"/>
      <c r="J435" s="6" t="str">
        <f t="shared" si="4"/>
        <v>FAIL</v>
      </c>
      <c r="K435" s="7" t="str">
        <f t="shared" si="3"/>
        <v>FAIL</v>
      </c>
      <c r="L435" s="8"/>
    </row>
    <row r="436" ht="15.75" customHeight="1">
      <c r="A436" s="4" t="s">
        <v>507</v>
      </c>
      <c r="B436" s="6"/>
      <c r="C436" s="6"/>
      <c r="D436" s="6"/>
      <c r="E436" s="6"/>
      <c r="F436" s="6"/>
      <c r="G436" s="6"/>
      <c r="H436" s="6"/>
      <c r="I436" s="6"/>
      <c r="J436" s="6" t="str">
        <f t="shared" si="4"/>
        <v/>
      </c>
      <c r="K436" s="7" t="str">
        <f t="shared" si="3"/>
        <v>FAIL</v>
      </c>
      <c r="L436" s="8"/>
    </row>
    <row r="437" ht="15.75" customHeight="1">
      <c r="A437" s="4" t="s">
        <v>508</v>
      </c>
      <c r="B437" s="5" t="s">
        <v>19</v>
      </c>
      <c r="C437" s="6"/>
      <c r="D437" s="6"/>
      <c r="E437" s="6"/>
      <c r="F437" s="6"/>
      <c r="G437" s="6"/>
      <c r="H437" s="6"/>
      <c r="I437" s="6"/>
      <c r="J437" s="6" t="str">
        <f t="shared" si="4"/>
        <v>FAIL</v>
      </c>
      <c r="K437" s="7" t="str">
        <f t="shared" si="3"/>
        <v>FAIL</v>
      </c>
      <c r="L437" s="8"/>
    </row>
    <row r="438" ht="15.75" customHeight="1">
      <c r="A438" s="4" t="s">
        <v>509</v>
      </c>
      <c r="B438" s="5" t="s">
        <v>19</v>
      </c>
      <c r="C438" s="6"/>
      <c r="D438" s="6"/>
      <c r="E438" s="6"/>
      <c r="F438" s="6"/>
      <c r="G438" s="6"/>
      <c r="H438" s="6"/>
      <c r="I438" s="6"/>
      <c r="J438" s="6" t="str">
        <f t="shared" si="4"/>
        <v>FAIL</v>
      </c>
      <c r="K438" s="7" t="str">
        <f t="shared" si="3"/>
        <v>FAIL</v>
      </c>
      <c r="L438" s="8"/>
    </row>
    <row r="439" ht="15.75" customHeight="1">
      <c r="A439" s="4" t="s">
        <v>510</v>
      </c>
      <c r="B439" s="6"/>
      <c r="C439" s="6"/>
      <c r="D439" s="6"/>
      <c r="E439" s="6"/>
      <c r="F439" s="6"/>
      <c r="G439" s="6"/>
      <c r="H439" s="6"/>
      <c r="I439" s="6"/>
      <c r="J439" s="6" t="str">
        <f t="shared" si="4"/>
        <v/>
      </c>
      <c r="K439" s="7" t="str">
        <f t="shared" si="3"/>
        <v>FAIL</v>
      </c>
      <c r="L439" s="8"/>
    </row>
    <row r="440" ht="15.75" customHeight="1">
      <c r="A440" s="4" t="s">
        <v>511</v>
      </c>
      <c r="B440" s="5" t="s">
        <v>19</v>
      </c>
      <c r="C440" s="6"/>
      <c r="D440" s="6"/>
      <c r="E440" s="6"/>
      <c r="F440" s="6"/>
      <c r="G440" s="6"/>
      <c r="H440" s="6"/>
      <c r="I440" s="6"/>
      <c r="J440" s="6" t="str">
        <f t="shared" si="4"/>
        <v>FAIL</v>
      </c>
      <c r="K440" s="7" t="str">
        <f t="shared" si="3"/>
        <v>FAIL</v>
      </c>
      <c r="L440" s="8"/>
    </row>
    <row r="441" ht="15.75" customHeight="1">
      <c r="A441" s="4" t="s">
        <v>512</v>
      </c>
      <c r="B441" s="6"/>
      <c r="C441" s="6"/>
      <c r="D441" s="6"/>
      <c r="E441" s="6"/>
      <c r="F441" s="6"/>
      <c r="G441" s="6"/>
      <c r="H441" s="6"/>
      <c r="I441" s="6"/>
      <c r="J441" s="6" t="str">
        <f t="shared" si="4"/>
        <v/>
      </c>
      <c r="K441" s="7" t="str">
        <f t="shared" si="3"/>
        <v>FAIL</v>
      </c>
      <c r="L441" s="8"/>
    </row>
    <row r="442" ht="15.75" customHeight="1">
      <c r="A442" s="4" t="s">
        <v>513</v>
      </c>
      <c r="B442" s="5" t="s">
        <v>19</v>
      </c>
      <c r="C442" s="6"/>
      <c r="D442" s="6"/>
      <c r="E442" s="6"/>
      <c r="F442" s="6"/>
      <c r="G442" s="6"/>
      <c r="H442" s="6"/>
      <c r="I442" s="6"/>
      <c r="J442" s="6" t="str">
        <f t="shared" si="4"/>
        <v>FAIL</v>
      </c>
      <c r="K442" s="7" t="str">
        <f t="shared" si="3"/>
        <v>FAIL</v>
      </c>
      <c r="L442" s="8"/>
    </row>
    <row r="443" ht="15.75" customHeight="1">
      <c r="A443" s="4" t="s">
        <v>514</v>
      </c>
      <c r="B443" s="6"/>
      <c r="C443" s="6"/>
      <c r="D443" s="6"/>
      <c r="E443" s="6"/>
      <c r="F443" s="6"/>
      <c r="G443" s="6"/>
      <c r="H443" s="6"/>
      <c r="I443" s="6"/>
      <c r="J443" s="6" t="str">
        <f t="shared" si="4"/>
        <v/>
      </c>
      <c r="K443" s="7" t="str">
        <f t="shared" si="3"/>
        <v>FAIL</v>
      </c>
      <c r="L443" s="8"/>
    </row>
    <row r="444" ht="15.75" customHeight="1">
      <c r="A444" s="4" t="s">
        <v>515</v>
      </c>
      <c r="B444" s="6"/>
      <c r="C444" s="6"/>
      <c r="D444" s="6"/>
      <c r="E444" s="6"/>
      <c r="F444" s="6"/>
      <c r="G444" s="6"/>
      <c r="H444" s="6"/>
      <c r="I444" s="6"/>
      <c r="J444" s="6" t="str">
        <f t="shared" si="4"/>
        <v/>
      </c>
      <c r="K444" s="7" t="str">
        <f t="shared" si="3"/>
        <v>FAIL</v>
      </c>
      <c r="L444" s="8"/>
    </row>
    <row r="445" ht="15.75" customHeight="1">
      <c r="A445" s="4" t="s">
        <v>516</v>
      </c>
      <c r="B445" s="6"/>
      <c r="C445" s="6"/>
      <c r="D445" s="6"/>
      <c r="E445" s="6"/>
      <c r="F445" s="6"/>
      <c r="G445" s="6"/>
      <c r="H445" s="6"/>
      <c r="I445" s="6"/>
      <c r="J445" s="6" t="str">
        <f t="shared" si="4"/>
        <v/>
      </c>
      <c r="K445" s="7" t="str">
        <f t="shared" si="3"/>
        <v>FAIL</v>
      </c>
      <c r="L445" s="8"/>
    </row>
    <row r="446" ht="15.75" customHeight="1">
      <c r="A446" s="4" t="s">
        <v>517</v>
      </c>
      <c r="B446" s="6"/>
      <c r="C446" s="6"/>
      <c r="D446" s="6"/>
      <c r="E446" s="6"/>
      <c r="F446" s="6"/>
      <c r="G446" s="6"/>
      <c r="H446" s="6"/>
      <c r="I446" s="6"/>
      <c r="J446" s="6" t="str">
        <f t="shared" si="4"/>
        <v/>
      </c>
      <c r="K446" s="7" t="str">
        <f t="shared" si="3"/>
        <v>FAIL</v>
      </c>
      <c r="L446" s="8"/>
    </row>
    <row r="447" ht="15.75" customHeight="1">
      <c r="A447" s="4" t="s">
        <v>518</v>
      </c>
      <c r="B447" s="5" t="s">
        <v>19</v>
      </c>
      <c r="C447" s="6"/>
      <c r="D447" s="6"/>
      <c r="E447" s="6"/>
      <c r="F447" s="6"/>
      <c r="G447" s="6"/>
      <c r="H447" s="6"/>
      <c r="I447" s="6"/>
      <c r="J447" s="6" t="str">
        <f t="shared" si="4"/>
        <v>FAIL</v>
      </c>
      <c r="K447" s="7" t="str">
        <f t="shared" si="3"/>
        <v>FAIL</v>
      </c>
      <c r="L447" s="8"/>
    </row>
    <row r="448" ht="15.75" customHeight="1">
      <c r="A448" s="4" t="s">
        <v>519</v>
      </c>
      <c r="B448" s="6"/>
      <c r="C448" s="6"/>
      <c r="D448" s="6"/>
      <c r="E448" s="6"/>
      <c r="F448" s="6"/>
      <c r="G448" s="6"/>
      <c r="H448" s="6"/>
      <c r="I448" s="6"/>
      <c r="J448" s="6" t="str">
        <f t="shared" si="4"/>
        <v/>
      </c>
      <c r="K448" s="7" t="str">
        <f t="shared" si="3"/>
        <v>FAIL</v>
      </c>
      <c r="L448" s="8"/>
    </row>
    <row r="449" ht="15.75" customHeight="1">
      <c r="A449" s="4" t="s">
        <v>520</v>
      </c>
      <c r="B449" s="5" t="s">
        <v>19</v>
      </c>
      <c r="C449" s="6"/>
      <c r="D449" s="6"/>
      <c r="E449" s="6"/>
      <c r="F449" s="6"/>
      <c r="G449" s="6"/>
      <c r="H449" s="6"/>
      <c r="I449" s="6"/>
      <c r="J449" s="6" t="str">
        <f t="shared" si="4"/>
        <v>FAIL</v>
      </c>
      <c r="K449" s="7" t="str">
        <f t="shared" si="3"/>
        <v>FAIL</v>
      </c>
      <c r="L449" s="8"/>
    </row>
    <row r="450" ht="15.75" customHeight="1">
      <c r="A450" s="4" t="s">
        <v>521</v>
      </c>
      <c r="B450" s="5" t="s">
        <v>19</v>
      </c>
      <c r="C450" s="6"/>
      <c r="D450" s="6"/>
      <c r="E450" s="6"/>
      <c r="F450" s="6"/>
      <c r="G450" s="6"/>
      <c r="H450" s="6"/>
      <c r="I450" s="6"/>
      <c r="J450" s="6" t="str">
        <f t="shared" si="4"/>
        <v>FAIL</v>
      </c>
      <c r="K450" s="7" t="str">
        <f t="shared" si="3"/>
        <v>FAIL</v>
      </c>
      <c r="L450" s="8"/>
    </row>
    <row r="451" ht="15.75" customHeight="1">
      <c r="A451" s="4" t="s">
        <v>522</v>
      </c>
      <c r="B451" s="5" t="s">
        <v>19</v>
      </c>
      <c r="C451" s="6"/>
      <c r="D451" s="6"/>
      <c r="E451" s="6"/>
      <c r="F451" s="6"/>
      <c r="G451" s="6"/>
      <c r="H451" s="6"/>
      <c r="I451" s="6"/>
      <c r="J451" s="6" t="str">
        <f t="shared" si="4"/>
        <v>FAIL</v>
      </c>
      <c r="K451" s="7" t="str">
        <f t="shared" si="3"/>
        <v>FAIL</v>
      </c>
      <c r="L451" s="8"/>
    </row>
    <row r="452" ht="15.75" customHeight="1">
      <c r="A452" s="4" t="s">
        <v>523</v>
      </c>
      <c r="B452" s="5" t="s">
        <v>19</v>
      </c>
      <c r="C452" s="6"/>
      <c r="D452" s="6"/>
      <c r="E452" s="6"/>
      <c r="F452" s="6"/>
      <c r="G452" s="6"/>
      <c r="H452" s="6"/>
      <c r="I452" s="6"/>
      <c r="J452" s="6" t="str">
        <f t="shared" si="4"/>
        <v>FAIL</v>
      </c>
      <c r="K452" s="7" t="str">
        <f t="shared" si="3"/>
        <v>FAIL</v>
      </c>
      <c r="L452" s="8"/>
    </row>
    <row r="453" ht="15.75" customHeight="1">
      <c r="A453" s="4" t="s">
        <v>524</v>
      </c>
      <c r="B453" s="5" t="s">
        <v>19</v>
      </c>
      <c r="C453" s="6"/>
      <c r="D453" s="6"/>
      <c r="E453" s="6"/>
      <c r="F453" s="6"/>
      <c r="G453" s="6"/>
      <c r="H453" s="6"/>
      <c r="I453" s="6"/>
      <c r="J453" s="6" t="str">
        <f t="shared" si="4"/>
        <v>FAIL</v>
      </c>
      <c r="K453" s="7" t="str">
        <f t="shared" si="3"/>
        <v>FAIL</v>
      </c>
      <c r="L453" s="8"/>
    </row>
    <row r="454" ht="15.75" customHeight="1">
      <c r="A454" s="4" t="s">
        <v>525</v>
      </c>
      <c r="B454" s="5" t="s">
        <v>19</v>
      </c>
      <c r="C454" s="6"/>
      <c r="D454" s="6"/>
      <c r="E454" s="6"/>
      <c r="F454" s="6"/>
      <c r="G454" s="6"/>
      <c r="H454" s="6"/>
      <c r="I454" s="6"/>
      <c r="J454" s="6" t="str">
        <f t="shared" si="4"/>
        <v>FAIL</v>
      </c>
      <c r="K454" s="7" t="str">
        <f t="shared" si="3"/>
        <v>FAIL</v>
      </c>
      <c r="L454" s="8"/>
    </row>
    <row r="455" ht="15.75" customHeight="1">
      <c r="A455" s="4" t="s">
        <v>526</v>
      </c>
      <c r="B455" s="5" t="s">
        <v>19</v>
      </c>
      <c r="C455" s="6"/>
      <c r="D455" s="6"/>
      <c r="E455" s="6"/>
      <c r="F455" s="6"/>
      <c r="G455" s="6"/>
      <c r="H455" s="6"/>
      <c r="I455" s="6"/>
      <c r="J455" s="6" t="str">
        <f t="shared" si="4"/>
        <v>FAIL</v>
      </c>
      <c r="K455" s="7" t="str">
        <f t="shared" si="3"/>
        <v>FAIL</v>
      </c>
      <c r="L455" s="8"/>
    </row>
    <row r="456" ht="15.75" customHeight="1">
      <c r="A456" s="4" t="s">
        <v>527</v>
      </c>
      <c r="B456" s="5" t="s">
        <v>19</v>
      </c>
      <c r="C456" s="6"/>
      <c r="D456" s="6"/>
      <c r="E456" s="6"/>
      <c r="F456" s="6"/>
      <c r="G456" s="6"/>
      <c r="H456" s="6"/>
      <c r="I456" s="6"/>
      <c r="J456" s="6" t="str">
        <f t="shared" si="4"/>
        <v>FAIL</v>
      </c>
      <c r="K456" s="7" t="str">
        <f t="shared" si="3"/>
        <v>FAIL</v>
      </c>
      <c r="L456" s="8"/>
    </row>
    <row r="457" ht="15.75" customHeight="1">
      <c r="A457" s="4" t="s">
        <v>528</v>
      </c>
      <c r="B457" s="6"/>
      <c r="C457" s="6"/>
      <c r="D457" s="6"/>
      <c r="E457" s="6"/>
      <c r="F457" s="6"/>
      <c r="G457" s="6"/>
      <c r="H457" s="6"/>
      <c r="I457" s="6"/>
      <c r="J457" s="6" t="str">
        <f t="shared" si="4"/>
        <v/>
      </c>
      <c r="K457" s="7" t="str">
        <f t="shared" si="3"/>
        <v>FAIL</v>
      </c>
      <c r="L457" s="8"/>
    </row>
    <row r="458" ht="15.75" customHeight="1">
      <c r="A458" s="4" t="s">
        <v>529</v>
      </c>
      <c r="B458" s="6"/>
      <c r="C458" s="6"/>
      <c r="D458" s="6"/>
      <c r="E458" s="6"/>
      <c r="F458" s="6"/>
      <c r="G458" s="6"/>
      <c r="H458" s="6"/>
      <c r="I458" s="6"/>
      <c r="J458" s="6" t="str">
        <f t="shared" si="4"/>
        <v/>
      </c>
      <c r="K458" s="7" t="str">
        <f t="shared" si="3"/>
        <v>FAIL</v>
      </c>
      <c r="L458" s="8"/>
    </row>
    <row r="459" ht="15.75" customHeight="1">
      <c r="A459" s="4" t="s">
        <v>530</v>
      </c>
      <c r="B459" s="6"/>
      <c r="C459" s="6"/>
      <c r="D459" s="6"/>
      <c r="E459" s="6"/>
      <c r="F459" s="6"/>
      <c r="G459" s="6"/>
      <c r="H459" s="6"/>
      <c r="I459" s="6"/>
      <c r="J459" s="6" t="str">
        <f t="shared" si="4"/>
        <v/>
      </c>
      <c r="K459" s="7" t="str">
        <f t="shared" si="3"/>
        <v>FAIL</v>
      </c>
      <c r="L459" s="8"/>
    </row>
    <row r="460" ht="15.75" customHeight="1">
      <c r="A460" s="4" t="s">
        <v>531</v>
      </c>
      <c r="B460" s="6"/>
      <c r="C460" s="6"/>
      <c r="D460" s="6"/>
      <c r="E460" s="6"/>
      <c r="F460" s="6"/>
      <c r="G460" s="6"/>
      <c r="H460" s="6"/>
      <c r="I460" s="6"/>
      <c r="J460" s="6" t="str">
        <f t="shared" si="4"/>
        <v/>
      </c>
      <c r="K460" s="7" t="str">
        <f t="shared" si="3"/>
        <v>FAIL</v>
      </c>
      <c r="L460" s="8"/>
    </row>
    <row r="461" ht="15.75" customHeight="1">
      <c r="A461" s="4" t="s">
        <v>532</v>
      </c>
      <c r="B461" s="5" t="s">
        <v>19</v>
      </c>
      <c r="C461" s="6"/>
      <c r="D461" s="6"/>
      <c r="E461" s="6"/>
      <c r="F461" s="6"/>
      <c r="G461" s="6"/>
      <c r="H461" s="6"/>
      <c r="I461" s="6"/>
      <c r="J461" s="6" t="str">
        <f t="shared" si="4"/>
        <v>FAIL</v>
      </c>
      <c r="K461" s="7" t="str">
        <f t="shared" si="3"/>
        <v>FAIL</v>
      </c>
      <c r="L461" s="8"/>
    </row>
    <row r="462" ht="15.75" customHeight="1">
      <c r="A462" s="4" t="s">
        <v>533</v>
      </c>
      <c r="B462" s="5" t="s">
        <v>19</v>
      </c>
      <c r="C462" s="6"/>
      <c r="D462" s="6"/>
      <c r="E462" s="6"/>
      <c r="F462" s="6"/>
      <c r="G462" s="6"/>
      <c r="H462" s="6"/>
      <c r="I462" s="6"/>
      <c r="J462" s="6" t="str">
        <f t="shared" si="4"/>
        <v>FAIL</v>
      </c>
      <c r="K462" s="7" t="str">
        <f t="shared" si="3"/>
        <v>FAIL</v>
      </c>
      <c r="L462" s="8"/>
    </row>
    <row r="463" ht="15.75" customHeight="1">
      <c r="A463" s="4" t="s">
        <v>534</v>
      </c>
      <c r="B463" s="5" t="s">
        <v>19</v>
      </c>
      <c r="C463" s="6"/>
      <c r="D463" s="6"/>
      <c r="E463" s="6"/>
      <c r="F463" s="6"/>
      <c r="G463" s="6"/>
      <c r="H463" s="6"/>
      <c r="I463" s="6"/>
      <c r="J463" s="6" t="str">
        <f t="shared" si="4"/>
        <v>FAIL</v>
      </c>
      <c r="K463" s="7" t="str">
        <f t="shared" si="3"/>
        <v>FAIL</v>
      </c>
      <c r="L463" s="8"/>
    </row>
    <row r="464" ht="15.75" customHeight="1">
      <c r="A464" s="4" t="s">
        <v>535</v>
      </c>
      <c r="B464" s="5" t="s">
        <v>13</v>
      </c>
      <c r="C464" s="5" t="s">
        <v>14</v>
      </c>
      <c r="D464" s="5" t="s">
        <v>59</v>
      </c>
      <c r="E464" s="5" t="s">
        <v>16</v>
      </c>
      <c r="F464" s="5">
        <v>1.0</v>
      </c>
      <c r="G464" s="5" t="s">
        <v>13</v>
      </c>
      <c r="H464" s="5" t="s">
        <v>21</v>
      </c>
      <c r="I464" s="5" t="s">
        <v>22</v>
      </c>
      <c r="J464" s="6" t="str">
        <f t="shared" si="4"/>
        <v>PASS</v>
      </c>
      <c r="K464" s="7" t="str">
        <f t="shared" si="3"/>
        <v>FAIL</v>
      </c>
      <c r="L464" s="8"/>
    </row>
    <row r="465" ht="15.75" customHeight="1">
      <c r="A465" s="4" t="s">
        <v>536</v>
      </c>
      <c r="B465" s="5" t="s">
        <v>19</v>
      </c>
      <c r="C465" s="6"/>
      <c r="D465" s="6"/>
      <c r="E465" s="6"/>
      <c r="F465" s="6"/>
      <c r="G465" s="6"/>
      <c r="H465" s="6"/>
      <c r="I465" s="6"/>
      <c r="J465" s="6" t="str">
        <f t="shared" si="4"/>
        <v>FAIL</v>
      </c>
      <c r="K465" s="7" t="str">
        <f t="shared" si="3"/>
        <v>FAIL</v>
      </c>
      <c r="L465" s="8"/>
    </row>
    <row r="466" ht="15.75" customHeight="1">
      <c r="A466" s="4" t="s">
        <v>537</v>
      </c>
      <c r="B466" s="5" t="s">
        <v>19</v>
      </c>
      <c r="C466" s="6"/>
      <c r="D466" s="6"/>
      <c r="E466" s="6"/>
      <c r="F466" s="6"/>
      <c r="G466" s="6"/>
      <c r="H466" s="6"/>
      <c r="I466" s="6"/>
      <c r="J466" s="6" t="str">
        <f t="shared" si="4"/>
        <v>FAIL</v>
      </c>
      <c r="K466" s="7" t="str">
        <f t="shared" si="3"/>
        <v>FAIL</v>
      </c>
      <c r="L466" s="8"/>
    </row>
    <row r="467" ht="15.75" customHeight="1">
      <c r="A467" s="4" t="s">
        <v>538</v>
      </c>
      <c r="B467" s="6"/>
      <c r="C467" s="6"/>
      <c r="D467" s="6"/>
      <c r="E467" s="6"/>
      <c r="F467" s="6"/>
      <c r="G467" s="6"/>
      <c r="H467" s="6"/>
      <c r="I467" s="6"/>
      <c r="J467" s="6" t="str">
        <f t="shared" si="4"/>
        <v/>
      </c>
      <c r="K467" s="7" t="str">
        <f t="shared" si="3"/>
        <v>FAIL</v>
      </c>
      <c r="L467" s="8"/>
    </row>
    <row r="468" ht="15.75" customHeight="1">
      <c r="A468" s="4" t="s">
        <v>539</v>
      </c>
      <c r="B468" s="5" t="s">
        <v>19</v>
      </c>
      <c r="C468" s="6"/>
      <c r="D468" s="6"/>
      <c r="E468" s="6"/>
      <c r="F468" s="6"/>
      <c r="G468" s="6"/>
      <c r="H468" s="6"/>
      <c r="I468" s="6"/>
      <c r="J468" s="6" t="str">
        <f t="shared" si="4"/>
        <v>FAIL</v>
      </c>
      <c r="K468" s="7" t="str">
        <f t="shared" si="3"/>
        <v>FAIL</v>
      </c>
      <c r="L468" s="8"/>
    </row>
    <row r="469" ht="15.75" customHeight="1">
      <c r="A469" s="4" t="s">
        <v>540</v>
      </c>
      <c r="B469" s="5" t="s">
        <v>19</v>
      </c>
      <c r="C469" s="6"/>
      <c r="D469" s="6"/>
      <c r="E469" s="6"/>
      <c r="F469" s="6"/>
      <c r="G469" s="6"/>
      <c r="H469" s="6"/>
      <c r="I469" s="6"/>
      <c r="J469" s="6" t="str">
        <f t="shared" si="4"/>
        <v>FAIL</v>
      </c>
      <c r="K469" s="7" t="str">
        <f t="shared" si="3"/>
        <v>FAIL</v>
      </c>
      <c r="L469" s="8"/>
    </row>
    <row r="470" ht="15.75" customHeight="1">
      <c r="A470" s="4" t="s">
        <v>541</v>
      </c>
      <c r="B470" s="5" t="s">
        <v>19</v>
      </c>
      <c r="C470" s="6"/>
      <c r="D470" s="6"/>
      <c r="E470" s="6"/>
      <c r="F470" s="6"/>
      <c r="G470" s="6"/>
      <c r="H470" s="6"/>
      <c r="I470" s="6"/>
      <c r="J470" s="6" t="str">
        <f t="shared" si="4"/>
        <v>FAIL</v>
      </c>
      <c r="K470" s="7" t="str">
        <f t="shared" si="3"/>
        <v>FAIL</v>
      </c>
      <c r="L470" s="8"/>
    </row>
    <row r="471" ht="15.75" customHeight="1">
      <c r="A471" s="4" t="s">
        <v>542</v>
      </c>
      <c r="B471" s="5" t="s">
        <v>19</v>
      </c>
      <c r="C471" s="6"/>
      <c r="D471" s="6"/>
      <c r="E471" s="6"/>
      <c r="F471" s="6"/>
      <c r="G471" s="6"/>
      <c r="H471" s="6"/>
      <c r="I471" s="6"/>
      <c r="J471" s="6" t="str">
        <f t="shared" si="4"/>
        <v>FAIL</v>
      </c>
      <c r="K471" s="7" t="str">
        <f t="shared" si="3"/>
        <v>FAIL</v>
      </c>
      <c r="L471" s="8"/>
    </row>
    <row r="472" ht="15.75" customHeight="1">
      <c r="A472" s="4" t="s">
        <v>543</v>
      </c>
      <c r="B472" s="6"/>
      <c r="C472" s="6"/>
      <c r="D472" s="6"/>
      <c r="E472" s="6"/>
      <c r="F472" s="6"/>
      <c r="G472" s="6"/>
      <c r="H472" s="6"/>
      <c r="I472" s="6"/>
      <c r="J472" s="6" t="str">
        <f t="shared" si="4"/>
        <v/>
      </c>
      <c r="K472" s="7" t="str">
        <f t="shared" si="3"/>
        <v>FAIL</v>
      </c>
      <c r="L472" s="8"/>
    </row>
    <row r="473" ht="15.75" customHeight="1">
      <c r="A473" s="4" t="s">
        <v>544</v>
      </c>
      <c r="B473" s="5" t="s">
        <v>19</v>
      </c>
      <c r="C473" s="6"/>
      <c r="D473" s="6"/>
      <c r="E473" s="6"/>
      <c r="F473" s="6"/>
      <c r="G473" s="6"/>
      <c r="H473" s="6"/>
      <c r="I473" s="6"/>
      <c r="J473" s="6" t="str">
        <f t="shared" si="4"/>
        <v>FAIL</v>
      </c>
      <c r="K473" s="7" t="str">
        <f t="shared" si="3"/>
        <v>FAIL</v>
      </c>
      <c r="L473" s="8"/>
    </row>
    <row r="474" ht="15.75" customHeight="1">
      <c r="A474" s="4" t="s">
        <v>545</v>
      </c>
      <c r="B474" s="5" t="s">
        <v>19</v>
      </c>
      <c r="C474" s="6"/>
      <c r="D474" s="6"/>
      <c r="E474" s="6"/>
      <c r="F474" s="6"/>
      <c r="G474" s="6"/>
      <c r="H474" s="6"/>
      <c r="I474" s="6"/>
      <c r="J474" s="6" t="str">
        <f t="shared" si="4"/>
        <v>FAIL</v>
      </c>
      <c r="K474" s="7" t="str">
        <f t="shared" si="3"/>
        <v>FAIL</v>
      </c>
      <c r="L474" s="8"/>
    </row>
    <row r="475" ht="15.75" customHeight="1">
      <c r="A475" s="4" t="s">
        <v>546</v>
      </c>
      <c r="B475" s="5" t="s">
        <v>19</v>
      </c>
      <c r="C475" s="6"/>
      <c r="D475" s="6"/>
      <c r="E475" s="6"/>
      <c r="F475" s="6"/>
      <c r="G475" s="6"/>
      <c r="H475" s="6"/>
      <c r="I475" s="6"/>
      <c r="J475" s="6" t="str">
        <f t="shared" si="4"/>
        <v>FAIL</v>
      </c>
      <c r="K475" s="7" t="str">
        <f t="shared" si="3"/>
        <v>FAIL</v>
      </c>
      <c r="L475" s="8"/>
    </row>
    <row r="476" ht="15.75" customHeight="1">
      <c r="A476" s="4" t="s">
        <v>547</v>
      </c>
      <c r="B476" s="5" t="s">
        <v>19</v>
      </c>
      <c r="C476" s="6"/>
      <c r="D476" s="6"/>
      <c r="E476" s="6"/>
      <c r="F476" s="6"/>
      <c r="G476" s="6"/>
      <c r="H476" s="6"/>
      <c r="I476" s="6"/>
      <c r="J476" s="6" t="str">
        <f t="shared" si="4"/>
        <v>FAIL</v>
      </c>
      <c r="K476" s="7" t="str">
        <f t="shared" si="3"/>
        <v>FAIL</v>
      </c>
      <c r="L476" s="8"/>
    </row>
    <row r="477" ht="15.75" customHeight="1">
      <c r="A477" s="4" t="s">
        <v>548</v>
      </c>
      <c r="B477" s="5" t="s">
        <v>19</v>
      </c>
      <c r="C477" s="6"/>
      <c r="D477" s="6"/>
      <c r="E477" s="6"/>
      <c r="F477" s="6"/>
      <c r="G477" s="6"/>
      <c r="H477" s="6"/>
      <c r="I477" s="6"/>
      <c r="J477" s="6" t="str">
        <f t="shared" si="4"/>
        <v>FAIL</v>
      </c>
      <c r="K477" s="7" t="str">
        <f t="shared" si="3"/>
        <v>FAIL</v>
      </c>
      <c r="L477" s="8"/>
    </row>
    <row r="478" ht="15.75" customHeight="1">
      <c r="A478" s="4" t="s">
        <v>549</v>
      </c>
      <c r="B478" s="5" t="s">
        <v>19</v>
      </c>
      <c r="C478" s="6"/>
      <c r="D478" s="6"/>
      <c r="E478" s="6"/>
      <c r="F478" s="6"/>
      <c r="G478" s="6"/>
      <c r="H478" s="6"/>
      <c r="I478" s="6"/>
      <c r="J478" s="6" t="str">
        <f t="shared" si="4"/>
        <v>FAIL</v>
      </c>
      <c r="K478" s="7" t="str">
        <f t="shared" si="3"/>
        <v>FAIL</v>
      </c>
      <c r="L478" s="8"/>
    </row>
    <row r="479" ht="15.75" customHeight="1">
      <c r="A479" s="4" t="s">
        <v>550</v>
      </c>
      <c r="B479" s="5" t="s">
        <v>19</v>
      </c>
      <c r="C479" s="6"/>
      <c r="D479" s="6"/>
      <c r="E479" s="6"/>
      <c r="F479" s="6"/>
      <c r="G479" s="6"/>
      <c r="H479" s="6"/>
      <c r="I479" s="6"/>
      <c r="J479" s="6" t="str">
        <f t="shared" si="4"/>
        <v>FAIL</v>
      </c>
      <c r="K479" s="7" t="str">
        <f t="shared" si="3"/>
        <v>FAIL</v>
      </c>
      <c r="L479" s="8"/>
    </row>
    <row r="480" ht="15.75" customHeight="1">
      <c r="A480" s="4" t="s">
        <v>551</v>
      </c>
      <c r="B480" s="6"/>
      <c r="C480" s="6"/>
      <c r="D480" s="6"/>
      <c r="E480" s="6"/>
      <c r="F480" s="6"/>
      <c r="G480" s="6"/>
      <c r="H480" s="6"/>
      <c r="I480" s="6"/>
      <c r="J480" s="6" t="str">
        <f t="shared" si="4"/>
        <v/>
      </c>
      <c r="K480" s="7" t="str">
        <f t="shared" si="3"/>
        <v>FAIL</v>
      </c>
      <c r="L480" s="8"/>
    </row>
    <row r="481" ht="15.75" customHeight="1">
      <c r="A481" s="4" t="s">
        <v>552</v>
      </c>
      <c r="B481" s="5" t="s">
        <v>19</v>
      </c>
      <c r="C481" s="6"/>
      <c r="D481" s="6"/>
      <c r="E481" s="6"/>
      <c r="F481" s="6"/>
      <c r="G481" s="6"/>
      <c r="H481" s="6"/>
      <c r="I481" s="6"/>
      <c r="J481" s="6" t="str">
        <f t="shared" si="4"/>
        <v>FAIL</v>
      </c>
      <c r="K481" s="7" t="str">
        <f t="shared" si="3"/>
        <v>FAIL</v>
      </c>
      <c r="L481" s="8"/>
    </row>
    <row r="482" ht="15.75" customHeight="1">
      <c r="A482" s="4" t="s">
        <v>553</v>
      </c>
      <c r="B482" s="5" t="s">
        <v>19</v>
      </c>
      <c r="C482" s="6"/>
      <c r="D482" s="6"/>
      <c r="E482" s="6"/>
      <c r="F482" s="6"/>
      <c r="G482" s="6"/>
      <c r="H482" s="6"/>
      <c r="I482" s="6"/>
      <c r="J482" s="6" t="str">
        <f t="shared" si="4"/>
        <v>FAIL</v>
      </c>
      <c r="K482" s="7" t="str">
        <f t="shared" si="3"/>
        <v>FAIL</v>
      </c>
      <c r="L482" s="8"/>
    </row>
    <row r="483" ht="15.75" customHeight="1">
      <c r="A483" s="4" t="s">
        <v>554</v>
      </c>
      <c r="B483" s="6"/>
      <c r="C483" s="6"/>
      <c r="D483" s="6"/>
      <c r="E483" s="6"/>
      <c r="F483" s="6"/>
      <c r="G483" s="6"/>
      <c r="H483" s="6"/>
      <c r="I483" s="6"/>
      <c r="J483" s="6" t="str">
        <f t="shared" si="4"/>
        <v/>
      </c>
      <c r="K483" s="7" t="str">
        <f t="shared" si="3"/>
        <v>FAIL</v>
      </c>
      <c r="L483" s="8"/>
    </row>
    <row r="484" ht="15.75" customHeight="1">
      <c r="A484" s="4" t="s">
        <v>555</v>
      </c>
      <c r="B484" s="5" t="s">
        <v>19</v>
      </c>
      <c r="C484" s="6"/>
      <c r="D484" s="6"/>
      <c r="E484" s="6"/>
      <c r="F484" s="6"/>
      <c r="G484" s="6"/>
      <c r="H484" s="6"/>
      <c r="I484" s="6"/>
      <c r="J484" s="6" t="str">
        <f t="shared" si="4"/>
        <v>FAIL</v>
      </c>
      <c r="K484" s="7" t="str">
        <f t="shared" si="3"/>
        <v>FAIL</v>
      </c>
      <c r="L484" s="8"/>
    </row>
    <row r="485" ht="15.75" customHeight="1">
      <c r="A485" s="4" t="s">
        <v>556</v>
      </c>
      <c r="B485" s="6"/>
      <c r="C485" s="6"/>
      <c r="D485" s="6"/>
      <c r="E485" s="6"/>
      <c r="F485" s="6"/>
      <c r="G485" s="6"/>
      <c r="H485" s="6"/>
      <c r="I485" s="6"/>
      <c r="J485" s="6" t="str">
        <f t="shared" si="4"/>
        <v/>
      </c>
      <c r="K485" s="7" t="str">
        <f t="shared" si="3"/>
        <v>FAIL</v>
      </c>
      <c r="L485" s="8"/>
    </row>
    <row r="486" ht="15.75" customHeight="1">
      <c r="A486" s="4" t="s">
        <v>557</v>
      </c>
      <c r="B486" s="5" t="s">
        <v>19</v>
      </c>
      <c r="C486" s="6"/>
      <c r="D486" s="6"/>
      <c r="E486" s="6"/>
      <c r="F486" s="6"/>
      <c r="G486" s="6"/>
      <c r="H486" s="6"/>
      <c r="I486" s="6"/>
      <c r="J486" s="6" t="str">
        <f t="shared" si="4"/>
        <v>FAIL</v>
      </c>
      <c r="K486" s="7" t="str">
        <f t="shared" si="3"/>
        <v>FAIL</v>
      </c>
      <c r="L486" s="8"/>
    </row>
    <row r="487" ht="15.75" customHeight="1">
      <c r="A487" s="4" t="s">
        <v>558</v>
      </c>
      <c r="B487" s="6"/>
      <c r="C487" s="6"/>
      <c r="D487" s="6"/>
      <c r="E487" s="6"/>
      <c r="F487" s="6"/>
      <c r="G487" s="6"/>
      <c r="H487" s="6"/>
      <c r="I487" s="6"/>
      <c r="J487" s="6" t="str">
        <f t="shared" si="4"/>
        <v/>
      </c>
      <c r="K487" s="7" t="str">
        <f t="shared" si="3"/>
        <v>FAIL</v>
      </c>
      <c r="L487" s="8"/>
    </row>
    <row r="488" ht="15.75" customHeight="1">
      <c r="A488" s="4" t="s">
        <v>559</v>
      </c>
      <c r="B488" s="5" t="s">
        <v>19</v>
      </c>
      <c r="C488" s="6"/>
      <c r="D488" s="6"/>
      <c r="E488" s="6"/>
      <c r="F488" s="6"/>
      <c r="G488" s="6"/>
      <c r="H488" s="6"/>
      <c r="I488" s="6"/>
      <c r="J488" s="6" t="str">
        <f t="shared" si="4"/>
        <v>FAIL</v>
      </c>
      <c r="K488" s="7" t="str">
        <f t="shared" si="3"/>
        <v>FAIL</v>
      </c>
      <c r="L488" s="8"/>
    </row>
    <row r="489" ht="15.75" customHeight="1">
      <c r="A489" s="4" t="s">
        <v>560</v>
      </c>
      <c r="B489" s="6"/>
      <c r="C489" s="6"/>
      <c r="D489" s="6"/>
      <c r="E489" s="6"/>
      <c r="F489" s="6"/>
      <c r="G489" s="6"/>
      <c r="H489" s="6"/>
      <c r="I489" s="6"/>
      <c r="J489" s="6" t="str">
        <f t="shared" si="4"/>
        <v/>
      </c>
      <c r="K489" s="7" t="str">
        <f t="shared" si="3"/>
        <v>FAIL</v>
      </c>
      <c r="L489" s="8"/>
    </row>
    <row r="490" ht="15.75" customHeight="1">
      <c r="A490" s="4" t="s">
        <v>561</v>
      </c>
      <c r="B490" s="5" t="s">
        <v>19</v>
      </c>
      <c r="C490" s="6"/>
      <c r="D490" s="6"/>
      <c r="E490" s="6"/>
      <c r="F490" s="6"/>
      <c r="G490" s="6"/>
      <c r="H490" s="6"/>
      <c r="I490" s="6"/>
      <c r="J490" s="6" t="str">
        <f t="shared" si="4"/>
        <v>FAIL</v>
      </c>
      <c r="K490" s="7" t="str">
        <f t="shared" si="3"/>
        <v>FAIL</v>
      </c>
      <c r="L490" s="8"/>
    </row>
    <row r="491" ht="15.75" customHeight="1">
      <c r="A491" s="4" t="s">
        <v>562</v>
      </c>
      <c r="B491" s="5" t="s">
        <v>19</v>
      </c>
      <c r="C491" s="6"/>
      <c r="D491" s="6"/>
      <c r="E491" s="6"/>
      <c r="F491" s="6"/>
      <c r="G491" s="6"/>
      <c r="H491" s="6"/>
      <c r="I491" s="6"/>
      <c r="J491" s="6" t="str">
        <f t="shared" si="4"/>
        <v>FAIL</v>
      </c>
      <c r="K491" s="7" t="str">
        <f t="shared" si="3"/>
        <v>FAIL</v>
      </c>
      <c r="L491" s="8"/>
    </row>
    <row r="492" ht="15.75" customHeight="1">
      <c r="A492" s="4" t="s">
        <v>563</v>
      </c>
      <c r="B492" s="5" t="s">
        <v>19</v>
      </c>
      <c r="C492" s="6"/>
      <c r="D492" s="6"/>
      <c r="E492" s="6"/>
      <c r="F492" s="6"/>
      <c r="G492" s="6"/>
      <c r="H492" s="6"/>
      <c r="I492" s="6"/>
      <c r="J492" s="6" t="str">
        <f t="shared" si="4"/>
        <v>FAIL</v>
      </c>
      <c r="K492" s="7" t="str">
        <f t="shared" si="3"/>
        <v>FAIL</v>
      </c>
      <c r="L492" s="8"/>
    </row>
    <row r="493" ht="15.75" customHeight="1">
      <c r="A493" s="4" t="s">
        <v>564</v>
      </c>
      <c r="B493" s="5" t="s">
        <v>19</v>
      </c>
      <c r="C493" s="6"/>
      <c r="D493" s="6"/>
      <c r="E493" s="6"/>
      <c r="F493" s="6"/>
      <c r="G493" s="6"/>
      <c r="H493" s="6"/>
      <c r="I493" s="6"/>
      <c r="J493" s="6" t="str">
        <f t="shared" si="4"/>
        <v>FAIL</v>
      </c>
      <c r="K493" s="7" t="str">
        <f t="shared" si="3"/>
        <v>FAIL</v>
      </c>
      <c r="L493" s="8"/>
    </row>
    <row r="494" ht="15.75" customHeight="1">
      <c r="A494" s="4" t="s">
        <v>565</v>
      </c>
      <c r="B494" s="5" t="s">
        <v>13</v>
      </c>
      <c r="C494" s="5" t="s">
        <v>15</v>
      </c>
      <c r="D494" s="5" t="s">
        <v>59</v>
      </c>
      <c r="E494" s="5" t="s">
        <v>16</v>
      </c>
      <c r="F494" s="5">
        <v>3.0</v>
      </c>
      <c r="G494" s="5" t="s">
        <v>13</v>
      </c>
      <c r="H494" s="5" t="s">
        <v>16</v>
      </c>
      <c r="I494" s="5" t="s">
        <v>17</v>
      </c>
      <c r="J494" s="6" t="str">
        <f t="shared" si="4"/>
        <v>FAIL</v>
      </c>
      <c r="K494" s="7" t="str">
        <f t="shared" si="3"/>
        <v>FAIL</v>
      </c>
      <c r="L494" s="8"/>
    </row>
    <row r="495" ht="15.75" customHeight="1">
      <c r="A495" s="4" t="s">
        <v>566</v>
      </c>
      <c r="B495" s="5" t="s">
        <v>19</v>
      </c>
      <c r="C495" s="6"/>
      <c r="D495" s="6"/>
      <c r="E495" s="6"/>
      <c r="F495" s="6"/>
      <c r="G495" s="6"/>
      <c r="H495" s="6"/>
      <c r="I495" s="6"/>
      <c r="J495" s="6" t="str">
        <f t="shared" si="4"/>
        <v>FAIL</v>
      </c>
      <c r="K495" s="7" t="str">
        <f t="shared" si="3"/>
        <v>FAIL</v>
      </c>
      <c r="L495" s="8"/>
    </row>
    <row r="496" ht="15.75" customHeight="1">
      <c r="A496" s="4" t="s">
        <v>567</v>
      </c>
      <c r="B496" s="5" t="s">
        <v>19</v>
      </c>
      <c r="C496" s="6"/>
      <c r="D496" s="6"/>
      <c r="E496" s="6"/>
      <c r="F496" s="6"/>
      <c r="G496" s="6"/>
      <c r="H496" s="6"/>
      <c r="I496" s="6"/>
      <c r="J496" s="6" t="str">
        <f t="shared" si="4"/>
        <v>FAIL</v>
      </c>
      <c r="K496" s="7" t="str">
        <f t="shared" si="3"/>
        <v>FAIL</v>
      </c>
      <c r="L496" s="8"/>
    </row>
    <row r="497" ht="15.75" customHeight="1">
      <c r="A497" s="4" t="s">
        <v>568</v>
      </c>
      <c r="B497" s="5" t="s">
        <v>19</v>
      </c>
      <c r="C497" s="6"/>
      <c r="D497" s="6"/>
      <c r="E497" s="6"/>
      <c r="F497" s="6"/>
      <c r="G497" s="6"/>
      <c r="H497" s="6"/>
      <c r="I497" s="6"/>
      <c r="J497" s="6" t="str">
        <f t="shared" si="4"/>
        <v>FAIL</v>
      </c>
      <c r="K497" s="7" t="str">
        <f t="shared" si="3"/>
        <v>FAIL</v>
      </c>
      <c r="L497" s="8"/>
    </row>
    <row r="498" ht="15.75" customHeight="1">
      <c r="A498" s="4" t="s">
        <v>569</v>
      </c>
      <c r="B498" s="6"/>
      <c r="C498" s="6"/>
      <c r="D498" s="6"/>
      <c r="E498" s="6"/>
      <c r="F498" s="6"/>
      <c r="G498" s="6"/>
      <c r="H498" s="6"/>
      <c r="I498" s="6"/>
      <c r="J498" s="6" t="str">
        <f t="shared" si="4"/>
        <v/>
      </c>
      <c r="K498" s="7" t="str">
        <f t="shared" si="3"/>
        <v>FAIL</v>
      </c>
      <c r="L498" s="8"/>
    </row>
    <row r="499" ht="15.75" customHeight="1">
      <c r="A499" s="4" t="s">
        <v>570</v>
      </c>
      <c r="B499" s="5" t="s">
        <v>19</v>
      </c>
      <c r="C499" s="6"/>
      <c r="D499" s="6"/>
      <c r="E499" s="6"/>
      <c r="F499" s="6"/>
      <c r="G499" s="6"/>
      <c r="H499" s="6"/>
      <c r="I499" s="6"/>
      <c r="J499" s="6" t="str">
        <f t="shared" si="4"/>
        <v>FAIL</v>
      </c>
      <c r="K499" s="7" t="str">
        <f t="shared" si="3"/>
        <v>FAIL</v>
      </c>
      <c r="L499" s="8"/>
    </row>
    <row r="500" ht="15.75" customHeight="1">
      <c r="A500" s="4" t="s">
        <v>571</v>
      </c>
      <c r="B500" s="6"/>
      <c r="C500" s="6"/>
      <c r="D500" s="6"/>
      <c r="E500" s="6"/>
      <c r="F500" s="6"/>
      <c r="G500" s="6"/>
      <c r="H500" s="6"/>
      <c r="I500" s="6"/>
      <c r="J500" s="6" t="str">
        <f t="shared" si="4"/>
        <v/>
      </c>
      <c r="K500" s="7" t="str">
        <f t="shared" si="3"/>
        <v>FAIL</v>
      </c>
      <c r="L500" s="8"/>
    </row>
    <row r="501" ht="15.75" customHeight="1">
      <c r="A501" s="4" t="s">
        <v>572</v>
      </c>
      <c r="B501" s="5" t="s">
        <v>19</v>
      </c>
      <c r="C501" s="6"/>
      <c r="D501" s="6"/>
      <c r="E501" s="6"/>
      <c r="F501" s="6"/>
      <c r="G501" s="6"/>
      <c r="H501" s="6"/>
      <c r="I501" s="6"/>
      <c r="J501" s="6" t="str">
        <f t="shared" si="4"/>
        <v>FAIL</v>
      </c>
      <c r="K501" s="7" t="str">
        <f t="shared" si="3"/>
        <v>FAIL</v>
      </c>
      <c r="L501" s="8"/>
    </row>
    <row r="502" ht="15.75" customHeight="1">
      <c r="A502" s="4" t="s">
        <v>573</v>
      </c>
      <c r="B502" s="5" t="s">
        <v>19</v>
      </c>
      <c r="C502" s="6"/>
      <c r="D502" s="6"/>
      <c r="E502" s="6"/>
      <c r="F502" s="6"/>
      <c r="G502" s="6"/>
      <c r="H502" s="6"/>
      <c r="I502" s="6"/>
      <c r="J502" s="6" t="str">
        <f t="shared" si="4"/>
        <v>FAIL</v>
      </c>
      <c r="K502" s="7" t="str">
        <f t="shared" si="3"/>
        <v>FAIL</v>
      </c>
      <c r="L502" s="8"/>
    </row>
    <row r="503" ht="15.75" customHeight="1">
      <c r="A503" s="4" t="s">
        <v>574</v>
      </c>
      <c r="B503" s="5" t="s">
        <v>19</v>
      </c>
      <c r="C503" s="6"/>
      <c r="D503" s="6"/>
      <c r="E503" s="6"/>
      <c r="F503" s="6"/>
      <c r="G503" s="6"/>
      <c r="H503" s="6"/>
      <c r="I503" s="6"/>
      <c r="J503" s="6" t="str">
        <f t="shared" si="4"/>
        <v>FAIL</v>
      </c>
      <c r="K503" s="7" t="str">
        <f t="shared" si="3"/>
        <v>FAIL</v>
      </c>
      <c r="L503" s="8"/>
    </row>
    <row r="504" ht="15.75" customHeight="1">
      <c r="A504" s="4" t="s">
        <v>575</v>
      </c>
      <c r="B504" s="5" t="s">
        <v>19</v>
      </c>
      <c r="C504" s="6"/>
      <c r="D504" s="6"/>
      <c r="E504" s="6"/>
      <c r="F504" s="6"/>
      <c r="G504" s="6"/>
      <c r="H504" s="6"/>
      <c r="I504" s="6"/>
      <c r="J504" s="6" t="str">
        <f t="shared" si="4"/>
        <v>FAIL</v>
      </c>
      <c r="K504" s="7" t="str">
        <f t="shared" si="3"/>
        <v>FAIL</v>
      </c>
      <c r="L504" s="8"/>
    </row>
    <row r="505" ht="15.75" customHeight="1">
      <c r="A505" s="4" t="s">
        <v>576</v>
      </c>
      <c r="B505" s="5" t="s">
        <v>19</v>
      </c>
      <c r="C505" s="6"/>
      <c r="D505" s="6"/>
      <c r="E505" s="6"/>
      <c r="F505" s="6"/>
      <c r="G505" s="6"/>
      <c r="H505" s="6"/>
      <c r="I505" s="6"/>
      <c r="J505" s="6" t="str">
        <f t="shared" si="4"/>
        <v>FAIL</v>
      </c>
      <c r="K505" s="7" t="str">
        <f t="shared" si="3"/>
        <v>FAIL</v>
      </c>
      <c r="L505" s="8"/>
    </row>
    <row r="506" ht="15.75" customHeight="1">
      <c r="A506" s="4" t="s">
        <v>577</v>
      </c>
      <c r="B506" s="5" t="s">
        <v>19</v>
      </c>
      <c r="C506" s="6"/>
      <c r="D506" s="6"/>
      <c r="E506" s="6"/>
      <c r="F506" s="6"/>
      <c r="G506" s="6"/>
      <c r="H506" s="6"/>
      <c r="I506" s="6"/>
      <c r="J506" s="6" t="str">
        <f t="shared" si="4"/>
        <v>FAIL</v>
      </c>
      <c r="K506" s="7" t="str">
        <f t="shared" si="3"/>
        <v>FAIL</v>
      </c>
      <c r="L506" s="8"/>
    </row>
    <row r="507" ht="15.75" customHeight="1">
      <c r="A507" s="4" t="s">
        <v>578</v>
      </c>
      <c r="B507" s="6"/>
      <c r="C507" s="6"/>
      <c r="D507" s="6"/>
      <c r="E507" s="6"/>
      <c r="F507" s="6"/>
      <c r="G507" s="6"/>
      <c r="H507" s="6"/>
      <c r="I507" s="6"/>
      <c r="J507" s="6" t="str">
        <f t="shared" si="4"/>
        <v/>
      </c>
      <c r="K507" s="7" t="str">
        <f t="shared" si="3"/>
        <v>FAIL</v>
      </c>
      <c r="L507" s="8"/>
    </row>
    <row r="508" ht="15.75" customHeight="1">
      <c r="A508" s="4" t="s">
        <v>579</v>
      </c>
      <c r="B508" s="5" t="s">
        <v>19</v>
      </c>
      <c r="C508" s="6"/>
      <c r="D508" s="6"/>
      <c r="E508" s="6"/>
      <c r="F508" s="6"/>
      <c r="G508" s="6"/>
      <c r="H508" s="6"/>
      <c r="I508" s="6"/>
      <c r="J508" s="6" t="str">
        <f t="shared" si="4"/>
        <v>FAIL</v>
      </c>
      <c r="K508" s="7" t="str">
        <f t="shared" si="3"/>
        <v>FAIL</v>
      </c>
      <c r="L508" s="8"/>
    </row>
    <row r="509" ht="15.75" customHeight="1">
      <c r="A509" s="4" t="s">
        <v>580</v>
      </c>
      <c r="B509" s="6"/>
      <c r="C509" s="6"/>
      <c r="D509" s="6"/>
      <c r="E509" s="6"/>
      <c r="F509" s="6"/>
      <c r="G509" s="6"/>
      <c r="H509" s="6"/>
      <c r="I509" s="6"/>
      <c r="J509" s="6" t="str">
        <f t="shared" si="4"/>
        <v/>
      </c>
      <c r="K509" s="7" t="str">
        <f t="shared" si="3"/>
        <v>FAIL</v>
      </c>
      <c r="L509" s="8"/>
    </row>
    <row r="510" ht="15.75" customHeight="1">
      <c r="A510" s="4" t="s">
        <v>581</v>
      </c>
      <c r="B510" s="5" t="s">
        <v>19</v>
      </c>
      <c r="C510" s="6"/>
      <c r="D510" s="6"/>
      <c r="E510" s="6"/>
      <c r="F510" s="6"/>
      <c r="G510" s="6"/>
      <c r="H510" s="6"/>
      <c r="I510" s="6"/>
      <c r="J510" s="6" t="str">
        <f t="shared" si="4"/>
        <v>FAIL</v>
      </c>
      <c r="K510" s="7" t="str">
        <f t="shared" si="3"/>
        <v>FAIL</v>
      </c>
      <c r="L510" s="8"/>
    </row>
    <row r="511" ht="15.75" customHeight="1">
      <c r="A511" s="4" t="s">
        <v>582</v>
      </c>
      <c r="B511" s="5" t="s">
        <v>13</v>
      </c>
      <c r="C511" s="5" t="s">
        <v>16</v>
      </c>
      <c r="D511" s="5" t="s">
        <v>59</v>
      </c>
      <c r="E511" s="5" t="s">
        <v>16</v>
      </c>
      <c r="F511" s="5">
        <v>1.0</v>
      </c>
      <c r="G511" s="5" t="s">
        <v>13</v>
      </c>
      <c r="H511" s="5" t="s">
        <v>16</v>
      </c>
      <c r="I511" s="5" t="s">
        <v>22</v>
      </c>
      <c r="J511" s="6" t="str">
        <f t="shared" si="4"/>
        <v>PASS</v>
      </c>
      <c r="K511" s="7" t="str">
        <f t="shared" si="3"/>
        <v>FAIL</v>
      </c>
      <c r="L511" s="8"/>
    </row>
    <row r="512" ht="15.75" customHeight="1">
      <c r="A512" s="4" t="s">
        <v>583</v>
      </c>
      <c r="B512" s="6"/>
      <c r="C512" s="6"/>
      <c r="D512" s="6"/>
      <c r="E512" s="6"/>
      <c r="F512" s="6"/>
      <c r="G512" s="6"/>
      <c r="H512" s="6"/>
      <c r="I512" s="6"/>
      <c r="J512" s="6" t="str">
        <f t="shared" si="4"/>
        <v/>
      </c>
      <c r="K512" s="7" t="str">
        <f t="shared" si="3"/>
        <v>FAIL</v>
      </c>
      <c r="L512" s="8"/>
    </row>
    <row r="513" ht="15.75" customHeight="1">
      <c r="A513" s="4" t="s">
        <v>584</v>
      </c>
      <c r="B513" s="6"/>
      <c r="C513" s="6"/>
      <c r="D513" s="6"/>
      <c r="E513" s="6"/>
      <c r="F513" s="6"/>
      <c r="G513" s="6"/>
      <c r="H513" s="6"/>
      <c r="I513" s="6"/>
      <c r="J513" s="6" t="str">
        <f t="shared" si="4"/>
        <v/>
      </c>
      <c r="K513" s="7" t="str">
        <f t="shared" si="3"/>
        <v>FAIL</v>
      </c>
      <c r="L513" s="8"/>
    </row>
    <row r="514" ht="15.75" customHeight="1">
      <c r="A514" s="4" t="s">
        <v>585</v>
      </c>
      <c r="B514" s="5" t="s">
        <v>19</v>
      </c>
      <c r="C514" s="6"/>
      <c r="D514" s="6"/>
      <c r="E514" s="6"/>
      <c r="F514" s="6"/>
      <c r="G514" s="6"/>
      <c r="H514" s="6"/>
      <c r="I514" s="6"/>
      <c r="J514" s="6" t="str">
        <f t="shared" si="4"/>
        <v>FAIL</v>
      </c>
      <c r="K514" s="7" t="str">
        <f t="shared" si="3"/>
        <v>FAIL</v>
      </c>
      <c r="L514" s="8"/>
    </row>
    <row r="515" ht="15.75" customHeight="1">
      <c r="A515" s="4" t="s">
        <v>586</v>
      </c>
      <c r="B515" s="5" t="s">
        <v>19</v>
      </c>
      <c r="C515" s="6"/>
      <c r="D515" s="6"/>
      <c r="E515" s="6"/>
      <c r="F515" s="6"/>
      <c r="G515" s="6"/>
      <c r="H515" s="6"/>
      <c r="I515" s="6"/>
      <c r="J515" s="6" t="str">
        <f t="shared" si="4"/>
        <v>FAIL</v>
      </c>
      <c r="K515" s="7" t="str">
        <f t="shared" si="3"/>
        <v>FAIL</v>
      </c>
      <c r="L515" s="8"/>
    </row>
    <row r="516" ht="15.75" customHeight="1">
      <c r="A516" s="4" t="s">
        <v>587</v>
      </c>
      <c r="B516" s="6"/>
      <c r="C516" s="6"/>
      <c r="D516" s="6"/>
      <c r="E516" s="6"/>
      <c r="F516" s="6"/>
      <c r="G516" s="6"/>
      <c r="H516" s="6"/>
      <c r="I516" s="6"/>
      <c r="J516" s="6" t="str">
        <f t="shared" si="4"/>
        <v/>
      </c>
      <c r="K516" s="7" t="str">
        <f t="shared" si="3"/>
        <v>FAIL</v>
      </c>
      <c r="L516" s="8"/>
    </row>
    <row r="517" ht="15.75" customHeight="1">
      <c r="A517" s="4" t="s">
        <v>588</v>
      </c>
      <c r="B517" s="5" t="s">
        <v>19</v>
      </c>
      <c r="C517" s="6"/>
      <c r="D517" s="6"/>
      <c r="E517" s="6"/>
      <c r="F517" s="6"/>
      <c r="G517" s="6"/>
      <c r="H517" s="6"/>
      <c r="I517" s="6"/>
      <c r="J517" s="6" t="str">
        <f t="shared" si="4"/>
        <v>FAIL</v>
      </c>
      <c r="K517" s="7" t="str">
        <f t="shared" si="3"/>
        <v>FAIL</v>
      </c>
      <c r="L517" s="8"/>
    </row>
    <row r="518" ht="15.75" customHeight="1">
      <c r="A518" s="4" t="s">
        <v>589</v>
      </c>
      <c r="B518" s="6"/>
      <c r="C518" s="6"/>
      <c r="D518" s="6"/>
      <c r="E518" s="6"/>
      <c r="F518" s="6"/>
      <c r="G518" s="6"/>
      <c r="H518" s="6"/>
      <c r="I518" s="6"/>
      <c r="J518" s="6" t="str">
        <f t="shared" si="4"/>
        <v/>
      </c>
      <c r="K518" s="7" t="str">
        <f t="shared" si="3"/>
        <v>FAIL</v>
      </c>
      <c r="L518" s="8"/>
    </row>
    <row r="519" ht="15.75" customHeight="1">
      <c r="A519" s="4" t="s">
        <v>590</v>
      </c>
      <c r="B519" s="5" t="s">
        <v>19</v>
      </c>
      <c r="C519" s="6"/>
      <c r="D519" s="6"/>
      <c r="E519" s="6"/>
      <c r="F519" s="6"/>
      <c r="G519" s="6"/>
      <c r="H519" s="6"/>
      <c r="I519" s="6"/>
      <c r="J519" s="6" t="str">
        <f t="shared" si="4"/>
        <v>FAIL</v>
      </c>
      <c r="K519" s="7" t="str">
        <f t="shared" si="3"/>
        <v>FAIL</v>
      </c>
      <c r="L519" s="8"/>
    </row>
    <row r="520" ht="15.75" customHeight="1">
      <c r="A520" s="4" t="s">
        <v>591</v>
      </c>
      <c r="B520" s="6"/>
      <c r="C520" s="6"/>
      <c r="D520" s="6"/>
      <c r="E520" s="6"/>
      <c r="F520" s="6"/>
      <c r="G520" s="6"/>
      <c r="H520" s="6"/>
      <c r="I520" s="6"/>
      <c r="J520" s="6" t="str">
        <f t="shared" si="4"/>
        <v/>
      </c>
      <c r="K520" s="7" t="str">
        <f t="shared" si="3"/>
        <v>FAIL</v>
      </c>
      <c r="L520" s="8"/>
    </row>
    <row r="521" ht="15.75" customHeight="1">
      <c r="A521" s="4" t="s">
        <v>592</v>
      </c>
      <c r="B521" s="6"/>
      <c r="C521" s="6"/>
      <c r="D521" s="6"/>
      <c r="E521" s="6"/>
      <c r="F521" s="6"/>
      <c r="G521" s="6"/>
      <c r="H521" s="6"/>
      <c r="I521" s="6"/>
      <c r="J521" s="6" t="str">
        <f t="shared" si="4"/>
        <v/>
      </c>
      <c r="K521" s="7" t="str">
        <f t="shared" si="3"/>
        <v>FAIL</v>
      </c>
      <c r="L521" s="8"/>
    </row>
    <row r="522" ht="15.75" customHeight="1">
      <c r="A522" s="4" t="s">
        <v>593</v>
      </c>
      <c r="B522" s="6"/>
      <c r="C522" s="6"/>
      <c r="D522" s="6"/>
      <c r="E522" s="6"/>
      <c r="F522" s="6"/>
      <c r="G522" s="6"/>
      <c r="H522" s="6"/>
      <c r="I522" s="6"/>
      <c r="J522" s="6" t="str">
        <f t="shared" si="4"/>
        <v/>
      </c>
      <c r="K522" s="7" t="str">
        <f t="shared" si="3"/>
        <v>FAIL</v>
      </c>
      <c r="L522" s="8"/>
    </row>
    <row r="523" ht="15.75" customHeight="1">
      <c r="A523" s="4" t="s">
        <v>594</v>
      </c>
      <c r="B523" s="5" t="s">
        <v>19</v>
      </c>
      <c r="C523" s="6"/>
      <c r="D523" s="6"/>
      <c r="E523" s="6"/>
      <c r="F523" s="6"/>
      <c r="G523" s="6"/>
      <c r="H523" s="6"/>
      <c r="I523" s="6"/>
      <c r="J523" s="6" t="str">
        <f t="shared" si="4"/>
        <v>FAIL</v>
      </c>
      <c r="K523" s="7" t="str">
        <f t="shared" si="3"/>
        <v>FAIL</v>
      </c>
      <c r="L523" s="8"/>
    </row>
    <row r="524" ht="15.75" customHeight="1">
      <c r="A524" s="4" t="s">
        <v>595</v>
      </c>
      <c r="B524" s="5" t="s">
        <v>19</v>
      </c>
      <c r="C524" s="6"/>
      <c r="D524" s="6"/>
      <c r="E524" s="6"/>
      <c r="F524" s="6"/>
      <c r="G524" s="6"/>
      <c r="H524" s="6"/>
      <c r="I524" s="6"/>
      <c r="J524" s="6" t="str">
        <f t="shared" si="4"/>
        <v>FAIL</v>
      </c>
      <c r="K524" s="7" t="str">
        <f t="shared" si="3"/>
        <v>FAIL</v>
      </c>
      <c r="L524" s="8"/>
    </row>
    <row r="525" ht="15.75" customHeight="1">
      <c r="A525" s="4" t="s">
        <v>596</v>
      </c>
      <c r="B525" s="5" t="s">
        <v>19</v>
      </c>
      <c r="C525" s="6"/>
      <c r="D525" s="6"/>
      <c r="E525" s="6"/>
      <c r="F525" s="6"/>
      <c r="G525" s="6"/>
      <c r="H525" s="6"/>
      <c r="I525" s="6"/>
      <c r="J525" s="6" t="str">
        <f t="shared" si="4"/>
        <v>FAIL</v>
      </c>
      <c r="K525" s="7" t="str">
        <f t="shared" si="3"/>
        <v>FAIL</v>
      </c>
      <c r="L525" s="8"/>
    </row>
    <row r="526" ht="15.75" customHeight="1">
      <c r="A526" s="4" t="s">
        <v>597</v>
      </c>
      <c r="B526" s="5" t="s">
        <v>13</v>
      </c>
      <c r="C526" s="5" t="s">
        <v>14</v>
      </c>
      <c r="D526" s="5" t="s">
        <v>59</v>
      </c>
      <c r="E526" s="5" t="s">
        <v>15</v>
      </c>
      <c r="F526" s="5">
        <v>1.0</v>
      </c>
      <c r="G526" s="5" t="s">
        <v>13</v>
      </c>
      <c r="H526" s="5" t="s">
        <v>16</v>
      </c>
      <c r="I526" s="5" t="s">
        <v>17</v>
      </c>
      <c r="J526" s="6" t="str">
        <f t="shared" si="4"/>
        <v>PASS</v>
      </c>
      <c r="K526" s="7" t="str">
        <f t="shared" si="3"/>
        <v>FAIL</v>
      </c>
      <c r="L526" s="8"/>
    </row>
    <row r="527" ht="15.75" customHeight="1">
      <c r="A527" s="4" t="s">
        <v>598</v>
      </c>
      <c r="B527" s="5" t="s">
        <v>19</v>
      </c>
      <c r="C527" s="6"/>
      <c r="D527" s="6"/>
      <c r="E527" s="6"/>
      <c r="F527" s="6"/>
      <c r="G527" s="6"/>
      <c r="H527" s="6"/>
      <c r="I527" s="6"/>
      <c r="J527" s="6" t="str">
        <f t="shared" si="4"/>
        <v>FAIL</v>
      </c>
      <c r="K527" s="7" t="str">
        <f t="shared" si="3"/>
        <v>FAIL</v>
      </c>
      <c r="L527" s="8"/>
    </row>
    <row r="528" ht="15.75" customHeight="1">
      <c r="A528" s="4" t="s">
        <v>599</v>
      </c>
      <c r="B528" s="5" t="s">
        <v>13</v>
      </c>
      <c r="C528" s="5" t="s">
        <v>14</v>
      </c>
      <c r="D528" s="5" t="s">
        <v>59</v>
      </c>
      <c r="E528" s="5" t="s">
        <v>15</v>
      </c>
      <c r="F528" s="5">
        <v>2.0</v>
      </c>
      <c r="G528" s="5" t="s">
        <v>13</v>
      </c>
      <c r="H528" s="5" t="s">
        <v>16</v>
      </c>
      <c r="I528" s="5" t="s">
        <v>17</v>
      </c>
      <c r="J528" s="6" t="str">
        <f t="shared" si="4"/>
        <v>PASS</v>
      </c>
      <c r="K528" s="7" t="str">
        <f t="shared" si="3"/>
        <v>FAIL</v>
      </c>
      <c r="L528" s="8"/>
    </row>
    <row r="529" ht="15.75" customHeight="1">
      <c r="A529" s="4" t="s">
        <v>600</v>
      </c>
      <c r="B529" s="5" t="s">
        <v>19</v>
      </c>
      <c r="C529" s="6"/>
      <c r="D529" s="6"/>
      <c r="E529" s="6"/>
      <c r="F529" s="6"/>
      <c r="G529" s="6"/>
      <c r="H529" s="6"/>
      <c r="I529" s="6"/>
      <c r="J529" s="6" t="str">
        <f t="shared" si="4"/>
        <v>FAIL</v>
      </c>
      <c r="K529" s="7" t="str">
        <f t="shared" si="3"/>
        <v>FAIL</v>
      </c>
      <c r="L529" s="8"/>
    </row>
    <row r="530" ht="15.75" customHeight="1">
      <c r="A530" s="4" t="s">
        <v>601</v>
      </c>
      <c r="B530" s="5" t="s">
        <v>19</v>
      </c>
      <c r="C530" s="6"/>
      <c r="D530" s="6"/>
      <c r="E530" s="6"/>
      <c r="F530" s="6"/>
      <c r="G530" s="6"/>
      <c r="H530" s="6"/>
      <c r="I530" s="6"/>
      <c r="J530" s="6" t="str">
        <f t="shared" si="4"/>
        <v>FAIL</v>
      </c>
      <c r="K530" s="7" t="str">
        <f t="shared" si="3"/>
        <v>FAIL</v>
      </c>
      <c r="L530" s="8"/>
    </row>
    <row r="531" ht="15.75" customHeight="1">
      <c r="A531" s="4" t="s">
        <v>602</v>
      </c>
      <c r="B531" s="5" t="s">
        <v>19</v>
      </c>
      <c r="C531" s="6"/>
      <c r="D531" s="6"/>
      <c r="E531" s="6"/>
      <c r="F531" s="6"/>
      <c r="G531" s="6"/>
      <c r="H531" s="6"/>
      <c r="I531" s="6"/>
      <c r="J531" s="6" t="str">
        <f t="shared" si="4"/>
        <v>FAIL</v>
      </c>
      <c r="K531" s="7" t="str">
        <f t="shared" si="3"/>
        <v>FAIL</v>
      </c>
      <c r="L531" s="8"/>
    </row>
    <row r="532" ht="15.75" customHeight="1">
      <c r="A532" s="4" t="s">
        <v>603</v>
      </c>
      <c r="B532" s="5" t="s">
        <v>19</v>
      </c>
      <c r="C532" s="6"/>
      <c r="D532" s="6"/>
      <c r="E532" s="6"/>
      <c r="F532" s="6"/>
      <c r="G532" s="6"/>
      <c r="H532" s="6"/>
      <c r="I532" s="6"/>
      <c r="J532" s="6" t="str">
        <f t="shared" si="4"/>
        <v>FAIL</v>
      </c>
      <c r="K532" s="7" t="str">
        <f t="shared" si="3"/>
        <v>FAIL</v>
      </c>
      <c r="L532" s="8"/>
    </row>
    <row r="533" ht="15.75" customHeight="1">
      <c r="A533" s="4" t="s">
        <v>604</v>
      </c>
      <c r="B533" s="5" t="s">
        <v>19</v>
      </c>
      <c r="C533" s="6"/>
      <c r="D533" s="6"/>
      <c r="E533" s="6"/>
      <c r="F533" s="6"/>
      <c r="G533" s="6"/>
      <c r="H533" s="6"/>
      <c r="I533" s="6"/>
      <c r="J533" s="6" t="str">
        <f t="shared" si="4"/>
        <v>FAIL</v>
      </c>
      <c r="K533" s="7" t="str">
        <f t="shared" si="3"/>
        <v>FAIL</v>
      </c>
      <c r="L533" s="8"/>
    </row>
    <row r="534" ht="15.75" customHeight="1">
      <c r="A534" s="4" t="s">
        <v>605</v>
      </c>
      <c r="B534" s="5" t="s">
        <v>19</v>
      </c>
      <c r="C534" s="6"/>
      <c r="D534" s="6"/>
      <c r="E534" s="6"/>
      <c r="F534" s="6"/>
      <c r="G534" s="6"/>
      <c r="H534" s="6"/>
      <c r="I534" s="6"/>
      <c r="J534" s="6" t="str">
        <f t="shared" si="4"/>
        <v>FAIL</v>
      </c>
      <c r="K534" s="7" t="str">
        <f t="shared" si="3"/>
        <v>FAIL</v>
      </c>
      <c r="L534" s="8"/>
    </row>
    <row r="535" ht="15.75" customHeight="1">
      <c r="A535" s="4" t="s">
        <v>606</v>
      </c>
      <c r="B535" s="5" t="s">
        <v>19</v>
      </c>
      <c r="C535" s="6"/>
      <c r="D535" s="6"/>
      <c r="E535" s="6"/>
      <c r="F535" s="6"/>
      <c r="G535" s="6"/>
      <c r="H535" s="6"/>
      <c r="I535" s="6"/>
      <c r="J535" s="6" t="str">
        <f t="shared" si="4"/>
        <v>FAIL</v>
      </c>
      <c r="K535" s="7" t="str">
        <f t="shared" si="3"/>
        <v>FAIL</v>
      </c>
      <c r="L535" s="8"/>
    </row>
    <row r="536" ht="15.75" customHeight="1">
      <c r="A536" s="4" t="s">
        <v>607</v>
      </c>
      <c r="B536" s="6"/>
      <c r="C536" s="6"/>
      <c r="D536" s="6"/>
      <c r="E536" s="6"/>
      <c r="F536" s="6"/>
      <c r="G536" s="6"/>
      <c r="H536" s="6"/>
      <c r="I536" s="6"/>
      <c r="J536" s="6" t="str">
        <f t="shared" si="4"/>
        <v/>
      </c>
      <c r="K536" s="7" t="str">
        <f t="shared" si="3"/>
        <v>FAIL</v>
      </c>
      <c r="L536" s="8"/>
    </row>
    <row r="537" ht="15.75" customHeight="1">
      <c r="A537" s="4" t="s">
        <v>608</v>
      </c>
      <c r="B537" s="5" t="s">
        <v>19</v>
      </c>
      <c r="C537" s="6"/>
      <c r="D537" s="6"/>
      <c r="E537" s="6"/>
      <c r="F537" s="6"/>
      <c r="G537" s="6"/>
      <c r="H537" s="6"/>
      <c r="I537" s="6"/>
      <c r="J537" s="6" t="str">
        <f t="shared" si="4"/>
        <v>FAIL</v>
      </c>
      <c r="K537" s="7" t="str">
        <f t="shared" si="3"/>
        <v>FAIL</v>
      </c>
      <c r="L537" s="8"/>
    </row>
    <row r="538" ht="15.75" customHeight="1">
      <c r="A538" s="4" t="s">
        <v>609</v>
      </c>
      <c r="B538" s="6"/>
      <c r="C538" s="6"/>
      <c r="D538" s="6"/>
      <c r="E538" s="6"/>
      <c r="F538" s="6"/>
      <c r="G538" s="6"/>
      <c r="H538" s="6"/>
      <c r="I538" s="6"/>
      <c r="J538" s="6" t="str">
        <f t="shared" si="4"/>
        <v/>
      </c>
      <c r="K538" s="7" t="str">
        <f t="shared" si="3"/>
        <v>FAIL</v>
      </c>
      <c r="L538" s="8"/>
    </row>
    <row r="539" ht="15.75" customHeight="1">
      <c r="A539" s="4" t="s">
        <v>610</v>
      </c>
      <c r="B539" s="6"/>
      <c r="C539" s="6"/>
      <c r="D539" s="6"/>
      <c r="E539" s="6"/>
      <c r="F539" s="6"/>
      <c r="G539" s="6"/>
      <c r="H539" s="6"/>
      <c r="I539" s="6"/>
      <c r="J539" s="6" t="str">
        <f t="shared" si="4"/>
        <v/>
      </c>
      <c r="K539" s="7" t="str">
        <f t="shared" si="3"/>
        <v>FAIL</v>
      </c>
      <c r="L539" s="8"/>
    </row>
    <row r="540" ht="15.75" customHeight="1">
      <c r="A540" s="4" t="s">
        <v>611</v>
      </c>
      <c r="B540" s="6"/>
      <c r="C540" s="6"/>
      <c r="D540" s="6"/>
      <c r="E540" s="6"/>
      <c r="F540" s="6"/>
      <c r="G540" s="6"/>
      <c r="H540" s="6"/>
      <c r="I540" s="6"/>
      <c r="J540" s="6" t="str">
        <f t="shared" si="4"/>
        <v/>
      </c>
      <c r="K540" s="7" t="str">
        <f t="shared" si="3"/>
        <v>FAIL</v>
      </c>
      <c r="L540" s="8"/>
    </row>
    <row r="541" ht="15.75" customHeight="1">
      <c r="A541" s="4" t="s">
        <v>612</v>
      </c>
      <c r="B541" s="5" t="s">
        <v>19</v>
      </c>
      <c r="C541" s="6"/>
      <c r="D541" s="6"/>
      <c r="E541" s="6"/>
      <c r="F541" s="6"/>
      <c r="G541" s="6"/>
      <c r="H541" s="6"/>
      <c r="I541" s="6"/>
      <c r="J541" s="6" t="str">
        <f t="shared" si="4"/>
        <v>FAIL</v>
      </c>
      <c r="K541" s="7" t="str">
        <f t="shared" si="3"/>
        <v>FAIL</v>
      </c>
      <c r="L541" s="8"/>
    </row>
    <row r="542" ht="15.75" customHeight="1">
      <c r="A542" s="4" t="s">
        <v>613</v>
      </c>
      <c r="B542" s="6"/>
      <c r="C542" s="6"/>
      <c r="D542" s="6"/>
      <c r="E542" s="6"/>
      <c r="F542" s="6"/>
      <c r="G542" s="6"/>
      <c r="H542" s="6"/>
      <c r="I542" s="6"/>
      <c r="J542" s="6" t="str">
        <f t="shared" si="4"/>
        <v/>
      </c>
      <c r="K542" s="7" t="str">
        <f t="shared" si="3"/>
        <v>FAIL</v>
      </c>
      <c r="L542" s="8"/>
    </row>
    <row r="543" ht="15.75" customHeight="1">
      <c r="A543" s="4" t="s">
        <v>614</v>
      </c>
      <c r="B543" s="6"/>
      <c r="C543" s="6"/>
      <c r="D543" s="6"/>
      <c r="E543" s="6"/>
      <c r="F543" s="6"/>
      <c r="G543" s="6"/>
      <c r="H543" s="6"/>
      <c r="I543" s="6"/>
      <c r="J543" s="6" t="str">
        <f t="shared" si="4"/>
        <v/>
      </c>
      <c r="K543" s="7" t="str">
        <f t="shared" si="3"/>
        <v>FAIL</v>
      </c>
      <c r="L543" s="8"/>
    </row>
    <row r="544" ht="15.75" customHeight="1">
      <c r="A544" s="4" t="s">
        <v>615</v>
      </c>
      <c r="B544" s="5" t="s">
        <v>19</v>
      </c>
      <c r="C544" s="6"/>
      <c r="D544" s="6"/>
      <c r="E544" s="6"/>
      <c r="F544" s="6"/>
      <c r="G544" s="6"/>
      <c r="H544" s="6"/>
      <c r="I544" s="6"/>
      <c r="J544" s="6" t="str">
        <f t="shared" si="4"/>
        <v>FAIL</v>
      </c>
      <c r="K544" s="7" t="str">
        <f t="shared" si="3"/>
        <v>FAIL</v>
      </c>
      <c r="L544" s="8"/>
    </row>
    <row r="545" ht="15.75" customHeight="1">
      <c r="A545" s="4" t="s">
        <v>616</v>
      </c>
      <c r="B545" s="5" t="s">
        <v>19</v>
      </c>
      <c r="C545" s="6"/>
      <c r="D545" s="6"/>
      <c r="E545" s="6"/>
      <c r="F545" s="6"/>
      <c r="G545" s="6"/>
      <c r="H545" s="6"/>
      <c r="I545" s="6"/>
      <c r="J545" s="6" t="str">
        <f t="shared" si="4"/>
        <v>FAIL</v>
      </c>
      <c r="K545" s="7" t="str">
        <f t="shared" si="3"/>
        <v>FAIL</v>
      </c>
      <c r="L545" s="8"/>
    </row>
    <row r="546" ht="15.75" customHeight="1">
      <c r="A546" s="4" t="s">
        <v>617</v>
      </c>
      <c r="B546" s="5" t="s">
        <v>19</v>
      </c>
      <c r="C546" s="6"/>
      <c r="D546" s="6"/>
      <c r="E546" s="6"/>
      <c r="F546" s="6"/>
      <c r="G546" s="6"/>
      <c r="H546" s="6"/>
      <c r="I546" s="6"/>
      <c r="J546" s="6" t="str">
        <f t="shared" si="4"/>
        <v>FAIL</v>
      </c>
      <c r="K546" s="7" t="str">
        <f t="shared" si="3"/>
        <v>FAIL</v>
      </c>
      <c r="L546" s="8"/>
    </row>
    <row r="547" ht="15.75" customHeight="1">
      <c r="A547" s="4" t="s">
        <v>618</v>
      </c>
      <c r="B547" s="5" t="s">
        <v>19</v>
      </c>
      <c r="C547" s="6"/>
      <c r="D547" s="6"/>
      <c r="E547" s="6"/>
      <c r="F547" s="6"/>
      <c r="G547" s="6"/>
      <c r="H547" s="6"/>
      <c r="I547" s="6"/>
      <c r="J547" s="6" t="str">
        <f t="shared" si="4"/>
        <v>FAIL</v>
      </c>
      <c r="K547" s="7" t="str">
        <f t="shared" si="3"/>
        <v>FAIL</v>
      </c>
      <c r="L547" s="8"/>
    </row>
    <row r="548" ht="15.75" customHeight="1">
      <c r="A548" s="4" t="s">
        <v>619</v>
      </c>
      <c r="B548" s="5" t="s">
        <v>19</v>
      </c>
      <c r="C548" s="6"/>
      <c r="D548" s="6"/>
      <c r="E548" s="6"/>
      <c r="F548" s="6"/>
      <c r="G548" s="6"/>
      <c r="H548" s="6"/>
      <c r="I548" s="6"/>
      <c r="J548" s="6" t="str">
        <f t="shared" si="4"/>
        <v>FAIL</v>
      </c>
      <c r="K548" s="7" t="str">
        <f t="shared" si="3"/>
        <v>FAIL</v>
      </c>
      <c r="L548" s="8"/>
    </row>
    <row r="549" ht="15.75" customHeight="1">
      <c r="A549" s="4" t="s">
        <v>620</v>
      </c>
      <c r="B549" s="5" t="s">
        <v>19</v>
      </c>
      <c r="C549" s="6"/>
      <c r="D549" s="6"/>
      <c r="E549" s="6"/>
      <c r="F549" s="6"/>
      <c r="G549" s="6"/>
      <c r="H549" s="6"/>
      <c r="I549" s="6"/>
      <c r="J549" s="6" t="str">
        <f t="shared" si="4"/>
        <v>FAIL</v>
      </c>
      <c r="K549" s="7" t="str">
        <f t="shared" si="3"/>
        <v>FAIL</v>
      </c>
      <c r="L549" s="8"/>
    </row>
    <row r="550" ht="15.75" customHeight="1">
      <c r="A550" s="4" t="s">
        <v>621</v>
      </c>
      <c r="B550" s="5" t="s">
        <v>19</v>
      </c>
      <c r="C550" s="6"/>
      <c r="D550" s="6"/>
      <c r="E550" s="6"/>
      <c r="F550" s="6"/>
      <c r="G550" s="6"/>
      <c r="H550" s="6"/>
      <c r="I550" s="6"/>
      <c r="J550" s="6" t="str">
        <f t="shared" si="4"/>
        <v>FAIL</v>
      </c>
      <c r="K550" s="7" t="str">
        <f t="shared" si="3"/>
        <v>FAIL</v>
      </c>
      <c r="L550" s="8"/>
    </row>
    <row r="551" ht="15.75" customHeight="1">
      <c r="A551" s="4" t="s">
        <v>622</v>
      </c>
      <c r="B551" s="6"/>
      <c r="C551" s="6"/>
      <c r="D551" s="6"/>
      <c r="E551" s="6"/>
      <c r="F551" s="6"/>
      <c r="G551" s="6"/>
      <c r="H551" s="6"/>
      <c r="I551" s="6"/>
      <c r="J551" s="6" t="str">
        <f t="shared" si="4"/>
        <v/>
      </c>
      <c r="K551" s="7" t="str">
        <f t="shared" si="3"/>
        <v>FAIL</v>
      </c>
      <c r="L551" s="8"/>
    </row>
    <row r="552" ht="15.75" customHeight="1">
      <c r="A552" s="4" t="s">
        <v>623</v>
      </c>
      <c r="B552" s="5" t="s">
        <v>19</v>
      </c>
      <c r="C552" s="6"/>
      <c r="D552" s="6"/>
      <c r="E552" s="6"/>
      <c r="F552" s="6"/>
      <c r="G552" s="6"/>
      <c r="H552" s="6"/>
      <c r="I552" s="6"/>
      <c r="J552" s="6" t="str">
        <f t="shared" si="4"/>
        <v>FAIL</v>
      </c>
      <c r="K552" s="7" t="str">
        <f t="shared" si="3"/>
        <v>FAIL</v>
      </c>
      <c r="L552" s="8"/>
    </row>
    <row r="553" ht="15.75" customHeight="1">
      <c r="A553" s="4" t="s">
        <v>624</v>
      </c>
      <c r="B553" s="6"/>
      <c r="C553" s="6"/>
      <c r="D553" s="6"/>
      <c r="E553" s="6"/>
      <c r="F553" s="6"/>
      <c r="G553" s="6"/>
      <c r="H553" s="6"/>
      <c r="I553" s="6"/>
      <c r="J553" s="6" t="str">
        <f t="shared" si="4"/>
        <v/>
      </c>
      <c r="K553" s="7" t="str">
        <f t="shared" si="3"/>
        <v>FAIL</v>
      </c>
      <c r="L553" s="8"/>
    </row>
    <row r="554" ht="15.75" customHeight="1">
      <c r="A554" s="4" t="s">
        <v>625</v>
      </c>
      <c r="B554" s="6"/>
      <c r="C554" s="6"/>
      <c r="D554" s="6"/>
      <c r="E554" s="6"/>
      <c r="F554" s="6"/>
      <c r="G554" s="6"/>
      <c r="H554" s="6"/>
      <c r="I554" s="6"/>
      <c r="J554" s="6" t="str">
        <f t="shared" si="4"/>
        <v/>
      </c>
      <c r="K554" s="7" t="str">
        <f t="shared" si="3"/>
        <v>FAIL</v>
      </c>
      <c r="L554" s="8"/>
    </row>
    <row r="555" ht="15.75" customHeight="1">
      <c r="A555" s="4" t="s">
        <v>626</v>
      </c>
      <c r="B555" s="5" t="s">
        <v>13</v>
      </c>
      <c r="C555" s="5" t="s">
        <v>16</v>
      </c>
      <c r="D555" s="5" t="s">
        <v>59</v>
      </c>
      <c r="E555" s="5" t="s">
        <v>15</v>
      </c>
      <c r="F555" s="5">
        <v>2.0</v>
      </c>
      <c r="G555" s="5" t="s">
        <v>19</v>
      </c>
      <c r="H555" s="5" t="s">
        <v>39</v>
      </c>
      <c r="I555" s="5" t="s">
        <v>17</v>
      </c>
      <c r="J555" s="6" t="str">
        <f t="shared" si="4"/>
        <v>FAIL</v>
      </c>
      <c r="K555" s="7" t="str">
        <f t="shared" si="3"/>
        <v>FAIL</v>
      </c>
      <c r="L555" s="8"/>
    </row>
    <row r="556" ht="15.75" customHeight="1">
      <c r="A556" s="4" t="s">
        <v>627</v>
      </c>
      <c r="B556" s="6"/>
      <c r="C556" s="6"/>
      <c r="D556" s="6"/>
      <c r="E556" s="6"/>
      <c r="F556" s="6"/>
      <c r="G556" s="6"/>
      <c r="H556" s="6"/>
      <c r="I556" s="6"/>
      <c r="J556" s="6" t="str">
        <f t="shared" si="4"/>
        <v/>
      </c>
      <c r="K556" s="7" t="str">
        <f t="shared" si="3"/>
        <v>FAIL</v>
      </c>
      <c r="L556" s="8"/>
    </row>
    <row r="557" ht="15.75" customHeight="1">
      <c r="A557" s="4" t="s">
        <v>628</v>
      </c>
      <c r="B557" s="6"/>
      <c r="C557" s="6"/>
      <c r="D557" s="6"/>
      <c r="E557" s="6"/>
      <c r="F557" s="6"/>
      <c r="G557" s="6"/>
      <c r="H557" s="6"/>
      <c r="I557" s="6"/>
      <c r="J557" s="6" t="str">
        <f t="shared" si="4"/>
        <v/>
      </c>
      <c r="K557" s="7" t="str">
        <f t="shared" si="3"/>
        <v>FAIL</v>
      </c>
      <c r="L557" s="8"/>
    </row>
    <row r="558" ht="15.75" customHeight="1">
      <c r="A558" s="4" t="s">
        <v>629</v>
      </c>
      <c r="B558" s="6"/>
      <c r="C558" s="6"/>
      <c r="D558" s="6"/>
      <c r="E558" s="6"/>
      <c r="F558" s="6"/>
      <c r="G558" s="6"/>
      <c r="H558" s="6"/>
      <c r="I558" s="6"/>
      <c r="J558" s="6" t="str">
        <f t="shared" si="4"/>
        <v/>
      </c>
      <c r="K558" s="7" t="str">
        <f t="shared" si="3"/>
        <v>FAIL</v>
      </c>
      <c r="L558" s="8"/>
    </row>
    <row r="559" ht="15.75" customHeight="1">
      <c r="A559" s="4" t="s">
        <v>630</v>
      </c>
      <c r="B559" s="5" t="s">
        <v>19</v>
      </c>
      <c r="C559" s="6"/>
      <c r="D559" s="6"/>
      <c r="E559" s="6"/>
      <c r="F559" s="6"/>
      <c r="G559" s="6"/>
      <c r="H559" s="6"/>
      <c r="I559" s="6"/>
      <c r="J559" s="6" t="str">
        <f t="shared" si="4"/>
        <v>FAIL</v>
      </c>
      <c r="K559" s="7" t="str">
        <f t="shared" si="3"/>
        <v>FAIL</v>
      </c>
      <c r="L559" s="8"/>
    </row>
    <row r="560" ht="15.75" customHeight="1">
      <c r="A560" s="4" t="s">
        <v>631</v>
      </c>
      <c r="B560" s="5" t="s">
        <v>19</v>
      </c>
      <c r="C560" s="6"/>
      <c r="D560" s="6"/>
      <c r="E560" s="6"/>
      <c r="F560" s="6"/>
      <c r="G560" s="6"/>
      <c r="H560" s="6"/>
      <c r="I560" s="6"/>
      <c r="J560" s="6" t="str">
        <f t="shared" si="4"/>
        <v>FAIL</v>
      </c>
      <c r="K560" s="7" t="str">
        <f t="shared" si="3"/>
        <v>FAIL</v>
      </c>
      <c r="L560" s="8"/>
    </row>
    <row r="561" ht="15.75" customHeight="1">
      <c r="A561" s="4" t="s">
        <v>632</v>
      </c>
      <c r="B561" s="5" t="s">
        <v>19</v>
      </c>
      <c r="C561" s="6"/>
      <c r="D561" s="6"/>
      <c r="E561" s="6"/>
      <c r="F561" s="6"/>
      <c r="G561" s="6"/>
      <c r="H561" s="6"/>
      <c r="I561" s="6"/>
      <c r="J561" s="6" t="str">
        <f t="shared" si="4"/>
        <v>FAIL</v>
      </c>
      <c r="K561" s="7" t="str">
        <f t="shared" si="3"/>
        <v>FAIL</v>
      </c>
      <c r="L561" s="8"/>
    </row>
    <row r="562" ht="15.75" customHeight="1">
      <c r="A562" s="4" t="s">
        <v>633</v>
      </c>
      <c r="B562" s="5" t="s">
        <v>19</v>
      </c>
      <c r="C562" s="6"/>
      <c r="D562" s="6"/>
      <c r="E562" s="6"/>
      <c r="F562" s="6"/>
      <c r="G562" s="6"/>
      <c r="H562" s="6"/>
      <c r="I562" s="6"/>
      <c r="J562" s="6" t="str">
        <f t="shared" si="4"/>
        <v>FAIL</v>
      </c>
      <c r="K562" s="7" t="str">
        <f t="shared" si="3"/>
        <v>FAIL</v>
      </c>
      <c r="L562" s="8"/>
    </row>
    <row r="563" ht="15.75" customHeight="1">
      <c r="A563" s="4" t="s">
        <v>634</v>
      </c>
      <c r="B563" s="6"/>
      <c r="C563" s="6"/>
      <c r="D563" s="6"/>
      <c r="E563" s="6"/>
      <c r="F563" s="6"/>
      <c r="G563" s="6"/>
      <c r="H563" s="6"/>
      <c r="I563" s="6"/>
      <c r="J563" s="6" t="str">
        <f t="shared" si="4"/>
        <v/>
      </c>
      <c r="K563" s="7" t="str">
        <f t="shared" si="3"/>
        <v>FAIL</v>
      </c>
      <c r="L563" s="8"/>
    </row>
    <row r="564" ht="15.75" customHeight="1">
      <c r="A564" s="4" t="s">
        <v>635</v>
      </c>
      <c r="B564" s="5" t="s">
        <v>19</v>
      </c>
      <c r="C564" s="6"/>
      <c r="D564" s="6"/>
      <c r="E564" s="6"/>
      <c r="F564" s="6"/>
      <c r="G564" s="6"/>
      <c r="H564" s="6"/>
      <c r="I564" s="6"/>
      <c r="J564" s="6" t="str">
        <f t="shared" si="4"/>
        <v>FAIL</v>
      </c>
      <c r="K564" s="7" t="str">
        <f t="shared" si="3"/>
        <v>FAIL</v>
      </c>
      <c r="L564" s="8"/>
    </row>
    <row r="565" ht="15.75" customHeight="1">
      <c r="A565" s="4" t="s">
        <v>636</v>
      </c>
      <c r="B565" s="5" t="s">
        <v>19</v>
      </c>
      <c r="C565" s="6"/>
      <c r="D565" s="6"/>
      <c r="E565" s="6"/>
      <c r="F565" s="6"/>
      <c r="G565" s="6"/>
      <c r="H565" s="6"/>
      <c r="I565" s="6"/>
      <c r="J565" s="6" t="str">
        <f t="shared" si="4"/>
        <v>FAIL</v>
      </c>
      <c r="K565" s="7" t="str">
        <f t="shared" si="3"/>
        <v>FAIL</v>
      </c>
      <c r="L565" s="8"/>
    </row>
    <row r="566" ht="15.75" customHeight="1">
      <c r="A566" s="4" t="s">
        <v>637</v>
      </c>
      <c r="B566" s="6"/>
      <c r="C566" s="6"/>
      <c r="D566" s="6"/>
      <c r="E566" s="6"/>
      <c r="F566" s="6"/>
      <c r="G566" s="6"/>
      <c r="H566" s="6"/>
      <c r="I566" s="6"/>
      <c r="J566" s="6" t="str">
        <f t="shared" si="4"/>
        <v/>
      </c>
      <c r="K566" s="7" t="str">
        <f t="shared" si="3"/>
        <v>FAIL</v>
      </c>
      <c r="L566" s="8"/>
    </row>
    <row r="567" ht="15.75" customHeight="1">
      <c r="A567" s="4" t="s">
        <v>638</v>
      </c>
      <c r="B567" s="6"/>
      <c r="C567" s="6"/>
      <c r="D567" s="6"/>
      <c r="E567" s="6"/>
      <c r="F567" s="6"/>
      <c r="G567" s="6"/>
      <c r="H567" s="6"/>
      <c r="I567" s="6"/>
      <c r="J567" s="6" t="str">
        <f t="shared" si="4"/>
        <v/>
      </c>
      <c r="K567" s="7" t="str">
        <f t="shared" si="3"/>
        <v>FAIL</v>
      </c>
      <c r="L567" s="8"/>
    </row>
    <row r="568" ht="15.75" customHeight="1">
      <c r="A568" s="4" t="s">
        <v>639</v>
      </c>
      <c r="B568" s="5" t="s">
        <v>19</v>
      </c>
      <c r="C568" s="6"/>
      <c r="D568" s="6"/>
      <c r="E568" s="6"/>
      <c r="F568" s="6"/>
      <c r="G568" s="6"/>
      <c r="H568" s="6"/>
      <c r="I568" s="6"/>
      <c r="J568" s="6" t="str">
        <f t="shared" si="4"/>
        <v>FAIL</v>
      </c>
      <c r="K568" s="7" t="str">
        <f t="shared" si="3"/>
        <v>FAIL</v>
      </c>
      <c r="L568" s="8"/>
    </row>
    <row r="569" ht="15.75" customHeight="1">
      <c r="A569" s="4" t="s">
        <v>640</v>
      </c>
      <c r="B569" s="5" t="s">
        <v>13</v>
      </c>
      <c r="C569" s="5" t="s">
        <v>16</v>
      </c>
      <c r="D569" s="5" t="s">
        <v>59</v>
      </c>
      <c r="E569" s="5" t="s">
        <v>15</v>
      </c>
      <c r="F569" s="5">
        <v>1.0</v>
      </c>
      <c r="G569" s="5" t="s">
        <v>13</v>
      </c>
      <c r="H569" s="5" t="s">
        <v>16</v>
      </c>
      <c r="I569" s="5" t="s">
        <v>22</v>
      </c>
      <c r="J569" s="6" t="str">
        <f t="shared" si="4"/>
        <v>PASS</v>
      </c>
      <c r="K569" s="7" t="str">
        <f t="shared" si="3"/>
        <v>FAIL</v>
      </c>
      <c r="L569" s="8"/>
    </row>
    <row r="570" ht="15.75" customHeight="1">
      <c r="A570" s="4" t="s">
        <v>641</v>
      </c>
      <c r="B570" s="6"/>
      <c r="C570" s="6"/>
      <c r="D570" s="6"/>
      <c r="E570" s="6"/>
      <c r="F570" s="6"/>
      <c r="G570" s="6"/>
      <c r="H570" s="6"/>
      <c r="I570" s="6"/>
      <c r="J570" s="6" t="str">
        <f t="shared" si="4"/>
        <v/>
      </c>
      <c r="K570" s="7" t="str">
        <f t="shared" si="3"/>
        <v>FAIL</v>
      </c>
      <c r="L570" s="8"/>
    </row>
    <row r="571" ht="15.75" customHeight="1">
      <c r="A571" s="4" t="s">
        <v>642</v>
      </c>
      <c r="B571" s="5" t="s">
        <v>19</v>
      </c>
      <c r="C571" s="6"/>
      <c r="D571" s="6"/>
      <c r="E571" s="6"/>
      <c r="F571" s="6"/>
      <c r="G571" s="6"/>
      <c r="H571" s="6"/>
      <c r="I571" s="6"/>
      <c r="J571" s="6" t="str">
        <f t="shared" si="4"/>
        <v>FAIL</v>
      </c>
      <c r="K571" s="7" t="str">
        <f t="shared" si="3"/>
        <v>FAIL</v>
      </c>
      <c r="L571" s="8"/>
    </row>
    <row r="572" ht="15.75" customHeight="1">
      <c r="A572" s="4" t="s">
        <v>643</v>
      </c>
      <c r="B572" s="6"/>
      <c r="C572" s="6"/>
      <c r="D572" s="6"/>
      <c r="E572" s="6"/>
      <c r="F572" s="6"/>
      <c r="G572" s="6"/>
      <c r="H572" s="6"/>
      <c r="I572" s="6"/>
      <c r="J572" s="6" t="str">
        <f t="shared" si="4"/>
        <v/>
      </c>
      <c r="K572" s="7" t="str">
        <f t="shared" si="3"/>
        <v>FAIL</v>
      </c>
      <c r="L572" s="8"/>
    </row>
    <row r="573" ht="15.75" customHeight="1">
      <c r="A573" s="4" t="s">
        <v>644</v>
      </c>
      <c r="B573" s="5" t="s">
        <v>19</v>
      </c>
      <c r="C573" s="6"/>
      <c r="D573" s="6"/>
      <c r="E573" s="6"/>
      <c r="F573" s="6"/>
      <c r="G573" s="6"/>
      <c r="H573" s="6"/>
      <c r="I573" s="6"/>
      <c r="J573" s="6" t="str">
        <f t="shared" si="4"/>
        <v>FAIL</v>
      </c>
      <c r="K573" s="7" t="str">
        <f t="shared" si="3"/>
        <v>FAIL</v>
      </c>
      <c r="L573" s="8"/>
    </row>
    <row r="574" ht="15.75" customHeight="1">
      <c r="A574" s="4" t="s">
        <v>645</v>
      </c>
      <c r="B574" s="6"/>
      <c r="C574" s="6"/>
      <c r="D574" s="6"/>
      <c r="E574" s="6"/>
      <c r="F574" s="6"/>
      <c r="G574" s="6"/>
      <c r="H574" s="6"/>
      <c r="I574" s="6"/>
      <c r="J574" s="6" t="str">
        <f t="shared" si="4"/>
        <v/>
      </c>
      <c r="K574" s="7" t="str">
        <f t="shared" si="3"/>
        <v>FAIL</v>
      </c>
      <c r="L574" s="8"/>
    </row>
    <row r="575" ht="15.75" customHeight="1">
      <c r="A575" s="4" t="s">
        <v>646</v>
      </c>
      <c r="B575" s="5" t="s">
        <v>13</v>
      </c>
      <c r="C575" s="5" t="s">
        <v>16</v>
      </c>
      <c r="D575" s="5" t="s">
        <v>59</v>
      </c>
      <c r="E575" s="5" t="s">
        <v>16</v>
      </c>
      <c r="F575" s="5">
        <v>2.0</v>
      </c>
      <c r="G575" s="5" t="s">
        <v>13</v>
      </c>
      <c r="H575" s="5" t="s">
        <v>39</v>
      </c>
      <c r="I575" s="5" t="s">
        <v>17</v>
      </c>
      <c r="J575" s="6" t="str">
        <f t="shared" si="4"/>
        <v>FAIL</v>
      </c>
      <c r="K575" s="10" t="s">
        <v>309</v>
      </c>
      <c r="L575" s="8"/>
    </row>
    <row r="576" ht="15.75" customHeight="1">
      <c r="A576" s="4" t="s">
        <v>647</v>
      </c>
      <c r="B576" s="5" t="s">
        <v>19</v>
      </c>
      <c r="C576" s="6"/>
      <c r="D576" s="6"/>
      <c r="E576" s="6"/>
      <c r="F576" s="6"/>
      <c r="G576" s="6"/>
      <c r="H576" s="6"/>
      <c r="I576" s="6"/>
      <c r="J576" s="6" t="str">
        <f t="shared" si="4"/>
        <v>FAIL</v>
      </c>
      <c r="K576" s="7" t="str">
        <f t="shared" ref="K576:K645" si="5">IF(AND(
  $J576="FAIL",
  $B576="Yes",
  OR($C576="Decreasing",$D576="Decreasing"),
  $E576&lt;&gt;"Increasing",
  IFERROR(VALUE($F576)&lt;=2,FALSE),
  $H576&lt;&gt;"Declining",
  OR($I576="Medium",$I576="Large")
),"PASS","FAIL")</f>
        <v>FAIL</v>
      </c>
      <c r="L576" s="8"/>
    </row>
    <row r="577" ht="15.75" customHeight="1">
      <c r="A577" s="4" t="s">
        <v>648</v>
      </c>
      <c r="B577" s="5" t="s">
        <v>19</v>
      </c>
      <c r="C577" s="6"/>
      <c r="D577" s="6"/>
      <c r="E577" s="6"/>
      <c r="F577" s="6"/>
      <c r="G577" s="6"/>
      <c r="H577" s="6"/>
      <c r="I577" s="6"/>
      <c r="J577" s="6" t="str">
        <f t="shared" si="4"/>
        <v>FAIL</v>
      </c>
      <c r="K577" s="7" t="str">
        <f t="shared" si="5"/>
        <v>FAIL</v>
      </c>
      <c r="L577" s="8"/>
    </row>
    <row r="578" ht="15.75" customHeight="1">
      <c r="A578" s="4" t="s">
        <v>649</v>
      </c>
      <c r="B578" s="6"/>
      <c r="C578" s="6"/>
      <c r="D578" s="6"/>
      <c r="E578" s="6"/>
      <c r="F578" s="6"/>
      <c r="G578" s="6"/>
      <c r="H578" s="6"/>
      <c r="I578" s="6"/>
      <c r="J578" s="6" t="str">
        <f t="shared" si="4"/>
        <v/>
      </c>
      <c r="K578" s="7" t="str">
        <f t="shared" si="5"/>
        <v>FAIL</v>
      </c>
      <c r="L578" s="8"/>
    </row>
    <row r="579" ht="15.75" customHeight="1">
      <c r="A579" s="4" t="s">
        <v>650</v>
      </c>
      <c r="B579" s="6"/>
      <c r="C579" s="6"/>
      <c r="D579" s="6"/>
      <c r="E579" s="6"/>
      <c r="F579" s="6"/>
      <c r="G579" s="6"/>
      <c r="H579" s="6"/>
      <c r="I579" s="6"/>
      <c r="J579" s="6" t="str">
        <f t="shared" si="4"/>
        <v/>
      </c>
      <c r="K579" s="7" t="str">
        <f t="shared" si="5"/>
        <v>FAIL</v>
      </c>
      <c r="L579" s="8"/>
    </row>
    <row r="580" ht="15.75" customHeight="1">
      <c r="A580" s="4" t="s">
        <v>651</v>
      </c>
      <c r="B580" s="5" t="s">
        <v>19</v>
      </c>
      <c r="C580" s="6"/>
      <c r="D580" s="6"/>
      <c r="E580" s="6"/>
      <c r="F580" s="6"/>
      <c r="G580" s="6"/>
      <c r="H580" s="6"/>
      <c r="I580" s="6"/>
      <c r="J580" s="6" t="str">
        <f t="shared" si="4"/>
        <v>FAIL</v>
      </c>
      <c r="K580" s="7" t="str">
        <f t="shared" si="5"/>
        <v>FAIL</v>
      </c>
      <c r="L580" s="8"/>
    </row>
    <row r="581" ht="15.75" customHeight="1">
      <c r="A581" s="4" t="s">
        <v>652</v>
      </c>
      <c r="B581" s="6"/>
      <c r="C581" s="6"/>
      <c r="D581" s="6"/>
      <c r="E581" s="6"/>
      <c r="F581" s="6"/>
      <c r="G581" s="6"/>
      <c r="H581" s="6"/>
      <c r="I581" s="6"/>
      <c r="J581" s="6" t="str">
        <f t="shared" si="4"/>
        <v/>
      </c>
      <c r="K581" s="7" t="str">
        <f t="shared" si="5"/>
        <v>FAIL</v>
      </c>
      <c r="L581" s="8"/>
    </row>
    <row r="582" ht="15.75" customHeight="1">
      <c r="A582" s="4" t="s">
        <v>653</v>
      </c>
      <c r="B582" s="5" t="s">
        <v>19</v>
      </c>
      <c r="C582" s="6"/>
      <c r="D582" s="6"/>
      <c r="E582" s="6"/>
      <c r="F582" s="6"/>
      <c r="G582" s="6"/>
      <c r="H582" s="6"/>
      <c r="I582" s="6"/>
      <c r="J582" s="6" t="str">
        <f t="shared" si="4"/>
        <v>FAIL</v>
      </c>
      <c r="K582" s="7" t="str">
        <f t="shared" si="5"/>
        <v>FAIL</v>
      </c>
      <c r="L582" s="8"/>
    </row>
    <row r="583" ht="15.75" customHeight="1">
      <c r="A583" s="4" t="s">
        <v>654</v>
      </c>
      <c r="B583" s="5" t="s">
        <v>19</v>
      </c>
      <c r="C583" s="6"/>
      <c r="D583" s="6"/>
      <c r="E583" s="6"/>
      <c r="F583" s="6"/>
      <c r="G583" s="6"/>
      <c r="H583" s="6"/>
      <c r="I583" s="6"/>
      <c r="J583" s="6" t="str">
        <f t="shared" si="4"/>
        <v>FAIL</v>
      </c>
      <c r="K583" s="7" t="str">
        <f t="shared" si="5"/>
        <v>FAIL</v>
      </c>
      <c r="L583" s="8"/>
    </row>
    <row r="584" ht="15.75" customHeight="1">
      <c r="A584" s="4" t="s">
        <v>655</v>
      </c>
      <c r="B584" s="5" t="s">
        <v>19</v>
      </c>
      <c r="C584" s="6"/>
      <c r="D584" s="6"/>
      <c r="E584" s="6"/>
      <c r="F584" s="6"/>
      <c r="G584" s="6"/>
      <c r="H584" s="6"/>
      <c r="I584" s="6"/>
      <c r="J584" s="6" t="str">
        <f t="shared" si="4"/>
        <v>FAIL</v>
      </c>
      <c r="K584" s="7" t="str">
        <f t="shared" si="5"/>
        <v>FAIL</v>
      </c>
      <c r="L584" s="8"/>
    </row>
    <row r="585" ht="15.75" customHeight="1">
      <c r="A585" s="4" t="s">
        <v>656</v>
      </c>
      <c r="B585" s="6"/>
      <c r="C585" s="6"/>
      <c r="D585" s="6"/>
      <c r="E585" s="6"/>
      <c r="F585" s="6"/>
      <c r="G585" s="6"/>
      <c r="H585" s="6"/>
      <c r="I585" s="6"/>
      <c r="J585" s="6" t="str">
        <f t="shared" si="4"/>
        <v/>
      </c>
      <c r="K585" s="7" t="str">
        <f t="shared" si="5"/>
        <v>FAIL</v>
      </c>
      <c r="L585" s="8"/>
    </row>
    <row r="586" ht="15.75" customHeight="1">
      <c r="A586" s="4" t="s">
        <v>657</v>
      </c>
      <c r="B586" s="5" t="s">
        <v>19</v>
      </c>
      <c r="C586" s="6"/>
      <c r="D586" s="6"/>
      <c r="E586" s="6"/>
      <c r="F586" s="6"/>
      <c r="G586" s="6"/>
      <c r="H586" s="6"/>
      <c r="I586" s="6"/>
      <c r="J586" s="6" t="str">
        <f t="shared" si="4"/>
        <v>FAIL</v>
      </c>
      <c r="K586" s="7" t="str">
        <f t="shared" si="5"/>
        <v>FAIL</v>
      </c>
      <c r="L586" s="8"/>
    </row>
    <row r="587" ht="15.75" customHeight="1">
      <c r="A587" s="4" t="s">
        <v>658</v>
      </c>
      <c r="B587" s="5" t="s">
        <v>19</v>
      </c>
      <c r="C587" s="6"/>
      <c r="D587" s="6"/>
      <c r="E587" s="6"/>
      <c r="F587" s="6"/>
      <c r="G587" s="6"/>
      <c r="H587" s="6"/>
      <c r="I587" s="6"/>
      <c r="J587" s="6" t="str">
        <f t="shared" si="4"/>
        <v>FAIL</v>
      </c>
      <c r="K587" s="7" t="str">
        <f t="shared" si="5"/>
        <v>FAIL</v>
      </c>
      <c r="L587" s="8"/>
    </row>
    <row r="588" ht="15.75" customHeight="1">
      <c r="A588" s="4" t="s">
        <v>659</v>
      </c>
      <c r="B588" s="5" t="s">
        <v>19</v>
      </c>
      <c r="C588" s="6"/>
      <c r="D588" s="6"/>
      <c r="E588" s="6"/>
      <c r="F588" s="6"/>
      <c r="G588" s="6"/>
      <c r="H588" s="6"/>
      <c r="I588" s="6"/>
      <c r="J588" s="6" t="str">
        <f t="shared" si="4"/>
        <v>FAIL</v>
      </c>
      <c r="K588" s="7" t="str">
        <f t="shared" si="5"/>
        <v>FAIL</v>
      </c>
      <c r="L588" s="8"/>
    </row>
    <row r="589" ht="15.75" customHeight="1">
      <c r="A589" s="4" t="s">
        <v>660</v>
      </c>
      <c r="B589" s="6"/>
      <c r="C589" s="6"/>
      <c r="D589" s="6"/>
      <c r="E589" s="6"/>
      <c r="F589" s="6"/>
      <c r="G589" s="6"/>
      <c r="H589" s="6"/>
      <c r="I589" s="6"/>
      <c r="J589" s="6" t="str">
        <f t="shared" si="4"/>
        <v/>
      </c>
      <c r="K589" s="7" t="str">
        <f t="shared" si="5"/>
        <v>FAIL</v>
      </c>
      <c r="L589" s="8"/>
    </row>
    <row r="590" ht="15.75" customHeight="1">
      <c r="A590" s="4" t="s">
        <v>661</v>
      </c>
      <c r="B590" s="5" t="s">
        <v>19</v>
      </c>
      <c r="C590" s="6"/>
      <c r="D590" s="6"/>
      <c r="E590" s="6"/>
      <c r="F590" s="6"/>
      <c r="G590" s="6"/>
      <c r="H590" s="6"/>
      <c r="I590" s="6"/>
      <c r="J590" s="6" t="str">
        <f t="shared" si="4"/>
        <v>FAIL</v>
      </c>
      <c r="K590" s="7" t="str">
        <f t="shared" si="5"/>
        <v>FAIL</v>
      </c>
      <c r="L590" s="8"/>
    </row>
    <row r="591" ht="15.75" customHeight="1">
      <c r="A591" s="4" t="s">
        <v>662</v>
      </c>
      <c r="B591" s="6"/>
      <c r="C591" s="6"/>
      <c r="D591" s="6"/>
      <c r="E591" s="6"/>
      <c r="F591" s="6"/>
      <c r="G591" s="6"/>
      <c r="H591" s="6"/>
      <c r="I591" s="6"/>
      <c r="J591" s="6" t="str">
        <f t="shared" si="4"/>
        <v/>
      </c>
      <c r="K591" s="7" t="str">
        <f t="shared" si="5"/>
        <v>FAIL</v>
      </c>
      <c r="L591" s="8"/>
    </row>
    <row r="592" ht="15.75" customHeight="1">
      <c r="A592" s="4" t="s">
        <v>663</v>
      </c>
      <c r="B592" s="5" t="s">
        <v>19</v>
      </c>
      <c r="C592" s="6"/>
      <c r="D592" s="6"/>
      <c r="E592" s="6"/>
      <c r="F592" s="6"/>
      <c r="G592" s="6"/>
      <c r="H592" s="6"/>
      <c r="I592" s="6"/>
      <c r="J592" s="6" t="str">
        <f t="shared" si="4"/>
        <v>FAIL</v>
      </c>
      <c r="K592" s="7" t="str">
        <f t="shared" si="5"/>
        <v>FAIL</v>
      </c>
      <c r="L592" s="8"/>
    </row>
    <row r="593" ht="15.75" customHeight="1">
      <c r="A593" s="4" t="s">
        <v>664</v>
      </c>
      <c r="B593" s="5" t="s">
        <v>19</v>
      </c>
      <c r="C593" s="6"/>
      <c r="D593" s="6"/>
      <c r="E593" s="6"/>
      <c r="F593" s="6"/>
      <c r="G593" s="6"/>
      <c r="H593" s="6"/>
      <c r="I593" s="6"/>
      <c r="J593" s="6" t="str">
        <f t="shared" si="4"/>
        <v>FAIL</v>
      </c>
      <c r="K593" s="7" t="str">
        <f t="shared" si="5"/>
        <v>FAIL</v>
      </c>
      <c r="L593" s="8"/>
    </row>
    <row r="594" ht="15.75" customHeight="1">
      <c r="A594" s="4" t="s">
        <v>665</v>
      </c>
      <c r="B594" s="5" t="s">
        <v>19</v>
      </c>
      <c r="C594" s="6"/>
      <c r="D594" s="6"/>
      <c r="E594" s="6"/>
      <c r="F594" s="6"/>
      <c r="G594" s="6"/>
      <c r="H594" s="6"/>
      <c r="I594" s="6"/>
      <c r="J594" s="6" t="str">
        <f t="shared" si="4"/>
        <v>FAIL</v>
      </c>
      <c r="K594" s="7" t="str">
        <f t="shared" si="5"/>
        <v>FAIL</v>
      </c>
      <c r="L594" s="8"/>
    </row>
    <row r="595" ht="15.75" customHeight="1">
      <c r="A595" s="4" t="s">
        <v>666</v>
      </c>
      <c r="B595" s="5" t="s">
        <v>19</v>
      </c>
      <c r="C595" s="6"/>
      <c r="D595" s="6"/>
      <c r="E595" s="6"/>
      <c r="F595" s="6"/>
      <c r="G595" s="6"/>
      <c r="H595" s="6"/>
      <c r="I595" s="6"/>
      <c r="J595" s="6" t="str">
        <f t="shared" si="4"/>
        <v>FAIL</v>
      </c>
      <c r="K595" s="7" t="str">
        <f t="shared" si="5"/>
        <v>FAIL</v>
      </c>
      <c r="L595" s="8"/>
    </row>
    <row r="596" ht="15.75" customHeight="1">
      <c r="A596" s="4" t="s">
        <v>667</v>
      </c>
      <c r="B596" s="5" t="s">
        <v>19</v>
      </c>
      <c r="C596" s="6"/>
      <c r="D596" s="6"/>
      <c r="E596" s="6"/>
      <c r="F596" s="6"/>
      <c r="G596" s="6"/>
      <c r="H596" s="6"/>
      <c r="I596" s="6"/>
      <c r="J596" s="6" t="str">
        <f t="shared" si="4"/>
        <v>FAIL</v>
      </c>
      <c r="K596" s="7" t="str">
        <f t="shared" si="5"/>
        <v>FAIL</v>
      </c>
      <c r="L596" s="8"/>
    </row>
    <row r="597" ht="15.75" customHeight="1">
      <c r="A597" s="4" t="s">
        <v>668</v>
      </c>
      <c r="B597" s="5" t="s">
        <v>19</v>
      </c>
      <c r="C597" s="6"/>
      <c r="D597" s="6"/>
      <c r="E597" s="6"/>
      <c r="F597" s="6"/>
      <c r="G597" s="6"/>
      <c r="H597" s="6"/>
      <c r="I597" s="6"/>
      <c r="J597" s="6" t="str">
        <f t="shared" si="4"/>
        <v>FAIL</v>
      </c>
      <c r="K597" s="7" t="str">
        <f t="shared" si="5"/>
        <v>FAIL</v>
      </c>
      <c r="L597" s="8"/>
    </row>
    <row r="598" ht="15.75" customHeight="1">
      <c r="A598" s="4" t="s">
        <v>669</v>
      </c>
      <c r="B598" s="5" t="s">
        <v>13</v>
      </c>
      <c r="C598" s="5" t="s">
        <v>14</v>
      </c>
      <c r="D598" s="5" t="s">
        <v>59</v>
      </c>
      <c r="E598" s="5" t="s">
        <v>16</v>
      </c>
      <c r="F598" s="5">
        <v>1.0</v>
      </c>
      <c r="G598" s="5" t="s">
        <v>13</v>
      </c>
      <c r="H598" s="5" t="s">
        <v>21</v>
      </c>
      <c r="I598" s="5" t="s">
        <v>22</v>
      </c>
      <c r="J598" s="6" t="str">
        <f t="shared" si="4"/>
        <v>PASS</v>
      </c>
      <c r="K598" s="7" t="str">
        <f t="shared" si="5"/>
        <v>FAIL</v>
      </c>
      <c r="L598" s="8"/>
    </row>
    <row r="599" ht="15.75" customHeight="1">
      <c r="A599" s="4" t="s">
        <v>670</v>
      </c>
      <c r="B599" s="5" t="s">
        <v>19</v>
      </c>
      <c r="C599" s="6"/>
      <c r="D599" s="6"/>
      <c r="E599" s="6"/>
      <c r="F599" s="6"/>
      <c r="G599" s="6"/>
      <c r="H599" s="6"/>
      <c r="I599" s="6"/>
      <c r="J599" s="6" t="str">
        <f t="shared" si="4"/>
        <v>FAIL</v>
      </c>
      <c r="K599" s="7" t="str">
        <f t="shared" si="5"/>
        <v>FAIL</v>
      </c>
      <c r="L599" s="8"/>
    </row>
    <row r="600" ht="15.75" customHeight="1">
      <c r="A600" s="4" t="s">
        <v>671</v>
      </c>
      <c r="B600" s="5" t="s">
        <v>19</v>
      </c>
      <c r="C600" s="6"/>
      <c r="D600" s="6"/>
      <c r="E600" s="6"/>
      <c r="F600" s="6"/>
      <c r="G600" s="6"/>
      <c r="H600" s="6"/>
      <c r="I600" s="6"/>
      <c r="J600" s="6" t="str">
        <f t="shared" si="4"/>
        <v>FAIL</v>
      </c>
      <c r="K600" s="7" t="str">
        <f t="shared" si="5"/>
        <v>FAIL</v>
      </c>
      <c r="L600" s="8"/>
    </row>
    <row r="601" ht="15.75" customHeight="1">
      <c r="A601" s="4" t="s">
        <v>672</v>
      </c>
      <c r="B601" s="5" t="s">
        <v>19</v>
      </c>
      <c r="C601" s="6"/>
      <c r="D601" s="6"/>
      <c r="E601" s="6"/>
      <c r="F601" s="6"/>
      <c r="G601" s="6"/>
      <c r="H601" s="6"/>
      <c r="I601" s="6"/>
      <c r="J601" s="6" t="str">
        <f t="shared" si="4"/>
        <v>FAIL</v>
      </c>
      <c r="K601" s="7" t="str">
        <f t="shared" si="5"/>
        <v>FAIL</v>
      </c>
      <c r="L601" s="8"/>
    </row>
    <row r="602" ht="15.75" customHeight="1">
      <c r="A602" s="4" t="s">
        <v>673</v>
      </c>
      <c r="B602" s="6"/>
      <c r="C602" s="6"/>
      <c r="D602" s="6"/>
      <c r="E602" s="6"/>
      <c r="F602" s="6"/>
      <c r="G602" s="6"/>
      <c r="H602" s="6"/>
      <c r="I602" s="6"/>
      <c r="J602" s="6" t="str">
        <f t="shared" si="4"/>
        <v/>
      </c>
      <c r="K602" s="7" t="str">
        <f t="shared" si="5"/>
        <v>FAIL</v>
      </c>
      <c r="L602" s="8"/>
    </row>
    <row r="603" ht="15.75" customHeight="1">
      <c r="A603" s="4" t="s">
        <v>674</v>
      </c>
      <c r="B603" s="5" t="s">
        <v>19</v>
      </c>
      <c r="C603" s="6"/>
      <c r="D603" s="6"/>
      <c r="E603" s="6"/>
      <c r="F603" s="6"/>
      <c r="G603" s="6"/>
      <c r="H603" s="6"/>
      <c r="I603" s="6"/>
      <c r="J603" s="6" t="str">
        <f t="shared" si="4"/>
        <v>FAIL</v>
      </c>
      <c r="K603" s="7" t="str">
        <f t="shared" si="5"/>
        <v>FAIL</v>
      </c>
      <c r="L603" s="8"/>
    </row>
    <row r="604" ht="15.75" customHeight="1">
      <c r="A604" s="4" t="s">
        <v>675</v>
      </c>
      <c r="B604" s="6"/>
      <c r="C604" s="6"/>
      <c r="D604" s="6"/>
      <c r="E604" s="6"/>
      <c r="F604" s="6"/>
      <c r="G604" s="6"/>
      <c r="H604" s="6"/>
      <c r="I604" s="6"/>
      <c r="J604" s="6" t="str">
        <f t="shared" si="4"/>
        <v/>
      </c>
      <c r="K604" s="7" t="str">
        <f t="shared" si="5"/>
        <v>FAIL</v>
      </c>
      <c r="L604" s="8"/>
    </row>
    <row r="605" ht="15.75" customHeight="1">
      <c r="A605" s="4" t="s">
        <v>676</v>
      </c>
      <c r="B605" s="6"/>
      <c r="C605" s="6"/>
      <c r="D605" s="6"/>
      <c r="E605" s="6"/>
      <c r="F605" s="6"/>
      <c r="G605" s="6"/>
      <c r="H605" s="6"/>
      <c r="I605" s="6"/>
      <c r="J605" s="6" t="str">
        <f t="shared" si="4"/>
        <v/>
      </c>
      <c r="K605" s="7" t="str">
        <f t="shared" si="5"/>
        <v>FAIL</v>
      </c>
      <c r="L605" s="8"/>
    </row>
    <row r="606" ht="15.75" customHeight="1">
      <c r="A606" s="4" t="s">
        <v>677</v>
      </c>
      <c r="B606" s="5" t="s">
        <v>19</v>
      </c>
      <c r="C606" s="6"/>
      <c r="D606" s="6"/>
      <c r="E606" s="6"/>
      <c r="F606" s="6"/>
      <c r="G606" s="6"/>
      <c r="H606" s="6"/>
      <c r="I606" s="6"/>
      <c r="J606" s="6" t="str">
        <f t="shared" si="4"/>
        <v>FAIL</v>
      </c>
      <c r="K606" s="7" t="str">
        <f t="shared" si="5"/>
        <v>FAIL</v>
      </c>
      <c r="L606" s="8"/>
    </row>
    <row r="607" ht="15.75" customHeight="1">
      <c r="A607" s="4" t="s">
        <v>678</v>
      </c>
      <c r="B607" s="5" t="s">
        <v>19</v>
      </c>
      <c r="C607" s="6"/>
      <c r="D607" s="6"/>
      <c r="E607" s="6"/>
      <c r="F607" s="6"/>
      <c r="G607" s="6"/>
      <c r="H607" s="6"/>
      <c r="I607" s="6"/>
      <c r="J607" s="6" t="str">
        <f t="shared" si="4"/>
        <v>FAIL</v>
      </c>
      <c r="K607" s="7" t="str">
        <f t="shared" si="5"/>
        <v>FAIL</v>
      </c>
      <c r="L607" s="8"/>
    </row>
    <row r="608" ht="15.75" customHeight="1">
      <c r="A608" s="4" t="s">
        <v>679</v>
      </c>
      <c r="B608" s="5" t="s">
        <v>19</v>
      </c>
      <c r="C608" s="6"/>
      <c r="D608" s="6"/>
      <c r="E608" s="6"/>
      <c r="F608" s="6"/>
      <c r="G608" s="6"/>
      <c r="H608" s="6"/>
      <c r="I608" s="6"/>
      <c r="J608" s="6" t="str">
        <f t="shared" si="4"/>
        <v>FAIL</v>
      </c>
      <c r="K608" s="7" t="str">
        <f t="shared" si="5"/>
        <v>FAIL</v>
      </c>
      <c r="L608" s="8"/>
    </row>
    <row r="609" ht="15.75" customHeight="1">
      <c r="A609" s="4" t="s">
        <v>680</v>
      </c>
      <c r="B609" s="6"/>
      <c r="C609" s="6"/>
      <c r="D609" s="6"/>
      <c r="E609" s="6"/>
      <c r="F609" s="6"/>
      <c r="G609" s="6"/>
      <c r="H609" s="6"/>
      <c r="I609" s="6"/>
      <c r="J609" s="6" t="str">
        <f t="shared" si="4"/>
        <v/>
      </c>
      <c r="K609" s="7" t="str">
        <f t="shared" si="5"/>
        <v>FAIL</v>
      </c>
      <c r="L609" s="8"/>
    </row>
    <row r="610" ht="15.75" customHeight="1">
      <c r="A610" s="4" t="s">
        <v>681</v>
      </c>
      <c r="B610" s="6"/>
      <c r="C610" s="6"/>
      <c r="D610" s="6"/>
      <c r="E610" s="6"/>
      <c r="F610" s="6"/>
      <c r="G610" s="6"/>
      <c r="H610" s="6"/>
      <c r="I610" s="6"/>
      <c r="J610" s="6" t="str">
        <f t="shared" si="4"/>
        <v/>
      </c>
      <c r="K610" s="7" t="str">
        <f t="shared" si="5"/>
        <v>FAIL</v>
      </c>
      <c r="L610" s="8"/>
    </row>
    <row r="611" ht="15.75" customHeight="1">
      <c r="A611" s="4" t="s">
        <v>682</v>
      </c>
      <c r="B611" s="5" t="s">
        <v>19</v>
      </c>
      <c r="C611" s="6"/>
      <c r="D611" s="6"/>
      <c r="E611" s="6"/>
      <c r="F611" s="6"/>
      <c r="G611" s="6"/>
      <c r="H611" s="6"/>
      <c r="I611" s="6"/>
      <c r="J611" s="6" t="str">
        <f t="shared" si="4"/>
        <v>FAIL</v>
      </c>
      <c r="K611" s="7" t="str">
        <f t="shared" si="5"/>
        <v>FAIL</v>
      </c>
      <c r="L611" s="8"/>
    </row>
    <row r="612" ht="15.75" customHeight="1">
      <c r="A612" s="4" t="s">
        <v>683</v>
      </c>
      <c r="B612" s="5" t="s">
        <v>19</v>
      </c>
      <c r="C612" s="6"/>
      <c r="D612" s="6"/>
      <c r="E612" s="6"/>
      <c r="F612" s="6"/>
      <c r="G612" s="6"/>
      <c r="H612" s="6"/>
      <c r="I612" s="6"/>
      <c r="J612" s="6" t="str">
        <f t="shared" si="4"/>
        <v>FAIL</v>
      </c>
      <c r="K612" s="7" t="str">
        <f t="shared" si="5"/>
        <v>FAIL</v>
      </c>
      <c r="L612" s="8"/>
    </row>
    <row r="613" ht="15.75" customHeight="1">
      <c r="A613" s="4" t="s">
        <v>684</v>
      </c>
      <c r="B613" s="6"/>
      <c r="C613" s="6"/>
      <c r="D613" s="6"/>
      <c r="E613" s="6"/>
      <c r="F613" s="6"/>
      <c r="G613" s="6"/>
      <c r="H613" s="6"/>
      <c r="I613" s="6"/>
      <c r="J613" s="6" t="str">
        <f t="shared" si="4"/>
        <v/>
      </c>
      <c r="K613" s="7" t="str">
        <f t="shared" si="5"/>
        <v>FAIL</v>
      </c>
      <c r="L613" s="8"/>
    </row>
    <row r="614" ht="15.75" customHeight="1">
      <c r="A614" s="4" t="s">
        <v>685</v>
      </c>
      <c r="B614" s="6"/>
      <c r="C614" s="6"/>
      <c r="D614" s="6"/>
      <c r="E614" s="6"/>
      <c r="F614" s="6"/>
      <c r="G614" s="6"/>
      <c r="H614" s="6"/>
      <c r="I614" s="6"/>
      <c r="J614" s="6" t="str">
        <f t="shared" si="4"/>
        <v/>
      </c>
      <c r="K614" s="7" t="str">
        <f t="shared" si="5"/>
        <v>FAIL</v>
      </c>
      <c r="L614" s="8"/>
    </row>
    <row r="615" ht="15.75" customHeight="1">
      <c r="A615" s="4" t="s">
        <v>686</v>
      </c>
      <c r="B615" s="5" t="s">
        <v>19</v>
      </c>
      <c r="C615" s="6"/>
      <c r="D615" s="6"/>
      <c r="E615" s="6"/>
      <c r="F615" s="6"/>
      <c r="G615" s="6"/>
      <c r="H615" s="6"/>
      <c r="I615" s="6"/>
      <c r="J615" s="6" t="str">
        <f t="shared" si="4"/>
        <v>FAIL</v>
      </c>
      <c r="K615" s="7" t="str">
        <f t="shared" si="5"/>
        <v>FAIL</v>
      </c>
      <c r="L615" s="8"/>
    </row>
    <row r="616" ht="15.75" customHeight="1">
      <c r="A616" s="4" t="s">
        <v>687</v>
      </c>
      <c r="B616" s="6"/>
      <c r="C616" s="6"/>
      <c r="D616" s="6"/>
      <c r="E616" s="6"/>
      <c r="F616" s="6"/>
      <c r="G616" s="6"/>
      <c r="H616" s="6"/>
      <c r="I616" s="6"/>
      <c r="J616" s="6" t="str">
        <f t="shared" si="4"/>
        <v/>
      </c>
      <c r="K616" s="7" t="str">
        <f t="shared" si="5"/>
        <v>FAIL</v>
      </c>
      <c r="L616" s="8"/>
    </row>
    <row r="617" ht="15.75" customHeight="1">
      <c r="A617" s="4" t="s">
        <v>688</v>
      </c>
      <c r="B617" s="5" t="s">
        <v>19</v>
      </c>
      <c r="C617" s="6"/>
      <c r="D617" s="6"/>
      <c r="E617" s="6"/>
      <c r="F617" s="6"/>
      <c r="G617" s="6"/>
      <c r="H617" s="6"/>
      <c r="I617" s="6"/>
      <c r="J617" s="6" t="str">
        <f t="shared" si="4"/>
        <v>FAIL</v>
      </c>
      <c r="K617" s="7" t="str">
        <f t="shared" si="5"/>
        <v>FAIL</v>
      </c>
      <c r="L617" s="8"/>
    </row>
    <row r="618" ht="15.75" customHeight="1">
      <c r="A618" s="4" t="s">
        <v>689</v>
      </c>
      <c r="B618" s="5" t="s">
        <v>19</v>
      </c>
      <c r="C618" s="6"/>
      <c r="D618" s="6"/>
      <c r="E618" s="6"/>
      <c r="F618" s="6"/>
      <c r="G618" s="6"/>
      <c r="H618" s="6"/>
      <c r="I618" s="6"/>
      <c r="J618" s="6" t="str">
        <f t="shared" si="4"/>
        <v>FAIL</v>
      </c>
      <c r="K618" s="7" t="str">
        <f t="shared" si="5"/>
        <v>FAIL</v>
      </c>
      <c r="L618" s="8"/>
    </row>
    <row r="619" ht="15.75" customHeight="1">
      <c r="A619" s="4" t="s">
        <v>690</v>
      </c>
      <c r="B619" s="5" t="s">
        <v>19</v>
      </c>
      <c r="C619" s="6"/>
      <c r="D619" s="6"/>
      <c r="E619" s="6"/>
      <c r="F619" s="6"/>
      <c r="G619" s="6"/>
      <c r="H619" s="6"/>
      <c r="I619" s="6"/>
      <c r="J619" s="6" t="str">
        <f t="shared" si="4"/>
        <v>FAIL</v>
      </c>
      <c r="K619" s="7" t="str">
        <f t="shared" si="5"/>
        <v>FAIL</v>
      </c>
      <c r="L619" s="8"/>
    </row>
    <row r="620" ht="15.75" customHeight="1">
      <c r="A620" s="4" t="s">
        <v>691</v>
      </c>
      <c r="B620" s="6"/>
      <c r="C620" s="6"/>
      <c r="D620" s="6"/>
      <c r="E620" s="6"/>
      <c r="F620" s="6"/>
      <c r="G620" s="6"/>
      <c r="H620" s="6"/>
      <c r="I620" s="6"/>
      <c r="J620" s="6" t="str">
        <f t="shared" si="4"/>
        <v/>
      </c>
      <c r="K620" s="7" t="str">
        <f t="shared" si="5"/>
        <v>FAIL</v>
      </c>
      <c r="L620" s="8"/>
    </row>
    <row r="621" ht="15.75" customHeight="1">
      <c r="A621" s="4" t="s">
        <v>692</v>
      </c>
      <c r="B621" s="6"/>
      <c r="C621" s="6"/>
      <c r="D621" s="6"/>
      <c r="E621" s="6"/>
      <c r="F621" s="6"/>
      <c r="G621" s="6"/>
      <c r="H621" s="6"/>
      <c r="I621" s="6"/>
      <c r="J621" s="6" t="str">
        <f t="shared" si="4"/>
        <v/>
      </c>
      <c r="K621" s="7" t="str">
        <f t="shared" si="5"/>
        <v>FAIL</v>
      </c>
      <c r="L621" s="8"/>
    </row>
    <row r="622" ht="15.75" customHeight="1">
      <c r="A622" s="4" t="s">
        <v>693</v>
      </c>
      <c r="B622" s="5" t="s">
        <v>19</v>
      </c>
      <c r="C622" s="6"/>
      <c r="D622" s="6"/>
      <c r="E622" s="6"/>
      <c r="F622" s="6"/>
      <c r="G622" s="6"/>
      <c r="H622" s="6"/>
      <c r="I622" s="6"/>
      <c r="J622" s="6" t="str">
        <f t="shared" si="4"/>
        <v>FAIL</v>
      </c>
      <c r="K622" s="7" t="str">
        <f t="shared" si="5"/>
        <v>FAIL</v>
      </c>
      <c r="L622" s="8"/>
    </row>
    <row r="623" ht="15.75" customHeight="1">
      <c r="A623" s="4" t="s">
        <v>694</v>
      </c>
      <c r="B623" s="6"/>
      <c r="C623" s="6"/>
      <c r="D623" s="6"/>
      <c r="E623" s="6"/>
      <c r="F623" s="6"/>
      <c r="G623" s="6"/>
      <c r="H623" s="6"/>
      <c r="I623" s="6"/>
      <c r="J623" s="6" t="str">
        <f t="shared" si="4"/>
        <v/>
      </c>
      <c r="K623" s="7" t="str">
        <f t="shared" si="5"/>
        <v>FAIL</v>
      </c>
      <c r="L623" s="8"/>
    </row>
    <row r="624" ht="15.75" customHeight="1">
      <c r="A624" s="4" t="s">
        <v>695</v>
      </c>
      <c r="B624" s="5" t="s">
        <v>19</v>
      </c>
      <c r="C624" s="6"/>
      <c r="D624" s="6"/>
      <c r="E624" s="6"/>
      <c r="F624" s="6"/>
      <c r="G624" s="6"/>
      <c r="H624" s="6"/>
      <c r="I624" s="6"/>
      <c r="J624" s="6" t="str">
        <f t="shared" si="4"/>
        <v>FAIL</v>
      </c>
      <c r="K624" s="7" t="str">
        <f t="shared" si="5"/>
        <v>FAIL</v>
      </c>
      <c r="L624" s="8"/>
    </row>
    <row r="625" ht="15.75" customHeight="1">
      <c r="A625" s="4" t="s">
        <v>696</v>
      </c>
      <c r="B625" s="5" t="s">
        <v>19</v>
      </c>
      <c r="C625" s="6"/>
      <c r="D625" s="6"/>
      <c r="E625" s="6"/>
      <c r="F625" s="6"/>
      <c r="G625" s="6"/>
      <c r="H625" s="6"/>
      <c r="I625" s="6"/>
      <c r="J625" s="6" t="str">
        <f t="shared" si="4"/>
        <v>FAIL</v>
      </c>
      <c r="K625" s="7" t="str">
        <f t="shared" si="5"/>
        <v>FAIL</v>
      </c>
      <c r="L625" s="8"/>
    </row>
    <row r="626" ht="15.75" customHeight="1">
      <c r="A626" s="4" t="s">
        <v>697</v>
      </c>
      <c r="B626" s="5" t="s">
        <v>19</v>
      </c>
      <c r="C626" s="6"/>
      <c r="D626" s="6"/>
      <c r="E626" s="6"/>
      <c r="F626" s="6"/>
      <c r="G626" s="6"/>
      <c r="H626" s="6"/>
      <c r="I626" s="6"/>
      <c r="J626" s="6" t="str">
        <f t="shared" si="4"/>
        <v>FAIL</v>
      </c>
      <c r="K626" s="7" t="str">
        <f t="shared" si="5"/>
        <v>FAIL</v>
      </c>
      <c r="L626" s="8"/>
    </row>
    <row r="627" ht="15.75" customHeight="1">
      <c r="A627" s="4" t="s">
        <v>698</v>
      </c>
      <c r="B627" s="5" t="s">
        <v>19</v>
      </c>
      <c r="C627" s="6"/>
      <c r="D627" s="6"/>
      <c r="E627" s="6"/>
      <c r="F627" s="6"/>
      <c r="G627" s="6"/>
      <c r="H627" s="6"/>
      <c r="I627" s="6"/>
      <c r="J627" s="6" t="str">
        <f t="shared" si="4"/>
        <v>FAIL</v>
      </c>
      <c r="K627" s="7" t="str">
        <f t="shared" si="5"/>
        <v>FAIL</v>
      </c>
      <c r="L627" s="8"/>
    </row>
    <row r="628" ht="15.75" customHeight="1">
      <c r="A628" s="4" t="s">
        <v>699</v>
      </c>
      <c r="B628" s="5" t="s">
        <v>19</v>
      </c>
      <c r="C628" s="6"/>
      <c r="D628" s="6"/>
      <c r="E628" s="6"/>
      <c r="F628" s="6"/>
      <c r="G628" s="6"/>
      <c r="H628" s="6"/>
      <c r="I628" s="6"/>
      <c r="J628" s="6" t="str">
        <f t="shared" si="4"/>
        <v>FAIL</v>
      </c>
      <c r="K628" s="7" t="str">
        <f t="shared" si="5"/>
        <v>FAIL</v>
      </c>
      <c r="L628" s="8"/>
    </row>
    <row r="629" ht="15.75" customHeight="1">
      <c r="A629" s="4" t="s">
        <v>700</v>
      </c>
      <c r="B629" s="5" t="s">
        <v>19</v>
      </c>
      <c r="C629" s="6"/>
      <c r="D629" s="6"/>
      <c r="E629" s="6"/>
      <c r="F629" s="6"/>
      <c r="G629" s="6"/>
      <c r="H629" s="6"/>
      <c r="I629" s="6"/>
      <c r="J629" s="6" t="str">
        <f t="shared" si="4"/>
        <v>FAIL</v>
      </c>
      <c r="K629" s="7" t="str">
        <f t="shared" si="5"/>
        <v>FAIL</v>
      </c>
      <c r="L629" s="8"/>
    </row>
    <row r="630" ht="15.75" customHeight="1">
      <c r="A630" s="4" t="s">
        <v>701</v>
      </c>
      <c r="B630" s="5" t="s">
        <v>19</v>
      </c>
      <c r="C630" s="6"/>
      <c r="D630" s="6"/>
      <c r="E630" s="6"/>
      <c r="F630" s="6"/>
      <c r="G630" s="6"/>
      <c r="H630" s="6"/>
      <c r="I630" s="6"/>
      <c r="J630" s="6" t="str">
        <f t="shared" si="4"/>
        <v>FAIL</v>
      </c>
      <c r="K630" s="7" t="str">
        <f t="shared" si="5"/>
        <v>FAIL</v>
      </c>
      <c r="L630" s="8"/>
    </row>
    <row r="631" ht="15.75" customHeight="1">
      <c r="A631" s="4" t="s">
        <v>702</v>
      </c>
      <c r="B631" s="5" t="s">
        <v>13</v>
      </c>
      <c r="C631" s="5" t="s">
        <v>16</v>
      </c>
      <c r="D631" s="5" t="s">
        <v>59</v>
      </c>
      <c r="E631" s="5" t="s">
        <v>15</v>
      </c>
      <c r="F631" s="5">
        <v>2.0</v>
      </c>
      <c r="G631" s="5" t="s">
        <v>13</v>
      </c>
      <c r="H631" s="5" t="s">
        <v>16</v>
      </c>
      <c r="I631" s="5" t="s">
        <v>17</v>
      </c>
      <c r="J631" s="6" t="str">
        <f t="shared" si="4"/>
        <v>PASS</v>
      </c>
      <c r="K631" s="7" t="str">
        <f t="shared" si="5"/>
        <v>FAIL</v>
      </c>
      <c r="L631" s="8"/>
    </row>
    <row r="632" ht="15.75" customHeight="1">
      <c r="A632" s="4" t="s">
        <v>703</v>
      </c>
      <c r="B632" s="5" t="s">
        <v>19</v>
      </c>
      <c r="C632" s="6"/>
      <c r="D632" s="6"/>
      <c r="E632" s="6"/>
      <c r="F632" s="6"/>
      <c r="G632" s="6"/>
      <c r="H632" s="6"/>
      <c r="I632" s="6"/>
      <c r="J632" s="6" t="str">
        <f t="shared" si="4"/>
        <v>FAIL</v>
      </c>
      <c r="K632" s="7" t="str">
        <f t="shared" si="5"/>
        <v>FAIL</v>
      </c>
      <c r="L632" s="8"/>
    </row>
    <row r="633" ht="15.75" customHeight="1">
      <c r="A633" s="4" t="s">
        <v>704</v>
      </c>
      <c r="B633" s="5" t="s">
        <v>19</v>
      </c>
      <c r="C633" s="6"/>
      <c r="D633" s="6"/>
      <c r="E633" s="6"/>
      <c r="F633" s="6"/>
      <c r="G633" s="6"/>
      <c r="H633" s="6"/>
      <c r="I633" s="6"/>
      <c r="J633" s="6" t="str">
        <f t="shared" si="4"/>
        <v>FAIL</v>
      </c>
      <c r="K633" s="7" t="str">
        <f t="shared" si="5"/>
        <v>FAIL</v>
      </c>
      <c r="L633" s="8"/>
    </row>
    <row r="634" ht="15.75" customHeight="1">
      <c r="A634" s="4" t="s">
        <v>705</v>
      </c>
      <c r="B634" s="5" t="s">
        <v>19</v>
      </c>
      <c r="C634" s="6"/>
      <c r="D634" s="6"/>
      <c r="E634" s="6"/>
      <c r="F634" s="6"/>
      <c r="G634" s="6"/>
      <c r="H634" s="6"/>
      <c r="I634" s="6"/>
      <c r="J634" s="6" t="str">
        <f t="shared" si="4"/>
        <v>FAIL</v>
      </c>
      <c r="K634" s="7" t="str">
        <f t="shared" si="5"/>
        <v>FAIL</v>
      </c>
      <c r="L634" s="8"/>
    </row>
    <row r="635" ht="15.75" customHeight="1">
      <c r="A635" s="4" t="s">
        <v>706</v>
      </c>
      <c r="B635" s="5" t="s">
        <v>19</v>
      </c>
      <c r="C635" s="6"/>
      <c r="D635" s="6"/>
      <c r="E635" s="6"/>
      <c r="F635" s="6"/>
      <c r="G635" s="6"/>
      <c r="H635" s="6"/>
      <c r="I635" s="6"/>
      <c r="J635" s="6" t="str">
        <f t="shared" si="4"/>
        <v>FAIL</v>
      </c>
      <c r="K635" s="7" t="str">
        <f t="shared" si="5"/>
        <v>FAIL</v>
      </c>
      <c r="L635" s="8"/>
    </row>
    <row r="636" ht="15.75" customHeight="1">
      <c r="A636" s="4" t="s">
        <v>707</v>
      </c>
      <c r="B636" s="6"/>
      <c r="C636" s="6"/>
      <c r="D636" s="6"/>
      <c r="E636" s="6"/>
      <c r="F636" s="6"/>
      <c r="G636" s="6"/>
      <c r="H636" s="6"/>
      <c r="I636" s="6"/>
      <c r="J636" s="6" t="str">
        <f t="shared" si="4"/>
        <v/>
      </c>
      <c r="K636" s="7" t="str">
        <f t="shared" si="5"/>
        <v>FAIL</v>
      </c>
      <c r="L636" s="8"/>
    </row>
    <row r="637" ht="15.75" customHeight="1">
      <c r="A637" s="4" t="s">
        <v>708</v>
      </c>
      <c r="B637" s="5" t="s">
        <v>19</v>
      </c>
      <c r="C637" s="6"/>
      <c r="D637" s="6"/>
      <c r="E637" s="6"/>
      <c r="F637" s="6"/>
      <c r="G637" s="6"/>
      <c r="H637" s="6"/>
      <c r="I637" s="6"/>
      <c r="J637" s="6" t="str">
        <f t="shared" si="4"/>
        <v>FAIL</v>
      </c>
      <c r="K637" s="7" t="str">
        <f t="shared" si="5"/>
        <v>FAIL</v>
      </c>
      <c r="L637" s="8"/>
    </row>
    <row r="638" ht="15.75" customHeight="1">
      <c r="A638" s="4" t="s">
        <v>709</v>
      </c>
      <c r="B638" s="6"/>
      <c r="C638" s="6"/>
      <c r="D638" s="6"/>
      <c r="E638" s="6"/>
      <c r="F638" s="6"/>
      <c r="G638" s="6"/>
      <c r="H638" s="6"/>
      <c r="I638" s="6"/>
      <c r="J638" s="6" t="str">
        <f t="shared" si="4"/>
        <v/>
      </c>
      <c r="K638" s="7" t="str">
        <f t="shared" si="5"/>
        <v>FAIL</v>
      </c>
      <c r="L638" s="8"/>
    </row>
    <row r="639" ht="15.75" customHeight="1">
      <c r="A639" s="4" t="s">
        <v>710</v>
      </c>
      <c r="B639" s="5" t="s">
        <v>19</v>
      </c>
      <c r="C639" s="6"/>
      <c r="D639" s="6"/>
      <c r="E639" s="6"/>
      <c r="F639" s="6"/>
      <c r="G639" s="6"/>
      <c r="H639" s="6"/>
      <c r="I639" s="6"/>
      <c r="J639" s="6" t="str">
        <f t="shared" si="4"/>
        <v>FAIL</v>
      </c>
      <c r="K639" s="7" t="str">
        <f t="shared" si="5"/>
        <v>FAIL</v>
      </c>
      <c r="L639" s="8"/>
    </row>
    <row r="640" ht="15.75" customHeight="1">
      <c r="A640" s="4" t="s">
        <v>711</v>
      </c>
      <c r="B640" s="6"/>
      <c r="C640" s="6"/>
      <c r="D640" s="6"/>
      <c r="E640" s="6"/>
      <c r="F640" s="6"/>
      <c r="G640" s="6"/>
      <c r="H640" s="6"/>
      <c r="I640" s="6"/>
      <c r="J640" s="6" t="str">
        <f t="shared" si="4"/>
        <v/>
      </c>
      <c r="K640" s="7" t="str">
        <f t="shared" si="5"/>
        <v>FAIL</v>
      </c>
      <c r="L640" s="8"/>
    </row>
    <row r="641" ht="15.75" customHeight="1">
      <c r="A641" s="4" t="s">
        <v>712</v>
      </c>
      <c r="B641" s="5" t="s">
        <v>19</v>
      </c>
      <c r="C641" s="6"/>
      <c r="D641" s="6"/>
      <c r="E641" s="6"/>
      <c r="F641" s="6"/>
      <c r="G641" s="6"/>
      <c r="H641" s="6"/>
      <c r="I641" s="6"/>
      <c r="J641" s="6" t="str">
        <f t="shared" si="4"/>
        <v>FAIL</v>
      </c>
      <c r="K641" s="7" t="str">
        <f t="shared" si="5"/>
        <v>FAIL</v>
      </c>
      <c r="L641" s="8"/>
    </row>
    <row r="642" ht="15.75" customHeight="1">
      <c r="A642" s="4" t="s">
        <v>713</v>
      </c>
      <c r="B642" s="5" t="s">
        <v>19</v>
      </c>
      <c r="C642" s="6"/>
      <c r="D642" s="6"/>
      <c r="E642" s="6"/>
      <c r="F642" s="6"/>
      <c r="G642" s="6"/>
      <c r="H642" s="6"/>
      <c r="I642" s="6"/>
      <c r="J642" s="6" t="str">
        <f t="shared" si="4"/>
        <v>FAIL</v>
      </c>
      <c r="K642" s="7" t="str">
        <f t="shared" si="5"/>
        <v>FAIL</v>
      </c>
      <c r="L642" s="8"/>
    </row>
    <row r="643" ht="15.75" customHeight="1">
      <c r="A643" s="4" t="s">
        <v>714</v>
      </c>
      <c r="B643" s="5" t="s">
        <v>19</v>
      </c>
      <c r="C643" s="6"/>
      <c r="D643" s="6"/>
      <c r="E643" s="6"/>
      <c r="F643" s="6"/>
      <c r="G643" s="6"/>
      <c r="H643" s="6"/>
      <c r="I643" s="6"/>
      <c r="J643" s="6" t="str">
        <f t="shared" si="4"/>
        <v>FAIL</v>
      </c>
      <c r="K643" s="7" t="str">
        <f t="shared" si="5"/>
        <v>FAIL</v>
      </c>
      <c r="L643" s="8"/>
    </row>
    <row r="644" ht="15.75" customHeight="1">
      <c r="A644" s="4" t="s">
        <v>715</v>
      </c>
      <c r="B644" s="5" t="s">
        <v>19</v>
      </c>
      <c r="C644" s="6"/>
      <c r="D644" s="6"/>
      <c r="E644" s="6"/>
      <c r="F644" s="6"/>
      <c r="G644" s="6"/>
      <c r="H644" s="6"/>
      <c r="I644" s="6"/>
      <c r="J644" s="6" t="str">
        <f t="shared" si="4"/>
        <v>FAIL</v>
      </c>
      <c r="K644" s="7" t="str">
        <f t="shared" si="5"/>
        <v>FAIL</v>
      </c>
      <c r="L644" s="8"/>
    </row>
    <row r="645" ht="15.75" customHeight="1">
      <c r="A645" s="4" t="s">
        <v>716</v>
      </c>
      <c r="B645" s="5" t="s">
        <v>19</v>
      </c>
      <c r="C645" s="6"/>
      <c r="D645" s="6"/>
      <c r="E645" s="6"/>
      <c r="F645" s="6"/>
      <c r="G645" s="6"/>
      <c r="H645" s="6"/>
      <c r="I645" s="6"/>
      <c r="J645" s="6" t="str">
        <f t="shared" si="4"/>
        <v>FAIL</v>
      </c>
      <c r="K645" s="7" t="str">
        <f t="shared" si="5"/>
        <v>FAIL</v>
      </c>
      <c r="L645" s="8"/>
    </row>
    <row r="646" ht="15.75" customHeight="1">
      <c r="K646" s="7"/>
      <c r="L646" s="8"/>
    </row>
    <row r="647" ht="15.75" customHeight="1">
      <c r="K647" s="7"/>
      <c r="L647" s="8"/>
    </row>
    <row r="648" ht="15.75" customHeight="1">
      <c r="K648" s="7"/>
      <c r="L648" s="8"/>
    </row>
    <row r="649" ht="15.75" customHeight="1">
      <c r="K649" s="7"/>
      <c r="L649" s="8"/>
    </row>
    <row r="650" ht="15.75" customHeight="1">
      <c r="K650" s="7"/>
      <c r="L650" s="8"/>
    </row>
    <row r="651" ht="15.75" customHeight="1">
      <c r="K651" s="7"/>
      <c r="L651" s="8"/>
    </row>
    <row r="652" ht="15.75" customHeight="1">
      <c r="K652" s="7"/>
      <c r="L652" s="8"/>
    </row>
    <row r="653" ht="15.75" customHeight="1">
      <c r="K653" s="7"/>
      <c r="L653" s="8"/>
    </row>
    <row r="654" ht="15.75" customHeight="1">
      <c r="K654" s="7"/>
      <c r="L654" s="8"/>
    </row>
    <row r="655" ht="15.75" customHeight="1">
      <c r="K655" s="7"/>
      <c r="L655" s="8"/>
    </row>
    <row r="656" ht="15.75" customHeight="1">
      <c r="K656" s="7"/>
      <c r="L656" s="8"/>
    </row>
    <row r="657" ht="15.75" customHeight="1">
      <c r="K657" s="7"/>
      <c r="L657" s="8"/>
    </row>
    <row r="658" ht="15.75" customHeight="1">
      <c r="K658" s="7"/>
      <c r="L658" s="8"/>
    </row>
    <row r="659" ht="15.75" customHeight="1">
      <c r="K659" s="7"/>
      <c r="L659" s="8"/>
    </row>
    <row r="660" ht="15.75" customHeight="1">
      <c r="K660" s="7"/>
      <c r="L660" s="8"/>
    </row>
    <row r="661" ht="15.75" customHeight="1">
      <c r="K661" s="7"/>
      <c r="L661" s="8"/>
    </row>
    <row r="662" ht="15.75" customHeight="1">
      <c r="K662" s="7"/>
      <c r="L662" s="8"/>
    </row>
    <row r="663" ht="15.75" customHeight="1">
      <c r="K663" s="7"/>
      <c r="L663" s="8"/>
    </row>
    <row r="664" ht="15.75" customHeight="1">
      <c r="K664" s="7"/>
      <c r="L664" s="8"/>
    </row>
    <row r="665" ht="15.75" customHeight="1">
      <c r="K665" s="7"/>
      <c r="L665" s="8"/>
    </row>
    <row r="666" ht="15.75" customHeight="1">
      <c r="K666" s="7"/>
      <c r="L666" s="8"/>
    </row>
    <row r="667" ht="15.75" customHeight="1">
      <c r="K667" s="7"/>
      <c r="L667" s="8"/>
    </row>
    <row r="668" ht="15.75" customHeight="1">
      <c r="K668" s="7"/>
      <c r="L668" s="8"/>
    </row>
    <row r="669" ht="15.75" customHeight="1">
      <c r="K669" s="7"/>
      <c r="L669" s="8"/>
    </row>
    <row r="670" ht="15.75" customHeight="1">
      <c r="K670" s="7"/>
      <c r="L670" s="8"/>
    </row>
    <row r="671" ht="15.75" customHeight="1">
      <c r="K671" s="7"/>
      <c r="L671" s="8"/>
    </row>
    <row r="672" ht="15.75" customHeight="1">
      <c r="K672" s="7"/>
      <c r="L672" s="8"/>
    </row>
    <row r="673" ht="15.75" customHeight="1">
      <c r="K673" s="7"/>
      <c r="L673" s="8"/>
    </row>
    <row r="674" ht="15.75" customHeight="1">
      <c r="K674" s="7"/>
      <c r="L674" s="8"/>
    </row>
    <row r="675" ht="15.75" customHeight="1">
      <c r="K675" s="7"/>
      <c r="L675" s="8"/>
    </row>
    <row r="676" ht="15.75" customHeight="1">
      <c r="K676" s="7"/>
      <c r="L676" s="8"/>
    </row>
    <row r="677" ht="15.75" customHeight="1">
      <c r="K677" s="7"/>
      <c r="L677" s="8"/>
    </row>
    <row r="678" ht="15.75" customHeight="1">
      <c r="K678" s="7"/>
      <c r="L678" s="8"/>
    </row>
    <row r="679" ht="15.75" customHeight="1">
      <c r="K679" s="7"/>
      <c r="L679" s="8"/>
    </row>
    <row r="680" ht="15.75" customHeight="1">
      <c r="K680" s="7"/>
      <c r="L680" s="8"/>
    </row>
    <row r="681" ht="15.75" customHeight="1">
      <c r="K681" s="7"/>
      <c r="L681" s="8"/>
    </row>
    <row r="682" ht="15.75" customHeight="1">
      <c r="K682" s="7"/>
      <c r="L682" s="8"/>
    </row>
    <row r="683" ht="15.75" customHeight="1">
      <c r="K683" s="7"/>
      <c r="L683" s="8"/>
    </row>
    <row r="684" ht="15.75" customHeight="1">
      <c r="K684" s="7"/>
      <c r="L684" s="8"/>
    </row>
    <row r="685" ht="15.75" customHeight="1">
      <c r="K685" s="7"/>
      <c r="L685" s="8"/>
    </row>
    <row r="686" ht="15.75" customHeight="1">
      <c r="K686" s="7"/>
      <c r="L686" s="8"/>
    </row>
    <row r="687" ht="15.75" customHeight="1">
      <c r="K687" s="7"/>
      <c r="L687" s="8"/>
    </row>
    <row r="688" ht="15.75" customHeight="1">
      <c r="K688" s="7"/>
      <c r="L688" s="8"/>
    </row>
    <row r="689" ht="15.75" customHeight="1">
      <c r="K689" s="7"/>
      <c r="L689" s="8"/>
    </row>
    <row r="690" ht="15.75" customHeight="1">
      <c r="K690" s="7"/>
      <c r="L690" s="8"/>
    </row>
    <row r="691" ht="15.75" customHeight="1">
      <c r="K691" s="7"/>
      <c r="L691" s="8"/>
    </row>
    <row r="692" ht="15.75" customHeight="1">
      <c r="K692" s="7"/>
      <c r="L692" s="8"/>
    </row>
    <row r="693" ht="15.75" customHeight="1">
      <c r="K693" s="7"/>
      <c r="L693" s="8"/>
    </row>
    <row r="694" ht="15.75" customHeight="1">
      <c r="K694" s="7"/>
      <c r="L694" s="8"/>
    </row>
    <row r="695" ht="15.75" customHeight="1">
      <c r="K695" s="7"/>
      <c r="L695" s="8"/>
    </row>
    <row r="696" ht="15.75" customHeight="1">
      <c r="K696" s="7"/>
      <c r="L696" s="8"/>
    </row>
    <row r="697" ht="15.75" customHeight="1">
      <c r="K697" s="7"/>
      <c r="L697" s="8"/>
    </row>
    <row r="698" ht="15.75" customHeight="1">
      <c r="K698" s="7"/>
      <c r="L698" s="8"/>
    </row>
    <row r="699" ht="15.75" customHeight="1">
      <c r="K699" s="7"/>
      <c r="L699" s="8"/>
    </row>
    <row r="700" ht="15.75" customHeight="1">
      <c r="K700" s="7"/>
      <c r="L700" s="8"/>
    </row>
    <row r="701" ht="15.75" customHeight="1">
      <c r="K701" s="7"/>
      <c r="L701" s="8"/>
    </row>
    <row r="702" ht="15.75" customHeight="1">
      <c r="K702" s="7"/>
      <c r="L702" s="8"/>
    </row>
    <row r="703" ht="15.75" customHeight="1">
      <c r="K703" s="7"/>
      <c r="L703" s="8"/>
    </row>
    <row r="704" ht="15.75" customHeight="1">
      <c r="K704" s="7"/>
      <c r="L704" s="8"/>
    </row>
    <row r="705" ht="15.75" customHeight="1">
      <c r="K705" s="7"/>
      <c r="L705" s="8"/>
    </row>
    <row r="706" ht="15.75" customHeight="1">
      <c r="K706" s="7"/>
      <c r="L706" s="8"/>
    </row>
    <row r="707" ht="15.75" customHeight="1">
      <c r="K707" s="7"/>
      <c r="L707" s="8"/>
    </row>
    <row r="708" ht="15.75" customHeight="1">
      <c r="K708" s="7"/>
      <c r="L708" s="8"/>
    </row>
    <row r="709" ht="15.75" customHeight="1">
      <c r="K709" s="7"/>
      <c r="L709" s="8"/>
    </row>
    <row r="710" ht="15.75" customHeight="1">
      <c r="K710" s="7"/>
      <c r="L710" s="8"/>
    </row>
    <row r="711" ht="15.75" customHeight="1">
      <c r="K711" s="7"/>
      <c r="L711" s="8"/>
    </row>
    <row r="712" ht="15.75" customHeight="1">
      <c r="K712" s="7"/>
      <c r="L712" s="8"/>
    </row>
    <row r="713" ht="15.75" customHeight="1">
      <c r="K713" s="7"/>
      <c r="L713" s="8"/>
    </row>
    <row r="714" ht="15.75" customHeight="1">
      <c r="K714" s="7"/>
      <c r="L714" s="8"/>
    </row>
    <row r="715" ht="15.75" customHeight="1">
      <c r="K715" s="7"/>
      <c r="L715" s="8"/>
    </row>
    <row r="716" ht="15.75" customHeight="1">
      <c r="K716" s="7"/>
      <c r="L716" s="8"/>
    </row>
    <row r="717" ht="15.75" customHeight="1">
      <c r="K717" s="7"/>
      <c r="L717" s="8"/>
    </row>
    <row r="718" ht="15.75" customHeight="1">
      <c r="K718" s="7"/>
      <c r="L718" s="8"/>
    </row>
    <row r="719" ht="15.75" customHeight="1">
      <c r="K719" s="7"/>
      <c r="L719" s="8"/>
    </row>
    <row r="720" ht="15.75" customHeight="1">
      <c r="K720" s="7"/>
      <c r="L720" s="8"/>
    </row>
    <row r="721" ht="15.75" customHeight="1">
      <c r="K721" s="7"/>
      <c r="L721" s="8"/>
    </row>
    <row r="722" ht="15.75" customHeight="1">
      <c r="K722" s="7"/>
      <c r="L722" s="8"/>
    </row>
    <row r="723" ht="15.75" customHeight="1">
      <c r="K723" s="7"/>
      <c r="L723" s="8"/>
    </row>
    <row r="724" ht="15.75" customHeight="1">
      <c r="K724" s="7"/>
      <c r="L724" s="8"/>
    </row>
    <row r="725" ht="15.75" customHeight="1">
      <c r="K725" s="7"/>
      <c r="L725" s="8"/>
    </row>
    <row r="726" ht="15.75" customHeight="1">
      <c r="K726" s="7"/>
      <c r="L726" s="8"/>
    </row>
    <row r="727" ht="15.75" customHeight="1">
      <c r="K727" s="7"/>
      <c r="L727" s="8"/>
    </row>
    <row r="728" ht="15.75" customHeight="1">
      <c r="K728" s="7"/>
      <c r="L728" s="8"/>
    </row>
    <row r="729" ht="15.75" customHeight="1">
      <c r="K729" s="7"/>
      <c r="L729" s="8"/>
    </row>
    <row r="730" ht="15.75" customHeight="1">
      <c r="K730" s="7"/>
      <c r="L730" s="8"/>
    </row>
    <row r="731" ht="15.75" customHeight="1">
      <c r="K731" s="7"/>
      <c r="L731" s="8"/>
    </row>
    <row r="732" ht="15.75" customHeight="1">
      <c r="K732" s="7"/>
      <c r="L732" s="8"/>
    </row>
    <row r="733" ht="15.75" customHeight="1">
      <c r="K733" s="7"/>
      <c r="L733" s="8"/>
    </row>
    <row r="734" ht="15.75" customHeight="1">
      <c r="K734" s="7"/>
      <c r="L734" s="8"/>
    </row>
    <row r="735" ht="15.75" customHeight="1">
      <c r="K735" s="7"/>
      <c r="L735" s="8"/>
    </row>
    <row r="736" ht="15.75" customHeight="1">
      <c r="K736" s="7"/>
      <c r="L736" s="8"/>
    </row>
    <row r="737" ht="15.75" customHeight="1">
      <c r="K737" s="7"/>
      <c r="L737" s="8"/>
    </row>
    <row r="738" ht="15.75" customHeight="1">
      <c r="K738" s="7"/>
      <c r="L738" s="8"/>
    </row>
    <row r="739" ht="15.75" customHeight="1">
      <c r="K739" s="7"/>
      <c r="L739" s="8"/>
    </row>
    <row r="740" ht="15.75" customHeight="1">
      <c r="K740" s="7"/>
      <c r="L740" s="8"/>
    </row>
    <row r="741" ht="15.75" customHeight="1">
      <c r="K741" s="7"/>
      <c r="L741" s="8"/>
    </row>
    <row r="742" ht="15.75" customHeight="1">
      <c r="K742" s="7"/>
      <c r="L742" s="8"/>
    </row>
    <row r="743" ht="15.75" customHeight="1">
      <c r="K743" s="7"/>
      <c r="L743" s="8"/>
    </row>
    <row r="744" ht="15.75" customHeight="1">
      <c r="K744" s="7"/>
      <c r="L744" s="8"/>
    </row>
    <row r="745" ht="15.75" customHeight="1">
      <c r="K745" s="7"/>
      <c r="L745" s="8"/>
    </row>
    <row r="746" ht="15.75" customHeight="1">
      <c r="K746" s="7"/>
      <c r="L746" s="8"/>
    </row>
    <row r="747" ht="15.75" customHeight="1">
      <c r="K747" s="7"/>
      <c r="L747" s="8"/>
    </row>
    <row r="748" ht="15.75" customHeight="1">
      <c r="K748" s="7"/>
      <c r="L748" s="8"/>
    </row>
    <row r="749" ht="15.75" customHeight="1">
      <c r="K749" s="7"/>
      <c r="L749" s="8"/>
    </row>
    <row r="750" ht="15.75" customHeight="1">
      <c r="K750" s="7"/>
      <c r="L750" s="8"/>
    </row>
    <row r="751" ht="15.75" customHeight="1">
      <c r="K751" s="7"/>
      <c r="L751" s="8"/>
    </row>
    <row r="752" ht="15.75" customHeight="1">
      <c r="K752" s="7"/>
      <c r="L752" s="8"/>
    </row>
    <row r="753" ht="15.75" customHeight="1">
      <c r="K753" s="7"/>
      <c r="L753" s="8"/>
    </row>
    <row r="754" ht="15.75" customHeight="1">
      <c r="K754" s="7"/>
      <c r="L754" s="8"/>
    </row>
    <row r="755" ht="15.75" customHeight="1">
      <c r="K755" s="7"/>
      <c r="L755" s="8"/>
    </row>
    <row r="756" ht="15.75" customHeight="1">
      <c r="K756" s="7"/>
      <c r="L756" s="8"/>
    </row>
    <row r="757" ht="15.75" customHeight="1">
      <c r="K757" s="7"/>
      <c r="L757" s="8"/>
    </row>
    <row r="758" ht="15.75" customHeight="1">
      <c r="K758" s="7"/>
      <c r="L758" s="8"/>
    </row>
    <row r="759" ht="15.75" customHeight="1">
      <c r="K759" s="7"/>
      <c r="L759" s="8"/>
    </row>
    <row r="760" ht="15.75" customHeight="1">
      <c r="K760" s="7"/>
      <c r="L760" s="8"/>
    </row>
    <row r="761" ht="15.75" customHeight="1">
      <c r="K761" s="7"/>
      <c r="L761" s="8"/>
    </row>
    <row r="762" ht="15.75" customHeight="1">
      <c r="K762" s="7"/>
      <c r="L762" s="8"/>
    </row>
    <row r="763" ht="15.75" customHeight="1">
      <c r="K763" s="7"/>
      <c r="L763" s="8"/>
    </row>
    <row r="764" ht="15.75" customHeight="1">
      <c r="K764" s="7"/>
      <c r="L764" s="8"/>
    </row>
    <row r="765" ht="15.75" customHeight="1">
      <c r="K765" s="7"/>
      <c r="L765" s="8"/>
    </row>
    <row r="766" ht="15.75" customHeight="1">
      <c r="K766" s="7"/>
      <c r="L766" s="8"/>
    </row>
    <row r="767" ht="15.75" customHeight="1">
      <c r="K767" s="7"/>
      <c r="L767" s="8"/>
    </row>
    <row r="768" ht="15.75" customHeight="1">
      <c r="K768" s="7"/>
      <c r="L768" s="8"/>
    </row>
    <row r="769" ht="15.75" customHeight="1">
      <c r="K769" s="7"/>
      <c r="L769" s="8"/>
    </row>
    <row r="770" ht="15.75" customHeight="1">
      <c r="K770" s="7"/>
      <c r="L770" s="8"/>
    </row>
    <row r="771" ht="15.75" customHeight="1">
      <c r="K771" s="7"/>
      <c r="L771" s="8"/>
    </row>
    <row r="772" ht="15.75" customHeight="1">
      <c r="K772" s="7"/>
      <c r="L772" s="8"/>
    </row>
    <row r="773" ht="15.75" customHeight="1">
      <c r="K773" s="7"/>
      <c r="L773" s="8"/>
    </row>
    <row r="774" ht="15.75" customHeight="1">
      <c r="K774" s="7"/>
      <c r="L774" s="8"/>
    </row>
    <row r="775" ht="15.75" customHeight="1">
      <c r="K775" s="7"/>
      <c r="L775" s="8"/>
    </row>
    <row r="776" ht="15.75" customHeight="1">
      <c r="K776" s="7"/>
      <c r="L776" s="8"/>
    </row>
    <row r="777" ht="15.75" customHeight="1">
      <c r="K777" s="7"/>
      <c r="L777" s="8"/>
    </row>
    <row r="778" ht="15.75" customHeight="1">
      <c r="K778" s="7"/>
      <c r="L778" s="8"/>
    </row>
    <row r="779" ht="15.75" customHeight="1">
      <c r="K779" s="7"/>
      <c r="L779" s="8"/>
    </row>
    <row r="780" ht="15.75" customHeight="1">
      <c r="K780" s="7"/>
      <c r="L780" s="8"/>
    </row>
    <row r="781" ht="15.75" customHeight="1">
      <c r="K781" s="7"/>
      <c r="L781" s="8"/>
    </row>
    <row r="782" ht="15.75" customHeight="1">
      <c r="K782" s="7"/>
      <c r="L782" s="8"/>
    </row>
    <row r="783" ht="15.75" customHeight="1">
      <c r="K783" s="7"/>
      <c r="L783" s="8"/>
    </row>
    <row r="784" ht="15.75" customHeight="1">
      <c r="K784" s="7"/>
      <c r="L784" s="8"/>
    </row>
    <row r="785" ht="15.75" customHeight="1">
      <c r="K785" s="7"/>
      <c r="L785" s="8"/>
    </row>
    <row r="786" ht="15.75" customHeight="1">
      <c r="K786" s="7"/>
      <c r="L786" s="8"/>
    </row>
    <row r="787" ht="15.75" customHeight="1">
      <c r="K787" s="7"/>
      <c r="L787" s="8"/>
    </row>
    <row r="788" ht="15.75" customHeight="1">
      <c r="K788" s="7"/>
      <c r="L788" s="8"/>
    </row>
    <row r="789" ht="15.75" customHeight="1">
      <c r="K789" s="7"/>
      <c r="L789" s="8"/>
    </row>
    <row r="790" ht="15.75" customHeight="1">
      <c r="K790" s="7"/>
      <c r="L790" s="8"/>
    </row>
    <row r="791" ht="15.75" customHeight="1">
      <c r="K791" s="7"/>
      <c r="L791" s="8"/>
    </row>
    <row r="792" ht="15.75" customHeight="1">
      <c r="K792" s="7"/>
      <c r="L792" s="8"/>
    </row>
    <row r="793" ht="15.75" customHeight="1">
      <c r="K793" s="7"/>
      <c r="L793" s="8"/>
    </row>
    <row r="794" ht="15.75" customHeight="1">
      <c r="K794" s="7"/>
      <c r="L794" s="8"/>
    </row>
    <row r="795" ht="15.75" customHeight="1">
      <c r="K795" s="7"/>
      <c r="L795" s="8"/>
    </row>
    <row r="796" ht="15.75" customHeight="1">
      <c r="K796" s="7"/>
      <c r="L796" s="8"/>
    </row>
    <row r="797" ht="15.75" customHeight="1">
      <c r="K797" s="7"/>
      <c r="L797" s="8"/>
    </row>
    <row r="798" ht="15.75" customHeight="1">
      <c r="K798" s="7"/>
      <c r="L798" s="8"/>
    </row>
    <row r="799" ht="15.75" customHeight="1">
      <c r="K799" s="7"/>
      <c r="L799" s="8"/>
    </row>
    <row r="800" ht="15.75" customHeight="1">
      <c r="K800" s="7"/>
      <c r="L800" s="8"/>
    </row>
    <row r="801" ht="15.75" customHeight="1">
      <c r="K801" s="7"/>
      <c r="L801" s="8"/>
    </row>
    <row r="802" ht="15.75" customHeight="1">
      <c r="K802" s="7"/>
      <c r="L802" s="8"/>
    </row>
    <row r="803" ht="15.75" customHeight="1">
      <c r="K803" s="7"/>
      <c r="L803" s="8"/>
    </row>
    <row r="804" ht="15.75" customHeight="1">
      <c r="K804" s="7"/>
      <c r="L804" s="8"/>
    </row>
    <row r="805" ht="15.75" customHeight="1">
      <c r="K805" s="7"/>
      <c r="L805" s="8"/>
    </row>
    <row r="806" ht="15.75" customHeight="1">
      <c r="K806" s="7"/>
      <c r="L806" s="8"/>
    </row>
    <row r="807" ht="15.75" customHeight="1">
      <c r="K807" s="7"/>
      <c r="L807" s="8"/>
    </row>
    <row r="808" ht="15.75" customHeight="1">
      <c r="K808" s="7"/>
      <c r="L808" s="8"/>
    </row>
    <row r="809" ht="15.75" customHeight="1">
      <c r="K809" s="7"/>
      <c r="L809" s="8"/>
    </row>
    <row r="810" ht="15.75" customHeight="1">
      <c r="K810" s="7"/>
      <c r="L810" s="8"/>
    </row>
    <row r="811" ht="15.75" customHeight="1">
      <c r="K811" s="7"/>
      <c r="L811" s="8"/>
    </row>
    <row r="812" ht="15.75" customHeight="1">
      <c r="K812" s="7"/>
      <c r="L812" s="8"/>
    </row>
    <row r="813" ht="15.75" customHeight="1">
      <c r="K813" s="7"/>
      <c r="L813" s="8"/>
    </row>
    <row r="814" ht="15.75" customHeight="1">
      <c r="K814" s="7"/>
      <c r="L814" s="8"/>
    </row>
    <row r="815" ht="15.75" customHeight="1">
      <c r="K815" s="7"/>
      <c r="L815" s="8"/>
    </row>
    <row r="816" ht="15.75" customHeight="1">
      <c r="K816" s="7"/>
      <c r="L816" s="8"/>
    </row>
    <row r="817" ht="15.75" customHeight="1">
      <c r="K817" s="7"/>
      <c r="L817" s="8"/>
    </row>
    <row r="818" ht="15.75" customHeight="1">
      <c r="K818" s="7"/>
      <c r="L818" s="8"/>
    </row>
    <row r="819" ht="15.75" customHeight="1">
      <c r="K819" s="7"/>
      <c r="L819" s="8"/>
    </row>
    <row r="820" ht="15.75" customHeight="1">
      <c r="K820" s="7"/>
      <c r="L820" s="8"/>
    </row>
    <row r="821" ht="15.75" customHeight="1">
      <c r="K821" s="7"/>
      <c r="L821" s="8"/>
    </row>
    <row r="822" ht="15.75" customHeight="1">
      <c r="K822" s="7"/>
      <c r="L822" s="8"/>
    </row>
    <row r="823" ht="15.75" customHeight="1">
      <c r="K823" s="7"/>
      <c r="L823" s="8"/>
    </row>
    <row r="824" ht="15.75" customHeight="1">
      <c r="K824" s="7"/>
      <c r="L824" s="8"/>
    </row>
    <row r="825" ht="15.75" customHeight="1">
      <c r="K825" s="7"/>
      <c r="L825" s="8"/>
    </row>
    <row r="826" ht="15.75" customHeight="1">
      <c r="K826" s="7"/>
      <c r="L826" s="8"/>
    </row>
    <row r="827" ht="15.75" customHeight="1">
      <c r="K827" s="7"/>
      <c r="L827" s="8"/>
    </row>
    <row r="828" ht="15.75" customHeight="1">
      <c r="K828" s="7"/>
      <c r="L828" s="8"/>
    </row>
    <row r="829" ht="15.75" customHeight="1">
      <c r="K829" s="7"/>
      <c r="L829" s="8"/>
    </row>
    <row r="830" ht="15.75" customHeight="1">
      <c r="K830" s="7"/>
      <c r="L830" s="8"/>
    </row>
    <row r="831" ht="15.75" customHeight="1">
      <c r="K831" s="7"/>
      <c r="L831" s="8"/>
    </row>
    <row r="832" ht="15.75" customHeight="1">
      <c r="K832" s="7"/>
      <c r="L832" s="8"/>
    </row>
    <row r="833" ht="15.75" customHeight="1">
      <c r="K833" s="7"/>
      <c r="L833" s="8"/>
    </row>
    <row r="834" ht="15.75" customHeight="1">
      <c r="K834" s="7"/>
      <c r="L834" s="8"/>
    </row>
    <row r="835" ht="15.75" customHeight="1">
      <c r="K835" s="7"/>
      <c r="L835" s="8"/>
    </row>
    <row r="836" ht="15.75" customHeight="1">
      <c r="K836" s="7"/>
      <c r="L836" s="8"/>
    </row>
    <row r="837" ht="15.75" customHeight="1">
      <c r="K837" s="7"/>
      <c r="L837" s="8"/>
    </row>
    <row r="838" ht="15.75" customHeight="1">
      <c r="K838" s="7"/>
      <c r="L838" s="8"/>
    </row>
    <row r="839" ht="15.75" customHeight="1">
      <c r="K839" s="7"/>
      <c r="L839" s="8"/>
    </row>
    <row r="840" ht="15.75" customHeight="1">
      <c r="K840" s="7"/>
      <c r="L840" s="8"/>
    </row>
    <row r="841" ht="15.75" customHeight="1">
      <c r="K841" s="7"/>
      <c r="L841" s="8"/>
    </row>
    <row r="842" ht="15.75" customHeight="1">
      <c r="K842" s="7"/>
      <c r="L842" s="8"/>
    </row>
    <row r="843" ht="15.75" customHeight="1">
      <c r="K843" s="7"/>
      <c r="L843" s="8"/>
    </row>
    <row r="844" ht="15.75" customHeight="1">
      <c r="K844" s="7"/>
      <c r="L844" s="8"/>
    </row>
    <row r="845" ht="15.75" customHeight="1">
      <c r="K845" s="7"/>
      <c r="L845" s="8"/>
    </row>
    <row r="846" ht="15.75" customHeight="1">
      <c r="K846" s="7"/>
      <c r="L846" s="8"/>
    </row>
    <row r="847" ht="15.75" customHeight="1">
      <c r="K847" s="7"/>
      <c r="L847" s="8"/>
    </row>
    <row r="848" ht="15.75" customHeight="1">
      <c r="K848" s="7"/>
      <c r="L848" s="8"/>
    </row>
    <row r="849" ht="15.75" customHeight="1">
      <c r="K849" s="7"/>
      <c r="L849" s="8"/>
    </row>
    <row r="850" ht="15.75" customHeight="1">
      <c r="K850" s="7"/>
      <c r="L850" s="8"/>
    </row>
    <row r="851" ht="15.75" customHeight="1">
      <c r="K851" s="7"/>
      <c r="L851" s="8"/>
    </row>
    <row r="852" ht="15.75" customHeight="1">
      <c r="K852" s="7"/>
      <c r="L852" s="8"/>
    </row>
    <row r="853" ht="15.75" customHeight="1">
      <c r="K853" s="7"/>
      <c r="L853" s="8"/>
    </row>
    <row r="854" ht="15.75" customHeight="1">
      <c r="K854" s="7"/>
      <c r="L854" s="8"/>
    </row>
    <row r="855" ht="15.75" customHeight="1">
      <c r="K855" s="7"/>
      <c r="L855" s="8"/>
    </row>
    <row r="856" ht="15.75" customHeight="1">
      <c r="K856" s="7"/>
      <c r="L856" s="8"/>
    </row>
    <row r="857" ht="15.75" customHeight="1">
      <c r="K857" s="7"/>
      <c r="L857" s="8"/>
    </row>
    <row r="858" ht="15.75" customHeight="1">
      <c r="K858" s="7"/>
      <c r="L858" s="8"/>
    </row>
    <row r="859" ht="15.75" customHeight="1">
      <c r="K859" s="7"/>
      <c r="L859" s="8"/>
    </row>
    <row r="860" ht="15.75" customHeight="1">
      <c r="K860" s="7"/>
      <c r="L860" s="8"/>
    </row>
    <row r="861" ht="15.75" customHeight="1">
      <c r="K861" s="7"/>
      <c r="L861" s="8"/>
    </row>
    <row r="862" ht="15.75" customHeight="1">
      <c r="K862" s="7"/>
      <c r="L862" s="8"/>
    </row>
    <row r="863" ht="15.75" customHeight="1">
      <c r="K863" s="7"/>
      <c r="L863" s="8"/>
    </row>
    <row r="864" ht="15.75" customHeight="1">
      <c r="K864" s="7"/>
      <c r="L864" s="8"/>
    </row>
    <row r="865" ht="15.75" customHeight="1">
      <c r="K865" s="7"/>
      <c r="L865" s="8"/>
    </row>
    <row r="866" ht="15.75" customHeight="1">
      <c r="K866" s="7"/>
      <c r="L866" s="8"/>
    </row>
    <row r="867" ht="15.75" customHeight="1">
      <c r="K867" s="7"/>
      <c r="L867" s="8"/>
    </row>
    <row r="868" ht="15.75" customHeight="1">
      <c r="K868" s="7"/>
      <c r="L868" s="8"/>
    </row>
    <row r="869" ht="15.75" customHeight="1">
      <c r="K869" s="7"/>
      <c r="L869" s="8"/>
    </row>
    <row r="870" ht="15.75" customHeight="1">
      <c r="K870" s="7"/>
      <c r="L870" s="8"/>
    </row>
    <row r="871" ht="15.75" customHeight="1">
      <c r="K871" s="7"/>
      <c r="L871" s="8"/>
    </row>
    <row r="872" ht="15.75" customHeight="1">
      <c r="K872" s="7"/>
      <c r="L872" s="8"/>
    </row>
    <row r="873" ht="15.75" customHeight="1">
      <c r="K873" s="7"/>
      <c r="L873" s="8"/>
    </row>
    <row r="874" ht="15.75" customHeight="1">
      <c r="K874" s="7"/>
      <c r="L874" s="8"/>
    </row>
    <row r="875" ht="15.75" customHeight="1">
      <c r="K875" s="7"/>
      <c r="L875" s="8"/>
    </row>
    <row r="876" ht="15.75" customHeight="1">
      <c r="K876" s="7"/>
      <c r="L876" s="8"/>
    </row>
    <row r="877" ht="15.75" customHeight="1">
      <c r="K877" s="7"/>
      <c r="L877" s="8"/>
    </row>
    <row r="878" ht="15.75" customHeight="1">
      <c r="K878" s="7"/>
      <c r="L878" s="8"/>
    </row>
    <row r="879" ht="15.75" customHeight="1">
      <c r="K879" s="7"/>
      <c r="L879" s="8"/>
    </row>
    <row r="880" ht="15.75" customHeight="1">
      <c r="K880" s="7"/>
      <c r="L880" s="8"/>
    </row>
    <row r="881" ht="15.75" customHeight="1">
      <c r="K881" s="7"/>
      <c r="L881" s="8"/>
    </row>
    <row r="882" ht="15.75" customHeight="1">
      <c r="K882" s="7"/>
      <c r="L882" s="8"/>
    </row>
    <row r="883" ht="15.75" customHeight="1">
      <c r="K883" s="7"/>
      <c r="L883" s="8"/>
    </row>
    <row r="884" ht="15.75" customHeight="1">
      <c r="K884" s="7"/>
      <c r="L884" s="8"/>
    </row>
    <row r="885" ht="15.75" customHeight="1">
      <c r="K885" s="7"/>
      <c r="L885" s="8"/>
    </row>
    <row r="886" ht="15.75" customHeight="1">
      <c r="K886" s="7"/>
      <c r="L886" s="8"/>
    </row>
    <row r="887" ht="15.75" customHeight="1">
      <c r="K887" s="7"/>
      <c r="L887" s="8"/>
    </row>
    <row r="888" ht="15.75" customHeight="1">
      <c r="K888" s="7"/>
      <c r="L888" s="8"/>
    </row>
    <row r="889" ht="15.75" customHeight="1">
      <c r="K889" s="7"/>
      <c r="L889" s="8"/>
    </row>
    <row r="890" ht="15.75" customHeight="1">
      <c r="K890" s="7"/>
      <c r="L890" s="8"/>
    </row>
    <row r="891" ht="15.75" customHeight="1">
      <c r="K891" s="7"/>
      <c r="L891" s="8"/>
    </row>
    <row r="892" ht="15.75" customHeight="1">
      <c r="K892" s="7"/>
      <c r="L892" s="8"/>
    </row>
    <row r="893" ht="15.75" customHeight="1">
      <c r="K893" s="7"/>
      <c r="L893" s="8"/>
    </row>
    <row r="894" ht="15.75" customHeight="1">
      <c r="K894" s="7"/>
      <c r="L894" s="8"/>
    </row>
    <row r="895" ht="15.75" customHeight="1">
      <c r="K895" s="7"/>
      <c r="L895" s="8"/>
    </row>
    <row r="896" ht="15.75" customHeight="1">
      <c r="K896" s="7"/>
      <c r="L896" s="8"/>
    </row>
    <row r="897" ht="15.75" customHeight="1">
      <c r="K897" s="7"/>
      <c r="L897" s="8"/>
    </row>
    <row r="898" ht="15.75" customHeight="1">
      <c r="K898" s="7"/>
      <c r="L898" s="8"/>
    </row>
    <row r="899" ht="15.75" customHeight="1">
      <c r="K899" s="7"/>
      <c r="L899" s="8"/>
    </row>
    <row r="900" ht="15.75" customHeight="1">
      <c r="K900" s="7"/>
      <c r="L900" s="8"/>
    </row>
    <row r="901" ht="15.75" customHeight="1">
      <c r="K901" s="7"/>
      <c r="L901" s="8"/>
    </row>
    <row r="902" ht="15.75" customHeight="1">
      <c r="K902" s="7"/>
      <c r="L902" s="8"/>
    </row>
    <row r="903" ht="15.75" customHeight="1">
      <c r="K903" s="7"/>
      <c r="L903" s="8"/>
    </row>
    <row r="904" ht="15.75" customHeight="1">
      <c r="K904" s="7"/>
      <c r="L904" s="8"/>
    </row>
    <row r="905" ht="15.75" customHeight="1">
      <c r="K905" s="7"/>
      <c r="L905" s="8"/>
    </row>
    <row r="906" ht="15.75" customHeight="1">
      <c r="K906" s="7"/>
      <c r="L906" s="8"/>
    </row>
    <row r="907" ht="15.75" customHeight="1">
      <c r="K907" s="7"/>
      <c r="L907" s="8"/>
    </row>
    <row r="908" ht="15.75" customHeight="1">
      <c r="K908" s="7"/>
      <c r="L908" s="8"/>
    </row>
    <row r="909" ht="15.75" customHeight="1">
      <c r="K909" s="7"/>
      <c r="L909" s="8"/>
    </row>
    <row r="910" ht="15.75" customHeight="1">
      <c r="K910" s="7"/>
      <c r="L910" s="8"/>
    </row>
    <row r="911" ht="15.75" customHeight="1">
      <c r="K911" s="7"/>
      <c r="L911" s="8"/>
    </row>
    <row r="912" ht="15.75" customHeight="1">
      <c r="K912" s="7"/>
      <c r="L912" s="8"/>
    </row>
    <row r="913" ht="15.75" customHeight="1">
      <c r="K913" s="7"/>
      <c r="L913" s="8"/>
    </row>
    <row r="914" ht="15.75" customHeight="1">
      <c r="K914" s="7"/>
      <c r="L914" s="8"/>
    </row>
    <row r="915" ht="15.75" customHeight="1">
      <c r="K915" s="7"/>
      <c r="L915" s="8"/>
    </row>
    <row r="916" ht="15.75" customHeight="1">
      <c r="K916" s="7"/>
      <c r="L916" s="8"/>
    </row>
    <row r="917" ht="15.75" customHeight="1">
      <c r="K917" s="7"/>
      <c r="L917" s="8"/>
    </row>
    <row r="918" ht="15.75" customHeight="1">
      <c r="K918" s="7"/>
      <c r="L918" s="8"/>
    </row>
    <row r="919" ht="15.75" customHeight="1">
      <c r="K919" s="7"/>
      <c r="L919" s="8"/>
    </row>
    <row r="920" ht="15.75" customHeight="1">
      <c r="K920" s="7"/>
      <c r="L920" s="8"/>
    </row>
    <row r="921" ht="15.75" customHeight="1">
      <c r="K921" s="7"/>
      <c r="L921" s="8"/>
    </row>
    <row r="922" ht="15.75" customHeight="1">
      <c r="K922" s="7"/>
      <c r="L922" s="8"/>
    </row>
    <row r="923" ht="15.75" customHeight="1">
      <c r="K923" s="7"/>
      <c r="L923" s="8"/>
    </row>
    <row r="924" ht="15.75" customHeight="1">
      <c r="K924" s="7"/>
      <c r="L924" s="8"/>
    </row>
    <row r="925" ht="15.75" customHeight="1">
      <c r="K925" s="7"/>
      <c r="L925" s="8"/>
    </row>
    <row r="926" ht="15.75" customHeight="1">
      <c r="K926" s="7"/>
      <c r="L926" s="8"/>
    </row>
    <row r="927" ht="15.75" customHeight="1">
      <c r="K927" s="7"/>
      <c r="L927" s="8"/>
    </row>
    <row r="928" ht="15.75" customHeight="1">
      <c r="K928" s="7"/>
      <c r="L928" s="8"/>
    </row>
    <row r="929" ht="15.75" customHeight="1">
      <c r="K929" s="7"/>
      <c r="L929" s="8"/>
    </row>
    <row r="930" ht="15.75" customHeight="1">
      <c r="K930" s="7"/>
      <c r="L930" s="8"/>
    </row>
    <row r="931" ht="15.75" customHeight="1">
      <c r="K931" s="7"/>
      <c r="L931" s="8"/>
    </row>
    <row r="932" ht="15.75" customHeight="1">
      <c r="K932" s="7"/>
      <c r="L932" s="8"/>
    </row>
    <row r="933" ht="15.75" customHeight="1">
      <c r="K933" s="7"/>
      <c r="L933" s="8"/>
    </row>
    <row r="934" ht="15.75" customHeight="1">
      <c r="K934" s="7"/>
      <c r="L934" s="8"/>
    </row>
    <row r="935" ht="15.75" customHeight="1">
      <c r="K935" s="7"/>
      <c r="L935" s="8"/>
    </row>
    <row r="936" ht="15.75" customHeight="1">
      <c r="K936" s="7"/>
      <c r="L936" s="8"/>
    </row>
    <row r="937" ht="15.75" customHeight="1">
      <c r="K937" s="7"/>
      <c r="L937" s="8"/>
    </row>
    <row r="938" ht="15.75" customHeight="1">
      <c r="K938" s="7"/>
      <c r="L938" s="8"/>
    </row>
    <row r="939" ht="15.75" customHeight="1">
      <c r="K939" s="7"/>
      <c r="L939" s="8"/>
    </row>
    <row r="940" ht="15.75" customHeight="1">
      <c r="K940" s="7"/>
      <c r="L940" s="8"/>
    </row>
    <row r="941" ht="15.75" customHeight="1">
      <c r="K941" s="7"/>
      <c r="L941" s="8"/>
    </row>
    <row r="942" ht="15.75" customHeight="1">
      <c r="K942" s="7"/>
      <c r="L942" s="8"/>
    </row>
    <row r="943" ht="15.75" customHeight="1">
      <c r="K943" s="7"/>
      <c r="L943" s="8"/>
    </row>
    <row r="944" ht="15.75" customHeight="1">
      <c r="K944" s="7"/>
      <c r="L944" s="8"/>
    </row>
    <row r="945" ht="15.75" customHeight="1">
      <c r="K945" s="7"/>
      <c r="L945" s="8"/>
    </row>
    <row r="946" ht="15.75" customHeight="1">
      <c r="K946" s="7"/>
      <c r="L946" s="8"/>
    </row>
    <row r="947" ht="15.75" customHeight="1">
      <c r="K947" s="7"/>
      <c r="L947" s="8"/>
    </row>
    <row r="948" ht="15.75" customHeight="1">
      <c r="K948" s="7"/>
      <c r="L948" s="8"/>
    </row>
    <row r="949" ht="15.75" customHeight="1">
      <c r="K949" s="7"/>
      <c r="L949" s="8"/>
    </row>
    <row r="950" ht="15.75" customHeight="1">
      <c r="K950" s="7"/>
      <c r="L950" s="8"/>
    </row>
    <row r="951" ht="15.75" customHeight="1">
      <c r="K951" s="7"/>
      <c r="L951" s="8"/>
    </row>
    <row r="952" ht="15.75" customHeight="1">
      <c r="K952" s="7"/>
      <c r="L952" s="8"/>
    </row>
    <row r="953" ht="15.75" customHeight="1">
      <c r="K953" s="7"/>
      <c r="L953" s="8"/>
    </row>
    <row r="954" ht="15.75" customHeight="1">
      <c r="K954" s="7"/>
      <c r="L954" s="8"/>
    </row>
    <row r="955" ht="15.75" customHeight="1">
      <c r="K955" s="7"/>
      <c r="L955" s="8"/>
    </row>
    <row r="956" ht="15.75" customHeight="1">
      <c r="K956" s="7"/>
      <c r="L956" s="8"/>
    </row>
    <row r="957" ht="15.75" customHeight="1">
      <c r="K957" s="7"/>
      <c r="L957" s="8"/>
    </row>
    <row r="958" ht="15.75" customHeight="1">
      <c r="K958" s="7"/>
      <c r="L958" s="8"/>
    </row>
    <row r="959" ht="15.75" customHeight="1">
      <c r="K959" s="7"/>
      <c r="L959" s="8"/>
    </row>
    <row r="960" ht="15.75" customHeight="1">
      <c r="K960" s="7"/>
      <c r="L960" s="8"/>
    </row>
    <row r="961" ht="15.75" customHeight="1">
      <c r="K961" s="7"/>
      <c r="L961" s="8"/>
    </row>
    <row r="962" ht="15.75" customHeight="1">
      <c r="K962" s="7"/>
      <c r="L962" s="8"/>
    </row>
    <row r="963" ht="15.75" customHeight="1">
      <c r="K963" s="7"/>
      <c r="L963" s="8"/>
    </row>
    <row r="964" ht="15.75" customHeight="1">
      <c r="K964" s="7"/>
      <c r="L964" s="8"/>
    </row>
    <row r="965" ht="15.75" customHeight="1">
      <c r="K965" s="7"/>
      <c r="L965" s="8"/>
    </row>
    <row r="966" ht="15.75" customHeight="1">
      <c r="K966" s="7"/>
      <c r="L966" s="8"/>
    </row>
    <row r="967" ht="15.75" customHeight="1">
      <c r="K967" s="7"/>
      <c r="L967" s="8"/>
    </row>
    <row r="968" ht="15.75" customHeight="1">
      <c r="K968" s="7"/>
      <c r="L968" s="8"/>
    </row>
    <row r="969" ht="15.75" customHeight="1">
      <c r="K969" s="7"/>
      <c r="L969" s="8"/>
    </row>
    <row r="970" ht="15.75" customHeight="1">
      <c r="K970" s="7"/>
      <c r="L970" s="8"/>
    </row>
    <row r="971" ht="15.75" customHeight="1">
      <c r="K971" s="7"/>
      <c r="L971" s="8"/>
    </row>
    <row r="972" ht="15.75" customHeight="1">
      <c r="K972" s="7"/>
      <c r="L972" s="8"/>
    </row>
    <row r="973" ht="15.75" customHeight="1">
      <c r="K973" s="7"/>
      <c r="L973" s="8"/>
    </row>
    <row r="974" ht="15.75" customHeight="1">
      <c r="K974" s="7"/>
      <c r="L974" s="8"/>
    </row>
    <row r="975" ht="15.75" customHeight="1">
      <c r="K975" s="7"/>
      <c r="L975" s="8"/>
    </row>
    <row r="976" ht="15.75" customHeight="1">
      <c r="K976" s="7"/>
      <c r="L976" s="8"/>
    </row>
    <row r="977" ht="15.75" customHeight="1">
      <c r="K977" s="7"/>
      <c r="L977" s="8"/>
    </row>
    <row r="978" ht="15.75" customHeight="1">
      <c r="K978" s="7"/>
      <c r="L978" s="8"/>
    </row>
    <row r="979" ht="15.75" customHeight="1">
      <c r="K979" s="7"/>
      <c r="L979" s="8"/>
    </row>
    <row r="980" ht="15.75" customHeight="1">
      <c r="K980" s="7"/>
      <c r="L980" s="8"/>
    </row>
    <row r="981" ht="15.75" customHeight="1">
      <c r="K981" s="7"/>
      <c r="L981" s="8"/>
    </row>
    <row r="982" ht="15.75" customHeight="1">
      <c r="K982" s="7"/>
      <c r="L982" s="8"/>
    </row>
    <row r="983" ht="15.75" customHeight="1">
      <c r="K983" s="7"/>
      <c r="L983" s="8"/>
    </row>
    <row r="984" ht="15.75" customHeight="1">
      <c r="K984" s="7"/>
      <c r="L984" s="8"/>
    </row>
  </sheetData>
  <dataValidations>
    <dataValidation type="list" allowBlank="1" showErrorMessage="1" sqref="H2:H645">
      <formula1>"Growing,Stable,Declining"</formula1>
    </dataValidation>
    <dataValidation type="list" allowBlank="1" showErrorMessage="1" sqref="F2:F645">
      <formula1>"1,2,3"</formula1>
    </dataValidation>
    <dataValidation type="list" allowBlank="1" showErrorMessage="1" sqref="E2:E645">
      <formula1>"Increasing,Stable,Decreasing"</formula1>
    </dataValidation>
    <dataValidation type="list" allowBlank="1" showErrorMessage="1" sqref="I2:I645">
      <formula1>"Small,Medium,Large"</formula1>
    </dataValidation>
    <dataValidation type="list" allowBlank="1" showErrorMessage="1" sqref="J2:K645">
      <formula1>"FAIL,PASS"</formula1>
    </dataValidation>
    <dataValidation type="list" allowBlank="1" showErrorMessage="1" sqref="B2:B645 G2:G645">
      <formula1>"Yes,No"</formula1>
    </dataValidation>
    <dataValidation type="list" allowBlank="1" showErrorMessage="1" sqref="C2:D645">
      <formula1>"Increasing,Stable,Decreasing,Volatile"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29"/>
    <col customWidth="1" min="2" max="2" width="12.86"/>
    <col customWidth="1" min="3" max="3" width="18.29"/>
    <col customWidth="1" min="4" max="4" width="15.71"/>
    <col customWidth="1" min="5" max="5" width="11.43"/>
    <col customWidth="1" min="6" max="6" width="8.43"/>
    <col customWidth="1" min="7" max="7" width="51.71"/>
  </cols>
  <sheetData>
    <row r="1" ht="22.5" customHeight="1">
      <c r="A1" s="1" t="s">
        <v>0</v>
      </c>
      <c r="B1" s="1" t="s">
        <v>717</v>
      </c>
      <c r="C1" s="1" t="s">
        <v>718</v>
      </c>
      <c r="D1" s="11" t="s">
        <v>7</v>
      </c>
      <c r="E1" s="1" t="s">
        <v>11</v>
      </c>
      <c r="F1" s="1" t="s">
        <v>719</v>
      </c>
      <c r="G1" s="1" t="s">
        <v>720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6" t="str">
        <f>IFERROR(__xludf.DUMMYFUNCTION("FILTER('Phase 1'!A2:A645,'Phase 1'!K2:K645=""PASS"")"),"AirJoule Technologies Corporation (NASDAQCM:AIRJ)")</f>
        <v>AirJoule Technologies Corporation (NASDAQCM:AIRJ)</v>
      </c>
      <c r="B2" s="6"/>
      <c r="F2" s="10"/>
      <c r="G2" s="5" t="s">
        <v>721</v>
      </c>
    </row>
    <row r="3">
      <c r="A3" s="6" t="str">
        <f>IFERROR(__xludf.DUMMYFUNCTION("""COMPUTED_VALUE"""),"Beazer Homes USA, Inc. (NYSE:BZH)")</f>
        <v>Beazer Homes USA, Inc. (NYSE:BZH)</v>
      </c>
      <c r="B3" s="6"/>
      <c r="F3" s="10"/>
      <c r="G3" s="5" t="s">
        <v>721</v>
      </c>
    </row>
    <row r="4">
      <c r="A4" s="6" t="str">
        <f>IFERROR(__xludf.DUMMYFUNCTION("""COMPUTED_VALUE"""),"Calavo Growers, Inc. (NASDAQGS:CVGW)")</f>
        <v>Calavo Growers, Inc. (NASDAQGS:CVGW)</v>
      </c>
      <c r="B4" s="6"/>
      <c r="F4" s="10"/>
      <c r="G4" s="5" t="s">
        <v>721</v>
      </c>
    </row>
    <row r="5">
      <c r="A5" s="6" t="str">
        <f>IFERROR(__xludf.DUMMYFUNCTION("""COMPUTED_VALUE"""),"Coffee Holding Co., Inc. (NASDAQCM:JVA)")</f>
        <v>Coffee Holding Co., Inc. (NASDAQCM:JVA)</v>
      </c>
      <c r="B5" s="6"/>
      <c r="F5" s="10"/>
      <c r="G5" s="5" t="s">
        <v>721</v>
      </c>
    </row>
    <row r="6">
      <c r="A6" s="6" t="str">
        <f>IFERROR(__xludf.DUMMYFUNCTION("""COMPUTED_VALUE"""),"Good Times Restaurants Inc. (NASDAQCM:GTIM)")</f>
        <v>Good Times Restaurants Inc. (NASDAQCM:GTIM)</v>
      </c>
      <c r="B6" s="6"/>
      <c r="D6" s="9"/>
      <c r="F6" s="10"/>
      <c r="G6" s="5" t="s">
        <v>721</v>
      </c>
    </row>
    <row r="7">
      <c r="A7" s="6" t="str">
        <f>IFERROR(__xludf.DUMMYFUNCTION("""COMPUTED_VALUE"""),"Olaplex Holdings, Inc. (NASDAQGS:OLPX)")</f>
        <v>Olaplex Holdings, Inc. (NASDAQGS:OLPX)</v>
      </c>
      <c r="B7" s="6"/>
      <c r="F7" s="7"/>
      <c r="G7" s="5" t="s">
        <v>721</v>
      </c>
    </row>
    <row r="8">
      <c r="A8" s="6" t="str">
        <f>IFERROR(__xludf.DUMMYFUNCTION("""COMPUTED_VALUE"""),"The E.W. Scripps Company (NASDAQGS:SSP)")</f>
        <v>The E.W. Scripps Company (NASDAQGS:SSP)</v>
      </c>
      <c r="B8" s="6"/>
      <c r="F8" s="7"/>
      <c r="G8" s="5" t="s">
        <v>721</v>
      </c>
    </row>
    <row r="9">
      <c r="B9" s="6"/>
      <c r="F9" s="7"/>
    </row>
    <row r="10">
      <c r="B10" s="6"/>
      <c r="F10" s="7"/>
    </row>
    <row r="11">
      <c r="B11" s="6"/>
      <c r="F11" s="7"/>
    </row>
    <row r="12">
      <c r="B12" s="6"/>
      <c r="F12" s="7"/>
    </row>
    <row r="13">
      <c r="B13" s="6"/>
      <c r="F13" s="7"/>
    </row>
    <row r="14">
      <c r="B14" s="6"/>
      <c r="F14" s="7"/>
    </row>
    <row r="15">
      <c r="B15" s="6"/>
      <c r="F15" s="7"/>
    </row>
    <row r="16">
      <c r="B16" s="6"/>
      <c r="F16" s="7"/>
    </row>
    <row r="17">
      <c r="B17" s="6"/>
      <c r="F17" s="7"/>
    </row>
    <row r="18">
      <c r="B18" s="6"/>
      <c r="F18" s="7"/>
    </row>
    <row r="19">
      <c r="B19" s="6"/>
      <c r="F19" s="7"/>
    </row>
    <row r="20">
      <c r="B20" s="6"/>
      <c r="F20" s="7"/>
    </row>
    <row r="21">
      <c r="B21" s="6"/>
      <c r="F21" s="7"/>
    </row>
    <row r="22">
      <c r="B22" s="6"/>
      <c r="F22" s="7"/>
    </row>
    <row r="23">
      <c r="B23" s="6"/>
      <c r="F23" s="7"/>
    </row>
    <row r="24">
      <c r="B24" s="6"/>
      <c r="F24" s="7"/>
    </row>
    <row r="25">
      <c r="B25" s="6"/>
      <c r="F25" s="7"/>
    </row>
    <row r="26">
      <c r="B26" s="6"/>
      <c r="F26" s="7"/>
    </row>
    <row r="27">
      <c r="B27" s="6"/>
      <c r="F27" s="7"/>
    </row>
    <row r="28">
      <c r="B28" s="6"/>
      <c r="F28" s="7"/>
    </row>
    <row r="29">
      <c r="B29" s="6"/>
      <c r="F29" s="7"/>
    </row>
    <row r="30">
      <c r="B30" s="6"/>
      <c r="F30" s="7"/>
    </row>
    <row r="31">
      <c r="B31" s="6"/>
      <c r="F31" s="7"/>
    </row>
    <row r="32">
      <c r="B32" s="6"/>
      <c r="F32" s="7"/>
    </row>
    <row r="33">
      <c r="B33" s="6"/>
      <c r="F33" s="7"/>
    </row>
    <row r="34">
      <c r="B34" s="6"/>
      <c r="F34" s="7"/>
    </row>
    <row r="35">
      <c r="B35" s="6"/>
      <c r="F35" s="7"/>
    </row>
    <row r="36">
      <c r="B36" s="6"/>
      <c r="F36" s="7"/>
    </row>
    <row r="37">
      <c r="B37" s="6"/>
      <c r="F37" s="7"/>
    </row>
    <row r="38">
      <c r="B38" s="6"/>
      <c r="F38" s="7"/>
    </row>
    <row r="39">
      <c r="B39" s="6"/>
      <c r="F39" s="7"/>
    </row>
    <row r="40">
      <c r="B40" s="6"/>
      <c r="F40" s="7"/>
    </row>
    <row r="41">
      <c r="B41" s="6"/>
      <c r="F41" s="7"/>
    </row>
    <row r="42">
      <c r="B42" s="6"/>
      <c r="F42" s="7"/>
    </row>
    <row r="43">
      <c r="B43" s="6"/>
      <c r="F43" s="7"/>
    </row>
    <row r="44">
      <c r="B44" s="6"/>
      <c r="F44" s="7"/>
    </row>
    <row r="45">
      <c r="B45" s="6"/>
      <c r="F45" s="7"/>
    </row>
    <row r="46">
      <c r="B46" s="6"/>
      <c r="F46" s="7"/>
    </row>
    <row r="47">
      <c r="B47" s="6"/>
      <c r="F47" s="7"/>
    </row>
    <row r="48">
      <c r="B48" s="6"/>
      <c r="F48" s="7"/>
    </row>
    <row r="49">
      <c r="B49" s="6"/>
      <c r="F49" s="7"/>
    </row>
    <row r="50">
      <c r="B50" s="6"/>
      <c r="F50" s="7"/>
    </row>
    <row r="51">
      <c r="B51" s="6"/>
      <c r="F51" s="7"/>
    </row>
    <row r="52">
      <c r="B52" s="6"/>
      <c r="F52" s="7"/>
    </row>
    <row r="53">
      <c r="B53" s="6"/>
      <c r="F53" s="7"/>
    </row>
    <row r="54">
      <c r="B54" s="6"/>
      <c r="F54" s="7"/>
    </row>
    <row r="55">
      <c r="B55" s="6"/>
      <c r="F55" s="7"/>
    </row>
    <row r="56">
      <c r="B56" s="6"/>
      <c r="F56" s="7"/>
    </row>
    <row r="57">
      <c r="B57" s="6"/>
      <c r="F57" s="7"/>
    </row>
    <row r="58">
      <c r="B58" s="6"/>
      <c r="F58" s="7"/>
    </row>
    <row r="59">
      <c r="B59" s="6"/>
      <c r="F59" s="7"/>
    </row>
    <row r="60">
      <c r="B60" s="6"/>
      <c r="F60" s="7"/>
    </row>
    <row r="61">
      <c r="B61" s="6"/>
      <c r="F61" s="7"/>
    </row>
    <row r="62">
      <c r="B62" s="6"/>
      <c r="F62" s="7"/>
    </row>
    <row r="63">
      <c r="B63" s="6"/>
      <c r="F63" s="7"/>
    </row>
    <row r="64">
      <c r="B64" s="6"/>
      <c r="F64" s="7"/>
    </row>
    <row r="65">
      <c r="B65" s="6"/>
      <c r="F65" s="7"/>
    </row>
    <row r="66">
      <c r="B66" s="6"/>
      <c r="F66" s="7"/>
    </row>
    <row r="67">
      <c r="B67" s="6"/>
      <c r="F67" s="7"/>
    </row>
    <row r="68">
      <c r="B68" s="6"/>
      <c r="F68" s="7"/>
    </row>
    <row r="69">
      <c r="B69" s="6"/>
      <c r="F69" s="7"/>
    </row>
    <row r="70">
      <c r="B70" s="6"/>
      <c r="F70" s="7"/>
    </row>
    <row r="71">
      <c r="B71" s="6"/>
      <c r="F71" s="7"/>
    </row>
    <row r="72">
      <c r="B72" s="6"/>
      <c r="F72" s="7"/>
    </row>
    <row r="73">
      <c r="B73" s="6"/>
      <c r="F73" s="7"/>
    </row>
    <row r="74">
      <c r="B74" s="6"/>
      <c r="F74" s="7"/>
    </row>
    <row r="75">
      <c r="B75" s="6"/>
      <c r="F75" s="7"/>
    </row>
    <row r="76">
      <c r="B76" s="6"/>
      <c r="F76" s="7"/>
    </row>
    <row r="77">
      <c r="B77" s="6"/>
      <c r="F77" s="7"/>
    </row>
    <row r="78">
      <c r="B78" s="6"/>
      <c r="F78" s="7"/>
    </row>
    <row r="79">
      <c r="B79" s="6"/>
      <c r="F79" s="7"/>
    </row>
    <row r="80">
      <c r="B80" s="6"/>
      <c r="F80" s="7"/>
    </row>
    <row r="81">
      <c r="B81" s="6"/>
      <c r="F81" s="7"/>
    </row>
    <row r="82">
      <c r="B82" s="6"/>
      <c r="F82" s="7"/>
    </row>
    <row r="83">
      <c r="B83" s="6"/>
      <c r="F83" s="7"/>
    </row>
    <row r="84">
      <c r="B84" s="6"/>
      <c r="F84" s="7"/>
    </row>
    <row r="85">
      <c r="B85" s="6"/>
      <c r="F85" s="7"/>
    </row>
    <row r="86">
      <c r="B86" s="6"/>
      <c r="F86" s="7"/>
    </row>
    <row r="87">
      <c r="B87" s="6"/>
      <c r="F87" s="7"/>
    </row>
    <row r="88">
      <c r="B88" s="6"/>
      <c r="F88" s="7"/>
    </row>
    <row r="89">
      <c r="B89" s="6"/>
      <c r="F89" s="7"/>
    </row>
    <row r="90">
      <c r="B90" s="6"/>
      <c r="F90" s="7"/>
    </row>
    <row r="91">
      <c r="B91" s="6"/>
      <c r="F91" s="7"/>
    </row>
    <row r="92">
      <c r="B92" s="6"/>
      <c r="F92" s="7"/>
    </row>
    <row r="93">
      <c r="B93" s="6"/>
      <c r="F93" s="7"/>
    </row>
    <row r="94">
      <c r="B94" s="6"/>
      <c r="F94" s="7"/>
    </row>
    <row r="95">
      <c r="B95" s="6"/>
      <c r="F95" s="7"/>
    </row>
    <row r="96">
      <c r="B96" s="6"/>
      <c r="F96" s="7"/>
    </row>
    <row r="97">
      <c r="B97" s="6"/>
      <c r="F97" s="7"/>
    </row>
    <row r="98">
      <c r="B98" s="6"/>
      <c r="F98" s="7"/>
    </row>
    <row r="99">
      <c r="B99" s="6"/>
      <c r="F99" s="7"/>
    </row>
    <row r="100">
      <c r="B100" s="6"/>
      <c r="F100" s="7"/>
    </row>
    <row r="101">
      <c r="B101" s="6"/>
      <c r="F101" s="7"/>
    </row>
    <row r="102">
      <c r="B102" s="6"/>
      <c r="F102" s="7"/>
    </row>
    <row r="103">
      <c r="B103" s="6"/>
      <c r="F103" s="7"/>
    </row>
    <row r="104">
      <c r="B104" s="6"/>
      <c r="F104" s="7"/>
    </row>
    <row r="105">
      <c r="B105" s="6"/>
      <c r="F105" s="7"/>
    </row>
    <row r="106">
      <c r="B106" s="6"/>
      <c r="F106" s="7"/>
    </row>
    <row r="107">
      <c r="B107" s="6"/>
      <c r="F107" s="7"/>
    </row>
    <row r="108">
      <c r="B108" s="6"/>
      <c r="F108" s="7"/>
    </row>
    <row r="109">
      <c r="B109" s="6"/>
      <c r="F109" s="7"/>
    </row>
    <row r="110">
      <c r="B110" s="6"/>
      <c r="F110" s="7"/>
    </row>
    <row r="111">
      <c r="B111" s="6"/>
      <c r="F111" s="7"/>
    </row>
    <row r="112">
      <c r="B112" s="6"/>
      <c r="F112" s="7"/>
    </row>
    <row r="113">
      <c r="B113" s="6"/>
      <c r="F113" s="7"/>
    </row>
    <row r="114">
      <c r="B114" s="6"/>
      <c r="F114" s="7"/>
    </row>
    <row r="115">
      <c r="B115" s="6"/>
      <c r="F115" s="7"/>
    </row>
    <row r="116">
      <c r="B116" s="6"/>
      <c r="F116" s="7"/>
    </row>
    <row r="117">
      <c r="B117" s="6"/>
      <c r="F117" s="7"/>
    </row>
    <row r="118">
      <c r="B118" s="6"/>
      <c r="F118" s="7"/>
    </row>
    <row r="119">
      <c r="B119" s="6"/>
      <c r="F119" s="7"/>
    </row>
    <row r="120">
      <c r="B120" s="6"/>
      <c r="F120" s="7"/>
    </row>
    <row r="121">
      <c r="B121" s="6"/>
      <c r="F121" s="7"/>
    </row>
    <row r="122">
      <c r="B122" s="6"/>
      <c r="F122" s="7"/>
    </row>
    <row r="123">
      <c r="B123" s="6"/>
      <c r="F123" s="7"/>
    </row>
    <row r="124">
      <c r="B124" s="6"/>
      <c r="F124" s="7"/>
    </row>
    <row r="125">
      <c r="B125" s="6"/>
      <c r="F125" s="7"/>
    </row>
    <row r="126">
      <c r="B126" s="6"/>
      <c r="F126" s="7"/>
    </row>
    <row r="127">
      <c r="B127" s="6"/>
      <c r="F127" s="7"/>
    </row>
    <row r="128">
      <c r="B128" s="6"/>
      <c r="F128" s="7"/>
    </row>
    <row r="129">
      <c r="B129" s="6"/>
      <c r="F129" s="7"/>
    </row>
    <row r="130">
      <c r="B130" s="6"/>
      <c r="F130" s="7"/>
    </row>
    <row r="131">
      <c r="B131" s="6"/>
      <c r="F131" s="7"/>
    </row>
    <row r="132">
      <c r="B132" s="6"/>
      <c r="F132" s="7"/>
    </row>
    <row r="133">
      <c r="B133" s="6"/>
      <c r="F133" s="7"/>
    </row>
    <row r="134">
      <c r="B134" s="6"/>
      <c r="F134" s="7"/>
    </row>
    <row r="135">
      <c r="B135" s="6"/>
      <c r="F135" s="7"/>
    </row>
    <row r="136">
      <c r="B136" s="6"/>
      <c r="F136" s="7"/>
    </row>
    <row r="137">
      <c r="B137" s="6"/>
      <c r="F137" s="7"/>
    </row>
    <row r="138">
      <c r="B138" s="6"/>
      <c r="F138" s="7"/>
    </row>
    <row r="139">
      <c r="B139" s="6"/>
      <c r="F139" s="7"/>
    </row>
    <row r="140">
      <c r="B140" s="6"/>
      <c r="F140" s="7"/>
    </row>
    <row r="141">
      <c r="B141" s="6"/>
      <c r="F141" s="7"/>
    </row>
    <row r="142">
      <c r="B142" s="6"/>
      <c r="F142" s="7"/>
    </row>
    <row r="143">
      <c r="B143" s="6"/>
      <c r="F143" s="7"/>
    </row>
    <row r="144">
      <c r="B144" s="6"/>
      <c r="F144" s="7"/>
    </row>
    <row r="145">
      <c r="B145" s="6"/>
      <c r="F145" s="7"/>
    </row>
    <row r="146">
      <c r="B146" s="6"/>
      <c r="F146" s="7"/>
    </row>
    <row r="147">
      <c r="B147" s="6"/>
      <c r="F147" s="7"/>
    </row>
    <row r="148">
      <c r="B148" s="6"/>
      <c r="F148" s="7"/>
    </row>
    <row r="149">
      <c r="B149" s="6"/>
      <c r="F149" s="7"/>
    </row>
    <row r="150">
      <c r="B150" s="6"/>
      <c r="F150" s="7"/>
    </row>
    <row r="151">
      <c r="B151" s="6"/>
      <c r="F151" s="7"/>
    </row>
    <row r="152">
      <c r="B152" s="6"/>
      <c r="F152" s="7"/>
    </row>
    <row r="153">
      <c r="B153" s="6"/>
      <c r="F153" s="7"/>
    </row>
    <row r="154">
      <c r="B154" s="6"/>
      <c r="F154" s="7"/>
    </row>
    <row r="155">
      <c r="B155" s="6"/>
      <c r="F155" s="7"/>
    </row>
    <row r="156">
      <c r="B156" s="6"/>
      <c r="F156" s="7"/>
    </row>
    <row r="157">
      <c r="B157" s="6"/>
      <c r="F157" s="7"/>
    </row>
    <row r="158">
      <c r="B158" s="6"/>
      <c r="F158" s="7"/>
    </row>
    <row r="159">
      <c r="B159" s="6"/>
      <c r="F159" s="7"/>
    </row>
    <row r="160">
      <c r="B160" s="6"/>
      <c r="F160" s="7"/>
    </row>
    <row r="161">
      <c r="B161" s="6"/>
      <c r="F161" s="7"/>
    </row>
    <row r="162">
      <c r="B162" s="6"/>
      <c r="F162" s="7"/>
    </row>
    <row r="163">
      <c r="B163" s="6"/>
      <c r="F163" s="7"/>
    </row>
    <row r="164">
      <c r="B164" s="6"/>
      <c r="F164" s="7"/>
    </row>
    <row r="165">
      <c r="B165" s="6"/>
      <c r="F165" s="7"/>
    </row>
    <row r="166">
      <c r="B166" s="6"/>
      <c r="F166" s="7"/>
    </row>
    <row r="167">
      <c r="B167" s="6"/>
      <c r="F167" s="7"/>
    </row>
    <row r="168">
      <c r="B168" s="6"/>
      <c r="F168" s="7"/>
    </row>
    <row r="169">
      <c r="B169" s="6"/>
      <c r="F169" s="7"/>
    </row>
    <row r="170">
      <c r="B170" s="6"/>
      <c r="F170" s="7"/>
    </row>
    <row r="171">
      <c r="B171" s="6"/>
      <c r="F171" s="7"/>
    </row>
    <row r="172">
      <c r="B172" s="6"/>
      <c r="F172" s="7"/>
    </row>
    <row r="173">
      <c r="B173" s="6"/>
      <c r="F173" s="7"/>
    </row>
    <row r="174">
      <c r="B174" s="6"/>
      <c r="F174" s="7"/>
    </row>
    <row r="175">
      <c r="B175" s="6"/>
      <c r="F175" s="7"/>
    </row>
    <row r="176">
      <c r="B176" s="6"/>
      <c r="F176" s="7"/>
    </row>
    <row r="177">
      <c r="B177" s="6"/>
      <c r="F177" s="7"/>
    </row>
    <row r="178">
      <c r="B178" s="6"/>
      <c r="F178" s="7"/>
    </row>
    <row r="179">
      <c r="B179" s="6"/>
      <c r="F179" s="7"/>
    </row>
    <row r="180">
      <c r="B180" s="6"/>
      <c r="F180" s="7"/>
    </row>
    <row r="181">
      <c r="B181" s="6"/>
      <c r="F181" s="7"/>
    </row>
    <row r="182">
      <c r="B182" s="6"/>
      <c r="F182" s="7"/>
    </row>
    <row r="183">
      <c r="B183" s="6"/>
      <c r="F183" s="7"/>
    </row>
    <row r="184">
      <c r="B184" s="6"/>
      <c r="F184" s="7"/>
    </row>
    <row r="185">
      <c r="B185" s="6"/>
      <c r="F185" s="7"/>
    </row>
    <row r="186">
      <c r="B186" s="6"/>
      <c r="F186" s="7"/>
    </row>
    <row r="187">
      <c r="B187" s="6"/>
      <c r="F187" s="7"/>
    </row>
    <row r="188">
      <c r="B188" s="6"/>
      <c r="F188" s="7"/>
    </row>
    <row r="189">
      <c r="B189" s="6"/>
      <c r="F189" s="7"/>
    </row>
    <row r="190">
      <c r="B190" s="6"/>
      <c r="F190" s="7"/>
    </row>
    <row r="191">
      <c r="B191" s="6"/>
      <c r="F191" s="7"/>
    </row>
    <row r="192">
      <c r="B192" s="6"/>
      <c r="F192" s="7"/>
    </row>
    <row r="193">
      <c r="B193" s="6"/>
      <c r="F193" s="7"/>
    </row>
    <row r="194">
      <c r="B194" s="6"/>
      <c r="F194" s="7"/>
    </row>
    <row r="195">
      <c r="B195" s="6"/>
      <c r="F195" s="7"/>
    </row>
    <row r="196">
      <c r="B196" s="6"/>
      <c r="F196" s="7"/>
    </row>
    <row r="197">
      <c r="B197" s="6"/>
      <c r="F197" s="7"/>
    </row>
    <row r="198">
      <c r="B198" s="6"/>
      <c r="F198" s="7"/>
    </row>
    <row r="199">
      <c r="B199" s="6"/>
      <c r="F199" s="7"/>
    </row>
    <row r="200">
      <c r="B200" s="6"/>
      <c r="F200" s="7"/>
    </row>
    <row r="201">
      <c r="B201" s="6"/>
      <c r="F201" s="7"/>
    </row>
    <row r="202">
      <c r="B202" s="6"/>
      <c r="F202" s="7"/>
    </row>
    <row r="203">
      <c r="B203" s="6"/>
      <c r="F203" s="7"/>
    </row>
    <row r="204">
      <c r="B204" s="6"/>
      <c r="F204" s="7"/>
    </row>
    <row r="205">
      <c r="B205" s="6"/>
      <c r="F205" s="7"/>
    </row>
    <row r="206">
      <c r="B206" s="6"/>
      <c r="F206" s="7"/>
    </row>
    <row r="207">
      <c r="B207" s="6"/>
      <c r="F207" s="7"/>
    </row>
    <row r="208">
      <c r="B208" s="6"/>
      <c r="F208" s="7"/>
    </row>
    <row r="209">
      <c r="B209" s="6"/>
      <c r="F209" s="7"/>
    </row>
    <row r="210">
      <c r="B210" s="6"/>
      <c r="F210" s="7"/>
    </row>
    <row r="211">
      <c r="B211" s="6"/>
      <c r="F211" s="7"/>
    </row>
    <row r="212">
      <c r="B212" s="6"/>
      <c r="F212" s="7"/>
    </row>
    <row r="213">
      <c r="B213" s="6"/>
      <c r="F213" s="7"/>
    </row>
    <row r="214">
      <c r="B214" s="6"/>
      <c r="F214" s="7"/>
    </row>
    <row r="215">
      <c r="B215" s="6"/>
      <c r="F215" s="7"/>
    </row>
    <row r="216">
      <c r="B216" s="6"/>
      <c r="F216" s="7"/>
    </row>
    <row r="217">
      <c r="B217" s="6"/>
      <c r="F217" s="7"/>
    </row>
    <row r="218">
      <c r="B218" s="6"/>
      <c r="F218" s="7"/>
    </row>
    <row r="219">
      <c r="B219" s="6"/>
      <c r="F219" s="7"/>
    </row>
    <row r="220">
      <c r="B220" s="6"/>
      <c r="F220" s="7"/>
    </row>
    <row r="221">
      <c r="B221" s="6"/>
      <c r="F221" s="7"/>
    </row>
    <row r="222">
      <c r="B222" s="6"/>
      <c r="F222" s="7"/>
    </row>
    <row r="223">
      <c r="B223" s="6"/>
      <c r="F223" s="7"/>
    </row>
    <row r="224">
      <c r="B224" s="6"/>
      <c r="F224" s="7"/>
    </row>
    <row r="225">
      <c r="B225" s="6"/>
      <c r="F225" s="7"/>
    </row>
    <row r="226">
      <c r="B226" s="6"/>
      <c r="F226" s="7"/>
    </row>
    <row r="227">
      <c r="B227" s="6"/>
      <c r="F227" s="7"/>
    </row>
    <row r="228">
      <c r="B228" s="6"/>
      <c r="F228" s="7"/>
    </row>
    <row r="229">
      <c r="B229" s="6"/>
      <c r="F229" s="7"/>
    </row>
    <row r="230">
      <c r="B230" s="6"/>
      <c r="F230" s="7"/>
    </row>
    <row r="231">
      <c r="B231" s="6"/>
      <c r="F231" s="7"/>
    </row>
    <row r="232">
      <c r="B232" s="6"/>
      <c r="F232" s="7"/>
    </row>
    <row r="233">
      <c r="B233" s="6"/>
      <c r="F233" s="7"/>
    </row>
    <row r="234">
      <c r="B234" s="6"/>
      <c r="F234" s="7"/>
    </row>
    <row r="235">
      <c r="B235" s="6"/>
      <c r="F235" s="7"/>
    </row>
    <row r="236">
      <c r="B236" s="6"/>
      <c r="F236" s="7"/>
    </row>
    <row r="237">
      <c r="B237" s="6"/>
      <c r="F237" s="7"/>
    </row>
    <row r="238">
      <c r="B238" s="6"/>
      <c r="F238" s="7"/>
    </row>
    <row r="239">
      <c r="B239" s="6"/>
      <c r="F239" s="7"/>
    </row>
    <row r="240">
      <c r="B240" s="6"/>
      <c r="F240" s="7"/>
    </row>
    <row r="241">
      <c r="B241" s="6"/>
      <c r="F241" s="7"/>
    </row>
    <row r="242">
      <c r="B242" s="6"/>
      <c r="F242" s="7"/>
    </row>
    <row r="243">
      <c r="B243" s="6"/>
      <c r="F243" s="7"/>
    </row>
    <row r="244">
      <c r="B244" s="6"/>
      <c r="F244" s="7"/>
    </row>
    <row r="245">
      <c r="B245" s="6"/>
      <c r="F245" s="7"/>
    </row>
    <row r="246">
      <c r="B246" s="6"/>
      <c r="F246" s="7"/>
    </row>
    <row r="247">
      <c r="B247" s="6"/>
      <c r="F247" s="7"/>
    </row>
    <row r="248">
      <c r="B248" s="6"/>
      <c r="F248" s="7"/>
    </row>
    <row r="249">
      <c r="B249" s="6"/>
      <c r="F249" s="7"/>
    </row>
    <row r="250">
      <c r="B250" s="6"/>
      <c r="F250" s="7"/>
    </row>
    <row r="251">
      <c r="B251" s="6"/>
      <c r="F251" s="7"/>
    </row>
    <row r="252">
      <c r="B252" s="6"/>
      <c r="F252" s="7"/>
    </row>
    <row r="253">
      <c r="B253" s="6"/>
      <c r="F253" s="7"/>
    </row>
    <row r="254">
      <c r="B254" s="6"/>
      <c r="F254" s="7"/>
    </row>
    <row r="255">
      <c r="B255" s="6"/>
      <c r="F255" s="7"/>
    </row>
    <row r="256">
      <c r="B256" s="6"/>
      <c r="F256" s="7"/>
    </row>
    <row r="257">
      <c r="B257" s="6"/>
      <c r="F257" s="7"/>
    </row>
    <row r="258">
      <c r="B258" s="6"/>
      <c r="F258" s="7"/>
    </row>
    <row r="259">
      <c r="B259" s="6"/>
      <c r="F259" s="7"/>
    </row>
    <row r="260">
      <c r="B260" s="6"/>
      <c r="F260" s="7"/>
    </row>
    <row r="261">
      <c r="B261" s="6"/>
      <c r="F261" s="7"/>
    </row>
    <row r="262">
      <c r="B262" s="6"/>
      <c r="F262" s="7"/>
    </row>
    <row r="263">
      <c r="B263" s="6"/>
      <c r="F263" s="7"/>
    </row>
    <row r="264">
      <c r="B264" s="6"/>
      <c r="F264" s="7"/>
    </row>
    <row r="265">
      <c r="B265" s="6"/>
      <c r="F265" s="7"/>
    </row>
    <row r="266">
      <c r="B266" s="6"/>
      <c r="F266" s="7"/>
    </row>
    <row r="267">
      <c r="B267" s="6"/>
      <c r="F267" s="7"/>
    </row>
    <row r="268">
      <c r="B268" s="6"/>
      <c r="F268" s="7"/>
    </row>
    <row r="269">
      <c r="B269" s="6"/>
      <c r="F269" s="7"/>
    </row>
    <row r="270">
      <c r="B270" s="6"/>
      <c r="F270" s="7"/>
    </row>
    <row r="271">
      <c r="B271" s="6"/>
      <c r="F271" s="7"/>
    </row>
    <row r="272">
      <c r="B272" s="6"/>
      <c r="F272" s="7"/>
    </row>
    <row r="273">
      <c r="B273" s="6"/>
      <c r="F273" s="7"/>
    </row>
    <row r="274">
      <c r="B274" s="6"/>
      <c r="F274" s="7"/>
    </row>
    <row r="275">
      <c r="B275" s="6"/>
      <c r="F275" s="7"/>
    </row>
    <row r="276">
      <c r="B276" s="6"/>
      <c r="F276" s="7"/>
    </row>
    <row r="277">
      <c r="B277" s="6"/>
      <c r="F277" s="7"/>
    </row>
    <row r="278">
      <c r="B278" s="6"/>
      <c r="F278" s="7"/>
    </row>
    <row r="279">
      <c r="B279" s="6"/>
      <c r="F279" s="7"/>
    </row>
    <row r="280">
      <c r="B280" s="6"/>
      <c r="F280" s="7"/>
    </row>
    <row r="281">
      <c r="B281" s="6"/>
      <c r="F281" s="7"/>
    </row>
    <row r="282">
      <c r="B282" s="6"/>
      <c r="F282" s="7"/>
    </row>
    <row r="283">
      <c r="B283" s="6"/>
      <c r="F283" s="7"/>
    </row>
    <row r="284">
      <c r="B284" s="6"/>
      <c r="F284" s="7"/>
    </row>
    <row r="285">
      <c r="B285" s="6"/>
      <c r="F285" s="7"/>
    </row>
    <row r="286">
      <c r="B286" s="6"/>
      <c r="F286" s="7"/>
    </row>
    <row r="287">
      <c r="B287" s="6"/>
      <c r="F287" s="7"/>
    </row>
    <row r="288">
      <c r="B288" s="6"/>
      <c r="F288" s="7"/>
    </row>
    <row r="289">
      <c r="B289" s="6"/>
      <c r="F289" s="7"/>
    </row>
    <row r="290">
      <c r="B290" s="6"/>
      <c r="F290" s="7"/>
    </row>
    <row r="291">
      <c r="B291" s="6"/>
      <c r="F291" s="7"/>
    </row>
    <row r="292">
      <c r="B292" s="6"/>
      <c r="F292" s="7"/>
    </row>
    <row r="293">
      <c r="B293" s="6"/>
      <c r="F293" s="7"/>
    </row>
    <row r="294">
      <c r="B294" s="6"/>
      <c r="F294" s="7"/>
    </row>
    <row r="295">
      <c r="B295" s="6"/>
      <c r="F295" s="7"/>
    </row>
    <row r="296">
      <c r="B296" s="6"/>
      <c r="F296" s="7"/>
    </row>
    <row r="297">
      <c r="B297" s="6"/>
      <c r="F297" s="7"/>
    </row>
    <row r="298">
      <c r="B298" s="6"/>
      <c r="F298" s="7"/>
    </row>
    <row r="299">
      <c r="B299" s="6"/>
      <c r="F299" s="7"/>
    </row>
    <row r="300">
      <c r="B300" s="6"/>
      <c r="F300" s="7"/>
    </row>
    <row r="301">
      <c r="B301" s="6"/>
      <c r="F301" s="7"/>
    </row>
    <row r="302">
      <c r="B302" s="6"/>
      <c r="F302" s="7"/>
    </row>
    <row r="303">
      <c r="B303" s="6"/>
      <c r="F303" s="7"/>
    </row>
    <row r="304">
      <c r="B304" s="6"/>
      <c r="F304" s="7"/>
    </row>
    <row r="305">
      <c r="B305" s="6"/>
      <c r="F305" s="7"/>
    </row>
    <row r="306">
      <c r="B306" s="6"/>
      <c r="F306" s="7"/>
    </row>
    <row r="307">
      <c r="B307" s="6"/>
      <c r="F307" s="7"/>
    </row>
    <row r="308">
      <c r="B308" s="6"/>
      <c r="F308" s="7"/>
    </row>
    <row r="309">
      <c r="B309" s="6"/>
      <c r="F309" s="7"/>
    </row>
    <row r="310">
      <c r="B310" s="6"/>
      <c r="F310" s="7"/>
    </row>
    <row r="311">
      <c r="B311" s="6"/>
      <c r="F311" s="7"/>
    </row>
    <row r="312">
      <c r="B312" s="6"/>
      <c r="F312" s="7"/>
    </row>
    <row r="313">
      <c r="B313" s="6"/>
      <c r="F313" s="7"/>
    </row>
    <row r="314">
      <c r="B314" s="6"/>
      <c r="F314" s="7"/>
    </row>
    <row r="315">
      <c r="B315" s="6"/>
      <c r="F315" s="7"/>
    </row>
    <row r="316">
      <c r="B316" s="6"/>
      <c r="F316" s="7"/>
    </row>
    <row r="317">
      <c r="B317" s="6"/>
      <c r="F317" s="7"/>
    </row>
    <row r="318">
      <c r="B318" s="6"/>
      <c r="F318" s="7"/>
    </row>
    <row r="319">
      <c r="B319" s="6"/>
      <c r="F319" s="7"/>
    </row>
    <row r="320">
      <c r="B320" s="6"/>
      <c r="F320" s="7"/>
    </row>
    <row r="321">
      <c r="B321" s="6"/>
      <c r="F321" s="7"/>
    </row>
    <row r="322">
      <c r="B322" s="6"/>
      <c r="F322" s="7"/>
    </row>
    <row r="323">
      <c r="B323" s="6"/>
      <c r="F323" s="7"/>
    </row>
    <row r="324">
      <c r="B324" s="6"/>
      <c r="F324" s="7"/>
    </row>
    <row r="325">
      <c r="B325" s="6"/>
      <c r="F325" s="7"/>
    </row>
    <row r="326">
      <c r="B326" s="6"/>
      <c r="F326" s="7"/>
    </row>
    <row r="327">
      <c r="B327" s="6"/>
      <c r="F327" s="7"/>
    </row>
    <row r="328">
      <c r="B328" s="6"/>
      <c r="F328" s="7"/>
    </row>
    <row r="329">
      <c r="B329" s="6"/>
      <c r="F329" s="7"/>
    </row>
    <row r="330">
      <c r="B330" s="6"/>
      <c r="F330" s="7"/>
    </row>
    <row r="331">
      <c r="B331" s="6"/>
      <c r="F331" s="7"/>
    </row>
    <row r="332">
      <c r="B332" s="6"/>
      <c r="F332" s="7"/>
    </row>
    <row r="333">
      <c r="B333" s="6"/>
      <c r="F333" s="7"/>
    </row>
    <row r="334">
      <c r="B334" s="6"/>
      <c r="F334" s="7"/>
    </row>
    <row r="335">
      <c r="B335" s="6"/>
      <c r="F335" s="7"/>
    </row>
    <row r="336">
      <c r="B336" s="6"/>
      <c r="F336" s="7"/>
    </row>
    <row r="337">
      <c r="B337" s="6"/>
      <c r="F337" s="7"/>
    </row>
    <row r="338">
      <c r="B338" s="6"/>
      <c r="F338" s="7"/>
    </row>
    <row r="339">
      <c r="B339" s="6"/>
      <c r="F339" s="7"/>
    </row>
    <row r="340">
      <c r="B340" s="6"/>
      <c r="F340" s="7"/>
    </row>
    <row r="341">
      <c r="B341" s="6"/>
      <c r="F341" s="7"/>
    </row>
    <row r="342">
      <c r="B342" s="6"/>
      <c r="F342" s="7"/>
    </row>
    <row r="343">
      <c r="B343" s="6"/>
      <c r="F343" s="7"/>
    </row>
    <row r="344">
      <c r="B344" s="6"/>
      <c r="F344" s="7"/>
    </row>
    <row r="345">
      <c r="B345" s="6"/>
      <c r="F345" s="7"/>
    </row>
    <row r="346">
      <c r="B346" s="6"/>
      <c r="F346" s="7"/>
    </row>
    <row r="347">
      <c r="B347" s="6"/>
      <c r="F347" s="7"/>
    </row>
    <row r="348">
      <c r="B348" s="6"/>
      <c r="F348" s="7"/>
    </row>
    <row r="349">
      <c r="B349" s="6"/>
      <c r="F349" s="7"/>
    </row>
    <row r="350">
      <c r="B350" s="6"/>
      <c r="F350" s="7"/>
    </row>
    <row r="351">
      <c r="B351" s="6"/>
      <c r="F351" s="7"/>
    </row>
    <row r="352">
      <c r="B352" s="6"/>
      <c r="F352" s="7"/>
    </row>
    <row r="353">
      <c r="B353" s="6"/>
      <c r="F353" s="7"/>
    </row>
    <row r="354">
      <c r="B354" s="6"/>
      <c r="F354" s="7"/>
    </row>
    <row r="355">
      <c r="B355" s="6"/>
      <c r="F355" s="7"/>
    </row>
    <row r="356">
      <c r="B356" s="6"/>
      <c r="F356" s="7"/>
    </row>
    <row r="357">
      <c r="B357" s="6"/>
      <c r="F357" s="7"/>
    </row>
    <row r="358">
      <c r="B358" s="6"/>
      <c r="F358" s="7"/>
    </row>
    <row r="359">
      <c r="B359" s="6"/>
      <c r="F359" s="7"/>
    </row>
    <row r="360">
      <c r="B360" s="6"/>
      <c r="F360" s="7"/>
    </row>
    <row r="361">
      <c r="B361" s="6"/>
      <c r="F361" s="7"/>
    </row>
    <row r="362">
      <c r="B362" s="6"/>
      <c r="F362" s="7"/>
    </row>
    <row r="363">
      <c r="B363" s="6"/>
      <c r="F363" s="7"/>
    </row>
    <row r="364">
      <c r="B364" s="6"/>
      <c r="F364" s="7"/>
    </row>
    <row r="365">
      <c r="B365" s="6"/>
      <c r="F365" s="7"/>
    </row>
    <row r="366">
      <c r="B366" s="6"/>
      <c r="F366" s="7"/>
    </row>
    <row r="367">
      <c r="B367" s="6"/>
      <c r="F367" s="7"/>
    </row>
    <row r="368">
      <c r="B368" s="6"/>
      <c r="F368" s="7"/>
    </row>
    <row r="369">
      <c r="B369" s="6"/>
      <c r="F369" s="7"/>
    </row>
    <row r="370">
      <c r="B370" s="6"/>
      <c r="F370" s="7"/>
    </row>
    <row r="371">
      <c r="B371" s="6"/>
      <c r="F371" s="7"/>
    </row>
    <row r="372">
      <c r="B372" s="6"/>
      <c r="F372" s="7"/>
    </row>
    <row r="373">
      <c r="B373" s="6"/>
      <c r="F373" s="7"/>
    </row>
    <row r="374">
      <c r="B374" s="6"/>
      <c r="F374" s="7"/>
    </row>
    <row r="375">
      <c r="B375" s="6"/>
      <c r="F375" s="7"/>
    </row>
    <row r="376">
      <c r="B376" s="6"/>
      <c r="F376" s="7"/>
    </row>
    <row r="377">
      <c r="B377" s="6"/>
      <c r="F377" s="7"/>
    </row>
    <row r="378">
      <c r="B378" s="6"/>
      <c r="F378" s="7"/>
    </row>
    <row r="379">
      <c r="B379" s="6"/>
      <c r="F379" s="7"/>
    </row>
    <row r="380">
      <c r="B380" s="6"/>
      <c r="F380" s="7"/>
    </row>
    <row r="381">
      <c r="B381" s="6"/>
      <c r="F381" s="7"/>
    </row>
    <row r="382">
      <c r="B382" s="6"/>
      <c r="F382" s="7"/>
    </row>
    <row r="383">
      <c r="B383" s="6"/>
      <c r="F383" s="7"/>
    </row>
    <row r="384">
      <c r="B384" s="6"/>
      <c r="F384" s="7"/>
    </row>
    <row r="385">
      <c r="B385" s="6"/>
      <c r="F385" s="7"/>
    </row>
    <row r="386">
      <c r="B386" s="6"/>
      <c r="F386" s="7"/>
    </row>
    <row r="387">
      <c r="B387" s="6"/>
      <c r="F387" s="7"/>
    </row>
    <row r="388">
      <c r="B388" s="6"/>
      <c r="F388" s="7"/>
    </row>
    <row r="389">
      <c r="B389" s="6"/>
      <c r="F389" s="7"/>
    </row>
    <row r="390">
      <c r="B390" s="6"/>
      <c r="F390" s="7"/>
    </row>
    <row r="391">
      <c r="B391" s="6"/>
      <c r="F391" s="7"/>
    </row>
    <row r="392">
      <c r="B392" s="6"/>
      <c r="F392" s="7"/>
    </row>
    <row r="393">
      <c r="B393" s="6"/>
      <c r="F393" s="7"/>
    </row>
    <row r="394">
      <c r="B394" s="6"/>
      <c r="F394" s="7"/>
    </row>
    <row r="395">
      <c r="B395" s="6"/>
      <c r="F395" s="7"/>
    </row>
    <row r="396">
      <c r="B396" s="6"/>
      <c r="F396" s="7"/>
    </row>
    <row r="397">
      <c r="B397" s="6"/>
      <c r="F397" s="7"/>
    </row>
    <row r="398">
      <c r="B398" s="6"/>
      <c r="F398" s="7"/>
    </row>
    <row r="399">
      <c r="B399" s="6"/>
      <c r="F399" s="7"/>
    </row>
    <row r="400">
      <c r="B400" s="6"/>
      <c r="F400" s="7"/>
    </row>
    <row r="401">
      <c r="B401" s="6"/>
      <c r="F401" s="7"/>
    </row>
    <row r="402">
      <c r="B402" s="6"/>
      <c r="F402" s="7"/>
    </row>
    <row r="403">
      <c r="B403" s="6"/>
      <c r="F403" s="7"/>
    </row>
    <row r="404">
      <c r="B404" s="6"/>
      <c r="F404" s="7"/>
    </row>
    <row r="405">
      <c r="B405" s="6"/>
      <c r="F405" s="7"/>
    </row>
    <row r="406">
      <c r="B406" s="6"/>
      <c r="F406" s="7"/>
    </row>
    <row r="407">
      <c r="B407" s="6"/>
      <c r="F407" s="7"/>
    </row>
    <row r="408">
      <c r="B408" s="6"/>
      <c r="F408" s="7"/>
    </row>
    <row r="409">
      <c r="B409" s="6"/>
      <c r="F409" s="7"/>
    </row>
    <row r="410">
      <c r="B410" s="6"/>
      <c r="F410" s="7"/>
    </row>
    <row r="411">
      <c r="B411" s="6"/>
      <c r="F411" s="7"/>
    </row>
    <row r="412">
      <c r="B412" s="6"/>
      <c r="F412" s="7"/>
    </row>
    <row r="413">
      <c r="B413" s="6"/>
      <c r="F413" s="7"/>
    </row>
    <row r="414">
      <c r="B414" s="6"/>
      <c r="F414" s="7"/>
    </row>
    <row r="415">
      <c r="B415" s="6"/>
      <c r="F415" s="7"/>
    </row>
    <row r="416">
      <c r="B416" s="6"/>
      <c r="F416" s="7"/>
    </row>
    <row r="417">
      <c r="B417" s="6"/>
      <c r="F417" s="7"/>
    </row>
    <row r="418">
      <c r="B418" s="6"/>
      <c r="F418" s="7"/>
    </row>
    <row r="419">
      <c r="B419" s="6"/>
      <c r="F419" s="7"/>
    </row>
    <row r="420">
      <c r="B420" s="6"/>
      <c r="F420" s="7"/>
    </row>
    <row r="421">
      <c r="B421" s="6"/>
      <c r="F421" s="7"/>
    </row>
    <row r="422">
      <c r="B422" s="6"/>
      <c r="F422" s="7"/>
    </row>
    <row r="423">
      <c r="B423" s="6"/>
      <c r="F423" s="7"/>
    </row>
    <row r="424">
      <c r="B424" s="6"/>
      <c r="F424" s="7"/>
    </row>
    <row r="425">
      <c r="B425" s="6"/>
      <c r="F425" s="7"/>
    </row>
    <row r="426">
      <c r="B426" s="6"/>
      <c r="F426" s="7"/>
    </row>
    <row r="427">
      <c r="B427" s="6"/>
      <c r="F427" s="7"/>
    </row>
    <row r="428">
      <c r="B428" s="6"/>
      <c r="F428" s="7"/>
    </row>
    <row r="429">
      <c r="B429" s="6"/>
      <c r="F429" s="7"/>
    </row>
    <row r="430">
      <c r="B430" s="6"/>
      <c r="F430" s="7"/>
    </row>
    <row r="431">
      <c r="B431" s="6"/>
      <c r="F431" s="7"/>
    </row>
    <row r="432">
      <c r="B432" s="6"/>
      <c r="F432" s="7"/>
    </row>
    <row r="433">
      <c r="B433" s="6"/>
      <c r="F433" s="7"/>
    </row>
    <row r="434">
      <c r="B434" s="6"/>
      <c r="F434" s="7"/>
    </row>
    <row r="435">
      <c r="B435" s="6"/>
      <c r="F435" s="7"/>
    </row>
    <row r="436">
      <c r="B436" s="6"/>
      <c r="F436" s="7"/>
    </row>
    <row r="437">
      <c r="B437" s="6"/>
      <c r="F437" s="7"/>
    </row>
    <row r="438">
      <c r="B438" s="6"/>
      <c r="F438" s="7"/>
    </row>
    <row r="439">
      <c r="B439" s="6"/>
      <c r="F439" s="7"/>
    </row>
    <row r="440">
      <c r="B440" s="6"/>
      <c r="F440" s="7"/>
    </row>
    <row r="441">
      <c r="B441" s="6"/>
      <c r="F441" s="7"/>
    </row>
    <row r="442">
      <c r="B442" s="6"/>
      <c r="F442" s="7"/>
    </row>
    <row r="443">
      <c r="B443" s="6"/>
      <c r="F443" s="7"/>
    </row>
    <row r="444">
      <c r="B444" s="6"/>
      <c r="F444" s="7"/>
    </row>
    <row r="445">
      <c r="B445" s="6"/>
      <c r="F445" s="7"/>
    </row>
    <row r="446">
      <c r="B446" s="6"/>
      <c r="F446" s="7"/>
    </row>
    <row r="447">
      <c r="B447" s="6"/>
      <c r="F447" s="7"/>
    </row>
    <row r="448">
      <c r="B448" s="6"/>
      <c r="F448" s="7"/>
    </row>
    <row r="449">
      <c r="B449" s="6"/>
      <c r="F449" s="7"/>
    </row>
    <row r="450">
      <c r="B450" s="6"/>
      <c r="F450" s="7"/>
    </row>
    <row r="451">
      <c r="B451" s="6"/>
      <c r="F451" s="7"/>
    </row>
    <row r="452">
      <c r="B452" s="6"/>
      <c r="F452" s="7"/>
    </row>
    <row r="453">
      <c r="B453" s="6"/>
      <c r="F453" s="7"/>
    </row>
    <row r="454">
      <c r="B454" s="6"/>
      <c r="F454" s="7"/>
    </row>
    <row r="455">
      <c r="B455" s="6"/>
      <c r="F455" s="7"/>
    </row>
    <row r="456">
      <c r="B456" s="6"/>
      <c r="F456" s="7"/>
    </row>
    <row r="457">
      <c r="B457" s="6"/>
      <c r="F457" s="7"/>
    </row>
    <row r="458">
      <c r="B458" s="6"/>
      <c r="F458" s="7"/>
    </row>
    <row r="459">
      <c r="B459" s="6"/>
      <c r="F459" s="7"/>
    </row>
    <row r="460">
      <c r="B460" s="6"/>
      <c r="F460" s="7"/>
    </row>
    <row r="461">
      <c r="B461" s="6"/>
      <c r="F461" s="7"/>
    </row>
    <row r="462">
      <c r="B462" s="6"/>
      <c r="F462" s="7"/>
    </row>
    <row r="463">
      <c r="B463" s="6"/>
      <c r="F463" s="7"/>
    </row>
    <row r="464">
      <c r="B464" s="6"/>
      <c r="F464" s="7"/>
    </row>
    <row r="465">
      <c r="B465" s="6"/>
      <c r="F465" s="7"/>
    </row>
    <row r="466">
      <c r="B466" s="6"/>
      <c r="F466" s="7"/>
    </row>
    <row r="467">
      <c r="B467" s="6"/>
      <c r="F467" s="7"/>
    </row>
    <row r="468">
      <c r="B468" s="6"/>
      <c r="F468" s="7"/>
    </row>
    <row r="469">
      <c r="B469" s="6"/>
      <c r="F469" s="7"/>
    </row>
    <row r="470">
      <c r="B470" s="6"/>
      <c r="F470" s="7"/>
    </row>
    <row r="471">
      <c r="B471" s="6"/>
      <c r="F471" s="7"/>
    </row>
    <row r="472">
      <c r="B472" s="6"/>
      <c r="F472" s="7"/>
    </row>
    <row r="473">
      <c r="B473" s="6"/>
      <c r="F473" s="7"/>
    </row>
    <row r="474">
      <c r="B474" s="6"/>
      <c r="F474" s="7"/>
    </row>
    <row r="475">
      <c r="B475" s="6"/>
      <c r="F475" s="7"/>
    </row>
    <row r="476">
      <c r="B476" s="6"/>
      <c r="F476" s="7"/>
    </row>
    <row r="477">
      <c r="B477" s="6"/>
      <c r="F477" s="7"/>
    </row>
    <row r="478">
      <c r="B478" s="6"/>
      <c r="F478" s="7"/>
    </row>
    <row r="479">
      <c r="B479" s="6"/>
      <c r="F479" s="7"/>
    </row>
    <row r="480">
      <c r="B480" s="6"/>
      <c r="F480" s="7"/>
    </row>
    <row r="481">
      <c r="B481" s="6"/>
      <c r="F481" s="7"/>
    </row>
    <row r="482">
      <c r="B482" s="6"/>
      <c r="F482" s="7"/>
    </row>
    <row r="483">
      <c r="B483" s="6"/>
      <c r="F483" s="7"/>
    </row>
    <row r="484">
      <c r="B484" s="6"/>
      <c r="F484" s="7"/>
    </row>
    <row r="485">
      <c r="B485" s="6"/>
      <c r="F485" s="7"/>
    </row>
    <row r="486">
      <c r="B486" s="6"/>
      <c r="F486" s="7"/>
    </row>
    <row r="487">
      <c r="B487" s="6"/>
      <c r="F487" s="7"/>
    </row>
    <row r="488">
      <c r="B488" s="6"/>
      <c r="F488" s="7"/>
    </row>
    <row r="489">
      <c r="B489" s="6"/>
      <c r="F489" s="7"/>
    </row>
    <row r="490">
      <c r="B490" s="6"/>
      <c r="F490" s="7"/>
    </row>
    <row r="491">
      <c r="B491" s="6"/>
      <c r="F491" s="7"/>
    </row>
    <row r="492">
      <c r="B492" s="6"/>
      <c r="F492" s="7"/>
    </row>
    <row r="493">
      <c r="B493" s="6"/>
      <c r="F493" s="7"/>
    </row>
    <row r="494">
      <c r="B494" s="6"/>
      <c r="F494" s="7"/>
    </row>
    <row r="495">
      <c r="B495" s="6"/>
      <c r="F495" s="7"/>
    </row>
    <row r="496">
      <c r="B496" s="6"/>
      <c r="F496" s="7"/>
    </row>
    <row r="497">
      <c r="B497" s="6"/>
      <c r="F497" s="7"/>
    </row>
    <row r="498">
      <c r="B498" s="6"/>
      <c r="F498" s="7"/>
    </row>
    <row r="499">
      <c r="B499" s="6"/>
      <c r="F499" s="7"/>
    </row>
    <row r="500">
      <c r="B500" s="6"/>
      <c r="F500" s="7"/>
    </row>
    <row r="501">
      <c r="B501" s="6"/>
      <c r="F501" s="7"/>
    </row>
    <row r="502">
      <c r="B502" s="6"/>
      <c r="F502" s="7"/>
    </row>
    <row r="503">
      <c r="B503" s="6"/>
      <c r="F503" s="7"/>
    </row>
    <row r="504">
      <c r="B504" s="6"/>
      <c r="F504" s="7"/>
    </row>
    <row r="505">
      <c r="B505" s="6"/>
      <c r="F505" s="7"/>
    </row>
    <row r="506">
      <c r="B506" s="6"/>
      <c r="F506" s="7"/>
    </row>
    <row r="507">
      <c r="B507" s="6"/>
      <c r="F507" s="7"/>
    </row>
    <row r="508">
      <c r="B508" s="6"/>
      <c r="F508" s="7"/>
    </row>
    <row r="509">
      <c r="B509" s="6"/>
      <c r="F509" s="7"/>
    </row>
    <row r="510">
      <c r="B510" s="6"/>
      <c r="F510" s="7"/>
    </row>
    <row r="511">
      <c r="B511" s="6"/>
      <c r="F511" s="7"/>
    </row>
    <row r="512">
      <c r="B512" s="6"/>
      <c r="F512" s="7"/>
    </row>
    <row r="513">
      <c r="B513" s="6"/>
      <c r="F513" s="7"/>
    </row>
    <row r="514">
      <c r="B514" s="6"/>
      <c r="F514" s="7"/>
    </row>
    <row r="515">
      <c r="B515" s="6"/>
      <c r="F515" s="7"/>
    </row>
    <row r="516">
      <c r="B516" s="6"/>
      <c r="F516" s="7"/>
    </row>
    <row r="517">
      <c r="B517" s="6"/>
      <c r="F517" s="7"/>
    </row>
    <row r="518">
      <c r="B518" s="6"/>
      <c r="F518" s="7"/>
    </row>
    <row r="519">
      <c r="B519" s="6"/>
      <c r="F519" s="7"/>
    </row>
    <row r="520">
      <c r="B520" s="6"/>
      <c r="F520" s="7"/>
    </row>
    <row r="521">
      <c r="B521" s="6"/>
      <c r="F521" s="7"/>
    </row>
    <row r="522">
      <c r="B522" s="6"/>
      <c r="F522" s="7"/>
    </row>
    <row r="523">
      <c r="B523" s="6"/>
      <c r="F523" s="7"/>
    </row>
    <row r="524">
      <c r="B524" s="6"/>
      <c r="F524" s="7"/>
    </row>
    <row r="525">
      <c r="B525" s="6"/>
      <c r="F525" s="7"/>
    </row>
    <row r="526">
      <c r="B526" s="6"/>
      <c r="F526" s="7"/>
    </row>
    <row r="527">
      <c r="B527" s="6"/>
      <c r="F527" s="7"/>
    </row>
    <row r="528">
      <c r="B528" s="6"/>
      <c r="F528" s="7"/>
    </row>
    <row r="529">
      <c r="B529" s="6"/>
      <c r="F529" s="7"/>
    </row>
    <row r="530">
      <c r="B530" s="6"/>
      <c r="F530" s="7"/>
    </row>
    <row r="531">
      <c r="B531" s="6"/>
      <c r="F531" s="7"/>
    </row>
    <row r="532">
      <c r="B532" s="6"/>
      <c r="F532" s="7"/>
    </row>
    <row r="533">
      <c r="B533" s="6"/>
      <c r="F533" s="7"/>
    </row>
    <row r="534">
      <c r="B534" s="6"/>
      <c r="F534" s="7"/>
    </row>
    <row r="535">
      <c r="B535" s="6"/>
      <c r="F535" s="7"/>
    </row>
    <row r="536">
      <c r="B536" s="6"/>
      <c r="F536" s="7"/>
    </row>
    <row r="537">
      <c r="B537" s="6"/>
      <c r="F537" s="7"/>
    </row>
    <row r="538">
      <c r="B538" s="6"/>
      <c r="F538" s="7"/>
    </row>
    <row r="539">
      <c r="B539" s="6"/>
      <c r="F539" s="7"/>
    </row>
    <row r="540">
      <c r="B540" s="6"/>
      <c r="F540" s="7"/>
    </row>
    <row r="541">
      <c r="B541" s="6"/>
      <c r="F541" s="7"/>
    </row>
    <row r="542">
      <c r="B542" s="6"/>
      <c r="F542" s="7"/>
    </row>
    <row r="543">
      <c r="B543" s="6"/>
      <c r="F543" s="7"/>
    </row>
    <row r="544">
      <c r="B544" s="6"/>
      <c r="F544" s="7"/>
    </row>
    <row r="545">
      <c r="B545" s="6"/>
      <c r="F545" s="7"/>
    </row>
    <row r="546">
      <c r="B546" s="6"/>
      <c r="F546" s="7"/>
    </row>
    <row r="547">
      <c r="B547" s="6"/>
      <c r="F547" s="7"/>
    </row>
    <row r="548">
      <c r="B548" s="6"/>
      <c r="F548" s="7"/>
    </row>
    <row r="549">
      <c r="B549" s="6"/>
      <c r="F549" s="7"/>
    </row>
    <row r="550">
      <c r="B550" s="6"/>
      <c r="F550" s="7"/>
    </row>
    <row r="551">
      <c r="B551" s="6"/>
      <c r="F551" s="7"/>
    </row>
    <row r="552">
      <c r="B552" s="6"/>
      <c r="F552" s="7"/>
    </row>
    <row r="553">
      <c r="B553" s="6"/>
      <c r="F553" s="7"/>
    </row>
    <row r="554">
      <c r="B554" s="6"/>
      <c r="F554" s="7"/>
    </row>
    <row r="555">
      <c r="B555" s="6"/>
      <c r="F555" s="7"/>
    </row>
    <row r="556">
      <c r="B556" s="6"/>
      <c r="F556" s="7"/>
    </row>
    <row r="557">
      <c r="B557" s="6"/>
      <c r="F557" s="7"/>
    </row>
    <row r="558">
      <c r="B558" s="6"/>
      <c r="F558" s="7"/>
    </row>
    <row r="559">
      <c r="B559" s="6"/>
      <c r="F559" s="7"/>
    </row>
    <row r="560">
      <c r="B560" s="6"/>
      <c r="F560" s="7"/>
    </row>
    <row r="561">
      <c r="B561" s="6"/>
      <c r="F561" s="7"/>
    </row>
    <row r="562">
      <c r="B562" s="6"/>
      <c r="F562" s="7"/>
    </row>
    <row r="563">
      <c r="B563" s="6"/>
      <c r="F563" s="7"/>
    </row>
    <row r="564">
      <c r="B564" s="6"/>
      <c r="F564" s="7"/>
    </row>
    <row r="565">
      <c r="B565" s="6"/>
      <c r="F565" s="7"/>
    </row>
    <row r="566">
      <c r="B566" s="6"/>
      <c r="F566" s="7"/>
    </row>
    <row r="567">
      <c r="B567" s="6"/>
      <c r="F567" s="7"/>
    </row>
    <row r="568">
      <c r="B568" s="6"/>
      <c r="F568" s="7"/>
    </row>
    <row r="569">
      <c r="B569" s="6"/>
      <c r="F569" s="7"/>
    </row>
    <row r="570">
      <c r="B570" s="6"/>
      <c r="F570" s="7"/>
    </row>
    <row r="571">
      <c r="B571" s="6"/>
      <c r="F571" s="7"/>
    </row>
    <row r="572">
      <c r="B572" s="6"/>
      <c r="F572" s="7"/>
    </row>
    <row r="573">
      <c r="B573" s="6"/>
      <c r="F573" s="7"/>
    </row>
    <row r="574">
      <c r="B574" s="6"/>
      <c r="F574" s="7"/>
    </row>
    <row r="575">
      <c r="B575" s="6"/>
      <c r="F575" s="7"/>
    </row>
    <row r="576">
      <c r="B576" s="6"/>
      <c r="F576" s="7"/>
    </row>
    <row r="577">
      <c r="B577" s="6"/>
      <c r="F577" s="7"/>
    </row>
    <row r="578">
      <c r="B578" s="6"/>
      <c r="F578" s="7"/>
    </row>
    <row r="579">
      <c r="B579" s="6"/>
      <c r="F579" s="7"/>
    </row>
    <row r="580">
      <c r="B580" s="6"/>
      <c r="F580" s="7"/>
    </row>
    <row r="581">
      <c r="B581" s="6"/>
      <c r="F581" s="7"/>
    </row>
    <row r="582">
      <c r="B582" s="6"/>
      <c r="F582" s="7"/>
    </row>
    <row r="583">
      <c r="B583" s="6"/>
      <c r="F583" s="7"/>
    </row>
    <row r="584">
      <c r="B584" s="6"/>
      <c r="F584" s="7"/>
    </row>
    <row r="585">
      <c r="B585" s="6"/>
      <c r="F585" s="7"/>
    </row>
    <row r="586">
      <c r="B586" s="6"/>
      <c r="F586" s="7"/>
    </row>
    <row r="587">
      <c r="B587" s="6"/>
      <c r="F587" s="7"/>
    </row>
    <row r="588">
      <c r="B588" s="6"/>
      <c r="F588" s="7"/>
    </row>
    <row r="589">
      <c r="B589" s="6"/>
      <c r="F589" s="7"/>
    </row>
    <row r="590">
      <c r="B590" s="6"/>
      <c r="F590" s="7"/>
    </row>
    <row r="591">
      <c r="B591" s="6"/>
      <c r="F591" s="7"/>
    </row>
    <row r="592">
      <c r="B592" s="6"/>
      <c r="F592" s="7"/>
    </row>
    <row r="593">
      <c r="B593" s="6"/>
      <c r="F593" s="7"/>
    </row>
    <row r="594">
      <c r="B594" s="6"/>
      <c r="F594" s="7"/>
    </row>
    <row r="595">
      <c r="B595" s="6"/>
      <c r="F595" s="7"/>
    </row>
    <row r="596">
      <c r="B596" s="6"/>
      <c r="F596" s="7"/>
    </row>
    <row r="597">
      <c r="B597" s="6"/>
      <c r="F597" s="7"/>
    </row>
    <row r="598">
      <c r="B598" s="6"/>
      <c r="F598" s="7"/>
    </row>
    <row r="599">
      <c r="B599" s="6"/>
      <c r="F599" s="7"/>
    </row>
    <row r="600">
      <c r="B600" s="6"/>
      <c r="F600" s="7"/>
    </row>
    <row r="601">
      <c r="B601" s="6"/>
      <c r="F601" s="7"/>
    </row>
    <row r="602">
      <c r="B602" s="6"/>
      <c r="F602" s="7"/>
    </row>
    <row r="603">
      <c r="B603" s="6"/>
      <c r="F603" s="7"/>
    </row>
    <row r="604">
      <c r="B604" s="6"/>
      <c r="F604" s="7"/>
    </row>
    <row r="605">
      <c r="B605" s="6"/>
      <c r="F605" s="7"/>
    </row>
    <row r="606">
      <c r="B606" s="6"/>
      <c r="F606" s="7"/>
    </row>
    <row r="607">
      <c r="B607" s="6"/>
      <c r="F607" s="7"/>
    </row>
    <row r="608">
      <c r="B608" s="6"/>
      <c r="F608" s="7"/>
    </row>
    <row r="609">
      <c r="B609" s="6"/>
      <c r="F609" s="7"/>
    </row>
    <row r="610">
      <c r="B610" s="6"/>
      <c r="F610" s="7"/>
    </row>
    <row r="611">
      <c r="B611" s="6"/>
      <c r="F611" s="7"/>
    </row>
    <row r="612">
      <c r="B612" s="6"/>
      <c r="F612" s="7"/>
    </row>
    <row r="613">
      <c r="B613" s="6"/>
      <c r="F613" s="7"/>
    </row>
    <row r="614">
      <c r="B614" s="6"/>
      <c r="F614" s="7"/>
    </row>
    <row r="615">
      <c r="B615" s="6"/>
      <c r="F615" s="7"/>
    </row>
    <row r="616">
      <c r="B616" s="6"/>
      <c r="F616" s="7"/>
    </row>
    <row r="617">
      <c r="B617" s="6"/>
      <c r="F617" s="7"/>
    </row>
    <row r="618">
      <c r="B618" s="6"/>
      <c r="F618" s="7"/>
    </row>
    <row r="619">
      <c r="B619" s="6"/>
      <c r="F619" s="7"/>
    </row>
    <row r="620">
      <c r="B620" s="6"/>
      <c r="F620" s="7"/>
    </row>
    <row r="621">
      <c r="B621" s="6"/>
      <c r="F621" s="7"/>
    </row>
    <row r="622">
      <c r="B622" s="6"/>
      <c r="F622" s="7"/>
    </row>
    <row r="623">
      <c r="B623" s="6"/>
      <c r="F623" s="7"/>
    </row>
    <row r="624">
      <c r="B624" s="6"/>
      <c r="F624" s="7"/>
    </row>
    <row r="625">
      <c r="B625" s="6"/>
      <c r="F625" s="7"/>
    </row>
    <row r="626">
      <c r="B626" s="6"/>
      <c r="F626" s="7"/>
    </row>
    <row r="627">
      <c r="B627" s="6"/>
      <c r="F627" s="7"/>
    </row>
    <row r="628">
      <c r="B628" s="6"/>
      <c r="F628" s="7"/>
    </row>
    <row r="629">
      <c r="B629" s="6"/>
      <c r="F629" s="7"/>
    </row>
    <row r="630">
      <c r="B630" s="6"/>
      <c r="F630" s="7"/>
    </row>
    <row r="631">
      <c r="B631" s="6"/>
      <c r="F631" s="7"/>
    </row>
    <row r="632">
      <c r="B632" s="6"/>
      <c r="F632" s="7"/>
    </row>
    <row r="633">
      <c r="B633" s="6"/>
      <c r="F633" s="7"/>
    </row>
    <row r="634">
      <c r="B634" s="6"/>
      <c r="F634" s="7"/>
    </row>
    <row r="635">
      <c r="B635" s="6"/>
      <c r="F635" s="7"/>
    </row>
    <row r="636">
      <c r="B636" s="6"/>
      <c r="F636" s="7"/>
    </row>
    <row r="637">
      <c r="B637" s="6"/>
      <c r="F637" s="7"/>
    </row>
    <row r="638">
      <c r="B638" s="6"/>
      <c r="F638" s="7"/>
    </row>
    <row r="639">
      <c r="B639" s="6"/>
      <c r="F639" s="7"/>
    </row>
    <row r="640">
      <c r="B640" s="6"/>
      <c r="F640" s="7"/>
    </row>
    <row r="641">
      <c r="B641" s="6"/>
      <c r="F641" s="7"/>
    </row>
    <row r="642">
      <c r="B642" s="6"/>
      <c r="F642" s="7"/>
    </row>
    <row r="643">
      <c r="B643" s="6"/>
      <c r="F643" s="7"/>
    </row>
    <row r="644">
      <c r="B644" s="6"/>
      <c r="F644" s="7"/>
    </row>
    <row r="645">
      <c r="B645" s="6"/>
      <c r="F645" s="7"/>
    </row>
    <row r="646">
      <c r="B646" s="6"/>
      <c r="F646" s="7"/>
    </row>
    <row r="647">
      <c r="B647" s="6"/>
      <c r="F647" s="7"/>
    </row>
    <row r="648">
      <c r="B648" s="6"/>
      <c r="F648" s="7"/>
    </row>
    <row r="649">
      <c r="B649" s="6"/>
      <c r="F649" s="7"/>
    </row>
    <row r="650">
      <c r="B650" s="6"/>
      <c r="F650" s="7"/>
    </row>
    <row r="651">
      <c r="B651" s="6"/>
      <c r="F651" s="7"/>
    </row>
    <row r="652">
      <c r="B652" s="6"/>
      <c r="F652" s="7"/>
    </row>
    <row r="653">
      <c r="B653" s="6"/>
      <c r="F653" s="7"/>
    </row>
    <row r="654">
      <c r="B654" s="6"/>
      <c r="F654" s="7"/>
    </row>
    <row r="655">
      <c r="B655" s="6"/>
      <c r="F655" s="7"/>
    </row>
    <row r="656">
      <c r="B656" s="6"/>
      <c r="F656" s="7"/>
    </row>
    <row r="657">
      <c r="B657" s="6"/>
      <c r="F657" s="7"/>
    </row>
    <row r="658">
      <c r="B658" s="6"/>
      <c r="F658" s="7"/>
    </row>
    <row r="659">
      <c r="B659" s="6"/>
      <c r="F659" s="7"/>
    </row>
    <row r="660">
      <c r="B660" s="6"/>
      <c r="F660" s="7"/>
    </row>
    <row r="661">
      <c r="B661" s="6"/>
      <c r="F661" s="7"/>
    </row>
    <row r="662">
      <c r="B662" s="6"/>
      <c r="F662" s="7"/>
    </row>
    <row r="663">
      <c r="B663" s="6"/>
      <c r="F663" s="7"/>
    </row>
    <row r="664">
      <c r="B664" s="6"/>
      <c r="F664" s="7"/>
    </row>
    <row r="665">
      <c r="B665" s="6"/>
      <c r="F665" s="7"/>
    </row>
    <row r="666">
      <c r="B666" s="6"/>
      <c r="F666" s="7"/>
    </row>
    <row r="667">
      <c r="B667" s="6"/>
      <c r="F667" s="7"/>
    </row>
    <row r="668">
      <c r="B668" s="6"/>
      <c r="F668" s="7"/>
    </row>
    <row r="669">
      <c r="B669" s="6"/>
      <c r="F669" s="7"/>
    </row>
    <row r="670">
      <c r="B670" s="6"/>
      <c r="F670" s="7"/>
    </row>
    <row r="671">
      <c r="B671" s="6"/>
      <c r="F671" s="7"/>
    </row>
    <row r="672">
      <c r="B672" s="6"/>
      <c r="F672" s="7"/>
    </row>
    <row r="673">
      <c r="B673" s="6"/>
      <c r="F673" s="7"/>
    </row>
    <row r="674">
      <c r="B674" s="6"/>
      <c r="F674" s="7"/>
    </row>
    <row r="675">
      <c r="B675" s="6"/>
      <c r="F675" s="7"/>
    </row>
    <row r="676">
      <c r="B676" s="6"/>
      <c r="F676" s="7"/>
    </row>
    <row r="677">
      <c r="B677" s="6"/>
      <c r="F677" s="7"/>
    </row>
    <row r="678">
      <c r="B678" s="6"/>
      <c r="F678" s="7"/>
    </row>
    <row r="679">
      <c r="B679" s="6"/>
      <c r="F679" s="7"/>
    </row>
    <row r="680">
      <c r="B680" s="6"/>
      <c r="F680" s="7"/>
    </row>
    <row r="681">
      <c r="B681" s="6"/>
      <c r="F681" s="7"/>
    </row>
    <row r="682">
      <c r="B682" s="6"/>
      <c r="F682" s="7"/>
    </row>
    <row r="683">
      <c r="B683" s="6"/>
      <c r="F683" s="7"/>
    </row>
    <row r="684">
      <c r="B684" s="6"/>
      <c r="F684" s="7"/>
    </row>
    <row r="685">
      <c r="B685" s="6"/>
      <c r="F685" s="7"/>
    </row>
    <row r="686">
      <c r="B686" s="6"/>
      <c r="F686" s="7"/>
    </row>
    <row r="687">
      <c r="B687" s="6"/>
      <c r="F687" s="7"/>
    </row>
    <row r="688">
      <c r="B688" s="6"/>
      <c r="F688" s="7"/>
    </row>
    <row r="689">
      <c r="B689" s="6"/>
      <c r="F689" s="7"/>
    </row>
    <row r="690">
      <c r="B690" s="6"/>
      <c r="F690" s="7"/>
    </row>
    <row r="691">
      <c r="B691" s="6"/>
      <c r="F691" s="7"/>
    </row>
    <row r="692">
      <c r="B692" s="6"/>
      <c r="F692" s="7"/>
    </row>
    <row r="693">
      <c r="B693" s="6"/>
      <c r="F693" s="7"/>
    </row>
    <row r="694">
      <c r="B694" s="6"/>
      <c r="F694" s="7"/>
    </row>
    <row r="695">
      <c r="B695" s="6"/>
      <c r="F695" s="7"/>
    </row>
    <row r="696">
      <c r="B696" s="6"/>
      <c r="F696" s="7"/>
    </row>
    <row r="697">
      <c r="B697" s="6"/>
      <c r="F697" s="7"/>
    </row>
    <row r="698">
      <c r="B698" s="6"/>
      <c r="F698" s="7"/>
    </row>
    <row r="699">
      <c r="B699" s="6"/>
      <c r="F699" s="7"/>
    </row>
    <row r="700">
      <c r="B700" s="6"/>
      <c r="F700" s="7"/>
    </row>
    <row r="701">
      <c r="B701" s="6"/>
      <c r="F701" s="7"/>
    </row>
    <row r="702">
      <c r="B702" s="6"/>
      <c r="F702" s="7"/>
    </row>
    <row r="703">
      <c r="B703" s="6"/>
      <c r="F703" s="7"/>
    </row>
    <row r="704">
      <c r="B704" s="6"/>
      <c r="F704" s="7"/>
    </row>
    <row r="705">
      <c r="B705" s="6"/>
      <c r="F705" s="7"/>
    </row>
    <row r="706">
      <c r="B706" s="6"/>
      <c r="F706" s="7"/>
    </row>
    <row r="707">
      <c r="B707" s="6"/>
      <c r="F707" s="7"/>
    </row>
    <row r="708">
      <c r="B708" s="6"/>
      <c r="F708" s="7"/>
    </row>
    <row r="709">
      <c r="B709" s="6"/>
      <c r="F709" s="7"/>
    </row>
    <row r="710">
      <c r="B710" s="6"/>
      <c r="F710" s="7"/>
    </row>
    <row r="711">
      <c r="B711" s="6"/>
      <c r="F711" s="7"/>
    </row>
    <row r="712">
      <c r="B712" s="6"/>
      <c r="F712" s="7"/>
    </row>
    <row r="713">
      <c r="B713" s="6"/>
      <c r="F713" s="7"/>
    </row>
    <row r="714">
      <c r="B714" s="6"/>
      <c r="F714" s="7"/>
    </row>
    <row r="715">
      <c r="B715" s="6"/>
      <c r="F715" s="7"/>
    </row>
    <row r="716">
      <c r="B716" s="6"/>
      <c r="F716" s="7"/>
    </row>
    <row r="717">
      <c r="B717" s="6"/>
      <c r="F717" s="7"/>
    </row>
    <row r="718">
      <c r="B718" s="6"/>
      <c r="F718" s="7"/>
    </row>
    <row r="719">
      <c r="B719" s="6"/>
      <c r="F719" s="7"/>
    </row>
    <row r="720">
      <c r="B720" s="6"/>
      <c r="F720" s="7"/>
    </row>
    <row r="721">
      <c r="B721" s="6"/>
      <c r="F721" s="7"/>
    </row>
    <row r="722">
      <c r="B722" s="6"/>
      <c r="F722" s="7"/>
    </row>
    <row r="723">
      <c r="B723" s="6"/>
      <c r="F723" s="7"/>
    </row>
    <row r="724">
      <c r="B724" s="6"/>
      <c r="F724" s="7"/>
    </row>
    <row r="725">
      <c r="B725" s="6"/>
      <c r="F725" s="7"/>
    </row>
    <row r="726">
      <c r="B726" s="6"/>
      <c r="F726" s="7"/>
    </row>
    <row r="727">
      <c r="B727" s="6"/>
      <c r="F727" s="7"/>
    </row>
    <row r="728">
      <c r="B728" s="6"/>
      <c r="F728" s="7"/>
    </row>
    <row r="729">
      <c r="B729" s="6"/>
      <c r="F729" s="7"/>
    </row>
    <row r="730">
      <c r="B730" s="6"/>
      <c r="F730" s="7"/>
    </row>
    <row r="731">
      <c r="B731" s="6"/>
      <c r="F731" s="7"/>
    </row>
    <row r="732">
      <c r="B732" s="6"/>
      <c r="F732" s="7"/>
    </row>
    <row r="733">
      <c r="B733" s="6"/>
      <c r="F733" s="7"/>
    </row>
    <row r="734">
      <c r="B734" s="6"/>
      <c r="F734" s="7"/>
    </row>
    <row r="735">
      <c r="B735" s="6"/>
      <c r="F735" s="7"/>
    </row>
    <row r="736">
      <c r="B736" s="6"/>
      <c r="F736" s="7"/>
    </row>
    <row r="737">
      <c r="B737" s="6"/>
      <c r="F737" s="7"/>
    </row>
    <row r="738">
      <c r="B738" s="6"/>
      <c r="F738" s="7"/>
    </row>
    <row r="739">
      <c r="B739" s="6"/>
      <c r="F739" s="7"/>
    </row>
    <row r="740">
      <c r="B740" s="6"/>
      <c r="F740" s="7"/>
    </row>
    <row r="741">
      <c r="B741" s="6"/>
      <c r="F741" s="7"/>
    </row>
    <row r="742">
      <c r="B742" s="6"/>
      <c r="F742" s="7"/>
    </row>
    <row r="743">
      <c r="B743" s="6"/>
      <c r="F743" s="7"/>
    </row>
    <row r="744">
      <c r="B744" s="6"/>
      <c r="F744" s="7"/>
    </row>
    <row r="745">
      <c r="B745" s="6"/>
      <c r="F745" s="7"/>
    </row>
    <row r="746">
      <c r="B746" s="6"/>
      <c r="F746" s="7"/>
    </row>
    <row r="747">
      <c r="B747" s="6"/>
      <c r="F747" s="7"/>
    </row>
    <row r="748">
      <c r="B748" s="6"/>
      <c r="F748" s="7"/>
    </row>
    <row r="749">
      <c r="B749" s="6"/>
      <c r="F749" s="7"/>
    </row>
    <row r="750">
      <c r="B750" s="6"/>
      <c r="F750" s="7"/>
    </row>
    <row r="751">
      <c r="B751" s="6"/>
      <c r="F751" s="7"/>
    </row>
    <row r="752">
      <c r="B752" s="6"/>
      <c r="F752" s="7"/>
    </row>
    <row r="753">
      <c r="B753" s="6"/>
      <c r="F753" s="7"/>
    </row>
    <row r="754">
      <c r="B754" s="6"/>
      <c r="F754" s="7"/>
    </row>
    <row r="755">
      <c r="B755" s="6"/>
      <c r="F755" s="7"/>
    </row>
    <row r="756">
      <c r="B756" s="6"/>
      <c r="F756" s="7"/>
    </row>
    <row r="757">
      <c r="B757" s="6"/>
      <c r="F757" s="7"/>
    </row>
    <row r="758">
      <c r="B758" s="6"/>
      <c r="F758" s="7"/>
    </row>
    <row r="759">
      <c r="B759" s="6"/>
      <c r="F759" s="7"/>
    </row>
    <row r="760">
      <c r="B760" s="6"/>
      <c r="F760" s="7"/>
    </row>
    <row r="761">
      <c r="B761" s="6"/>
      <c r="F761" s="7"/>
    </row>
    <row r="762">
      <c r="B762" s="6"/>
      <c r="F762" s="7"/>
    </row>
    <row r="763">
      <c r="B763" s="6"/>
      <c r="F763" s="7"/>
    </row>
    <row r="764">
      <c r="B764" s="6"/>
      <c r="F764" s="7"/>
    </row>
    <row r="765">
      <c r="B765" s="6"/>
      <c r="F765" s="7"/>
    </row>
    <row r="766">
      <c r="B766" s="6"/>
      <c r="F766" s="7"/>
    </row>
    <row r="767">
      <c r="B767" s="6"/>
      <c r="F767" s="7"/>
    </row>
    <row r="768">
      <c r="B768" s="6"/>
      <c r="F768" s="7"/>
    </row>
    <row r="769">
      <c r="B769" s="6"/>
      <c r="F769" s="7"/>
    </row>
    <row r="770">
      <c r="B770" s="6"/>
      <c r="F770" s="7"/>
    </row>
    <row r="771">
      <c r="B771" s="6"/>
      <c r="F771" s="7"/>
    </row>
    <row r="772">
      <c r="B772" s="6"/>
      <c r="F772" s="7"/>
    </row>
    <row r="773">
      <c r="B773" s="6"/>
      <c r="F773" s="7"/>
    </row>
    <row r="774">
      <c r="B774" s="6"/>
      <c r="F774" s="7"/>
    </row>
    <row r="775">
      <c r="B775" s="6"/>
      <c r="F775" s="7"/>
    </row>
    <row r="776">
      <c r="B776" s="6"/>
      <c r="F776" s="7"/>
    </row>
    <row r="777">
      <c r="B777" s="6"/>
      <c r="F777" s="7"/>
    </row>
    <row r="778">
      <c r="B778" s="6"/>
      <c r="F778" s="7"/>
    </row>
    <row r="779">
      <c r="B779" s="6"/>
      <c r="F779" s="7"/>
    </row>
    <row r="780">
      <c r="B780" s="6"/>
      <c r="F780" s="7"/>
    </row>
    <row r="781">
      <c r="B781" s="6"/>
      <c r="F781" s="7"/>
    </row>
    <row r="782">
      <c r="B782" s="6"/>
      <c r="F782" s="7"/>
    </row>
    <row r="783">
      <c r="B783" s="6"/>
      <c r="F783" s="7"/>
    </row>
    <row r="784">
      <c r="B784" s="6"/>
      <c r="F784" s="7"/>
    </row>
    <row r="785">
      <c r="B785" s="6"/>
      <c r="F785" s="7"/>
    </row>
    <row r="786">
      <c r="B786" s="6"/>
      <c r="F786" s="7"/>
    </row>
    <row r="787">
      <c r="B787" s="6"/>
      <c r="F787" s="7"/>
    </row>
    <row r="788">
      <c r="B788" s="6"/>
      <c r="F788" s="7"/>
    </row>
    <row r="789">
      <c r="B789" s="6"/>
      <c r="F789" s="7"/>
    </row>
    <row r="790">
      <c r="B790" s="6"/>
      <c r="F790" s="7"/>
    </row>
    <row r="791">
      <c r="B791" s="6"/>
      <c r="F791" s="7"/>
    </row>
    <row r="792">
      <c r="B792" s="6"/>
      <c r="F792" s="7"/>
    </row>
    <row r="793">
      <c r="B793" s="6"/>
      <c r="F793" s="7"/>
    </row>
    <row r="794">
      <c r="B794" s="6"/>
      <c r="F794" s="7"/>
    </row>
    <row r="795">
      <c r="B795" s="6"/>
      <c r="F795" s="7"/>
    </row>
    <row r="796">
      <c r="B796" s="6"/>
      <c r="F796" s="7"/>
    </row>
    <row r="797">
      <c r="B797" s="6"/>
      <c r="F797" s="7"/>
    </row>
    <row r="798">
      <c r="B798" s="6"/>
      <c r="F798" s="7"/>
    </row>
    <row r="799">
      <c r="B799" s="6"/>
      <c r="F799" s="7"/>
    </row>
    <row r="800">
      <c r="B800" s="6"/>
      <c r="F800" s="7"/>
    </row>
    <row r="801">
      <c r="B801" s="6"/>
      <c r="F801" s="7"/>
    </row>
    <row r="802">
      <c r="B802" s="6"/>
      <c r="F802" s="7"/>
    </row>
    <row r="803">
      <c r="B803" s="6"/>
      <c r="F803" s="7"/>
    </row>
    <row r="804">
      <c r="B804" s="6"/>
      <c r="F804" s="7"/>
    </row>
    <row r="805">
      <c r="B805" s="6"/>
      <c r="F805" s="7"/>
    </row>
    <row r="806">
      <c r="B806" s="6"/>
      <c r="F806" s="7"/>
    </row>
    <row r="807">
      <c r="B807" s="6"/>
      <c r="F807" s="7"/>
    </row>
    <row r="808">
      <c r="B808" s="6"/>
      <c r="F808" s="7"/>
    </row>
    <row r="809">
      <c r="B809" s="6"/>
      <c r="F809" s="7"/>
    </row>
    <row r="810">
      <c r="B810" s="6"/>
      <c r="F810" s="7"/>
    </row>
    <row r="811">
      <c r="B811" s="6"/>
      <c r="F811" s="7"/>
    </row>
    <row r="812">
      <c r="B812" s="6"/>
      <c r="F812" s="7"/>
    </row>
    <row r="813">
      <c r="B813" s="6"/>
      <c r="F813" s="7"/>
    </row>
    <row r="814">
      <c r="B814" s="6"/>
      <c r="F814" s="7"/>
    </row>
    <row r="815">
      <c r="B815" s="6"/>
      <c r="F815" s="7"/>
    </row>
    <row r="816">
      <c r="B816" s="6"/>
      <c r="F816" s="7"/>
    </row>
    <row r="817">
      <c r="B817" s="6"/>
      <c r="F817" s="7"/>
    </row>
    <row r="818">
      <c r="B818" s="6"/>
      <c r="F818" s="7"/>
    </row>
    <row r="819">
      <c r="B819" s="6"/>
      <c r="F819" s="7"/>
    </row>
    <row r="820">
      <c r="B820" s="6"/>
      <c r="F820" s="7"/>
    </row>
    <row r="821">
      <c r="B821" s="6"/>
      <c r="F821" s="7"/>
    </row>
    <row r="822">
      <c r="B822" s="6"/>
      <c r="F822" s="7"/>
    </row>
    <row r="823">
      <c r="B823" s="6"/>
      <c r="F823" s="7"/>
    </row>
    <row r="824">
      <c r="B824" s="6"/>
      <c r="F824" s="7"/>
    </row>
    <row r="825">
      <c r="B825" s="6"/>
      <c r="F825" s="7"/>
    </row>
    <row r="826">
      <c r="B826" s="6"/>
      <c r="F826" s="7"/>
    </row>
    <row r="827">
      <c r="B827" s="6"/>
      <c r="F827" s="7"/>
    </row>
    <row r="828">
      <c r="B828" s="6"/>
      <c r="F828" s="7"/>
    </row>
    <row r="829">
      <c r="B829" s="6"/>
      <c r="F829" s="7"/>
    </row>
    <row r="830">
      <c r="B830" s="6"/>
      <c r="F830" s="7"/>
    </row>
    <row r="831">
      <c r="B831" s="6"/>
      <c r="F831" s="7"/>
    </row>
    <row r="832">
      <c r="B832" s="6"/>
      <c r="F832" s="7"/>
    </row>
    <row r="833">
      <c r="B833" s="6"/>
      <c r="F833" s="7"/>
    </row>
    <row r="834">
      <c r="B834" s="6"/>
      <c r="F834" s="7"/>
    </row>
    <row r="835">
      <c r="B835" s="6"/>
      <c r="F835" s="7"/>
    </row>
    <row r="836">
      <c r="B836" s="6"/>
      <c r="F836" s="7"/>
    </row>
    <row r="837">
      <c r="B837" s="6"/>
      <c r="F837" s="7"/>
    </row>
    <row r="838">
      <c r="B838" s="6"/>
      <c r="F838" s="7"/>
    </row>
    <row r="839">
      <c r="B839" s="6"/>
      <c r="F839" s="7"/>
    </row>
    <row r="840">
      <c r="B840" s="6"/>
      <c r="F840" s="7"/>
    </row>
    <row r="841">
      <c r="B841" s="6"/>
      <c r="F841" s="7"/>
    </row>
    <row r="842">
      <c r="B842" s="6"/>
      <c r="F842" s="7"/>
    </row>
    <row r="843">
      <c r="B843" s="6"/>
      <c r="F843" s="7"/>
    </row>
    <row r="844">
      <c r="B844" s="6"/>
      <c r="F844" s="7"/>
    </row>
    <row r="845">
      <c r="B845" s="6"/>
      <c r="F845" s="7"/>
    </row>
    <row r="846">
      <c r="B846" s="6"/>
      <c r="F846" s="7"/>
    </row>
    <row r="847">
      <c r="B847" s="6"/>
      <c r="F847" s="7"/>
    </row>
    <row r="848">
      <c r="B848" s="6"/>
      <c r="F848" s="7"/>
    </row>
    <row r="849">
      <c r="B849" s="6"/>
      <c r="F849" s="7"/>
    </row>
    <row r="850">
      <c r="B850" s="6"/>
      <c r="F850" s="7"/>
    </row>
    <row r="851">
      <c r="B851" s="6"/>
      <c r="F851" s="7"/>
    </row>
    <row r="852">
      <c r="B852" s="6"/>
      <c r="F852" s="7"/>
    </row>
    <row r="853">
      <c r="B853" s="6"/>
      <c r="F853" s="7"/>
    </row>
    <row r="854">
      <c r="B854" s="6"/>
      <c r="F854" s="7"/>
    </row>
    <row r="855">
      <c r="B855" s="6"/>
      <c r="F855" s="7"/>
    </row>
    <row r="856">
      <c r="B856" s="6"/>
      <c r="F856" s="7"/>
    </row>
    <row r="857">
      <c r="B857" s="6"/>
      <c r="F857" s="7"/>
    </row>
    <row r="858">
      <c r="B858" s="6"/>
      <c r="F858" s="7"/>
    </row>
    <row r="859">
      <c r="B859" s="6"/>
      <c r="F859" s="7"/>
    </row>
    <row r="860">
      <c r="B860" s="6"/>
      <c r="F860" s="7"/>
    </row>
    <row r="861">
      <c r="B861" s="6"/>
      <c r="F861" s="7"/>
    </row>
    <row r="862">
      <c r="B862" s="6"/>
      <c r="F862" s="7"/>
    </row>
    <row r="863">
      <c r="B863" s="6"/>
      <c r="F863" s="7"/>
    </row>
    <row r="864">
      <c r="B864" s="6"/>
      <c r="F864" s="7"/>
    </row>
    <row r="865">
      <c r="B865" s="6"/>
      <c r="F865" s="7"/>
    </row>
    <row r="866">
      <c r="B866" s="6"/>
      <c r="F866" s="7"/>
    </row>
    <row r="867">
      <c r="B867" s="6"/>
      <c r="F867" s="7"/>
    </row>
    <row r="868">
      <c r="B868" s="6"/>
      <c r="F868" s="7"/>
    </row>
    <row r="869">
      <c r="B869" s="6"/>
      <c r="F869" s="7"/>
    </row>
    <row r="870">
      <c r="B870" s="6"/>
      <c r="F870" s="7"/>
    </row>
    <row r="871">
      <c r="B871" s="6"/>
      <c r="F871" s="7"/>
    </row>
    <row r="872">
      <c r="B872" s="6"/>
      <c r="F872" s="7"/>
    </row>
    <row r="873">
      <c r="B873" s="6"/>
      <c r="F873" s="7"/>
    </row>
    <row r="874">
      <c r="B874" s="6"/>
      <c r="F874" s="7"/>
    </row>
    <row r="875">
      <c r="B875" s="6"/>
      <c r="F875" s="7"/>
    </row>
    <row r="876">
      <c r="B876" s="6"/>
      <c r="F876" s="7"/>
    </row>
    <row r="877">
      <c r="B877" s="6"/>
      <c r="F877" s="7"/>
    </row>
    <row r="878">
      <c r="B878" s="6"/>
      <c r="F878" s="7"/>
    </row>
    <row r="879">
      <c r="B879" s="6"/>
      <c r="F879" s="7"/>
    </row>
    <row r="880">
      <c r="B880" s="6"/>
      <c r="F880" s="7"/>
    </row>
    <row r="881">
      <c r="B881" s="6"/>
      <c r="F881" s="7"/>
    </row>
    <row r="882">
      <c r="B882" s="6"/>
      <c r="F882" s="7"/>
    </row>
    <row r="883">
      <c r="B883" s="6"/>
      <c r="F883" s="7"/>
    </row>
    <row r="884">
      <c r="B884" s="6"/>
      <c r="F884" s="7"/>
    </row>
    <row r="885">
      <c r="B885" s="6"/>
      <c r="F885" s="7"/>
    </row>
    <row r="886">
      <c r="B886" s="6"/>
      <c r="F886" s="7"/>
    </row>
    <row r="887">
      <c r="B887" s="6"/>
      <c r="F887" s="7"/>
    </row>
    <row r="888">
      <c r="B888" s="6"/>
      <c r="F888" s="7"/>
    </row>
    <row r="889">
      <c r="B889" s="6"/>
      <c r="F889" s="7"/>
    </row>
    <row r="890">
      <c r="B890" s="6"/>
      <c r="F890" s="7"/>
    </row>
    <row r="891">
      <c r="B891" s="6"/>
      <c r="F891" s="7"/>
    </row>
    <row r="892">
      <c r="B892" s="6"/>
      <c r="F892" s="7"/>
    </row>
    <row r="893">
      <c r="B893" s="6"/>
      <c r="F893" s="7"/>
    </row>
    <row r="894">
      <c r="B894" s="6"/>
      <c r="F894" s="7"/>
    </row>
    <row r="895">
      <c r="B895" s="6"/>
      <c r="F895" s="7"/>
    </row>
    <row r="896">
      <c r="B896" s="6"/>
      <c r="F896" s="7"/>
    </row>
    <row r="897">
      <c r="B897" s="6"/>
      <c r="F897" s="7"/>
    </row>
    <row r="898">
      <c r="B898" s="6"/>
      <c r="F898" s="7"/>
    </row>
    <row r="899">
      <c r="B899" s="6"/>
      <c r="F899" s="7"/>
    </row>
    <row r="900">
      <c r="B900" s="6"/>
      <c r="F900" s="7"/>
    </row>
    <row r="901">
      <c r="B901" s="6"/>
      <c r="F901" s="7"/>
    </row>
    <row r="902">
      <c r="B902" s="6"/>
      <c r="F902" s="7"/>
    </row>
    <row r="903">
      <c r="B903" s="6"/>
      <c r="F903" s="7"/>
    </row>
    <row r="904">
      <c r="B904" s="6"/>
      <c r="F904" s="7"/>
    </row>
    <row r="905">
      <c r="B905" s="6"/>
      <c r="F905" s="7"/>
    </row>
    <row r="906">
      <c r="B906" s="6"/>
      <c r="F906" s="7"/>
    </row>
    <row r="907">
      <c r="B907" s="6"/>
      <c r="F907" s="7"/>
    </row>
    <row r="908">
      <c r="B908" s="6"/>
      <c r="F908" s="7"/>
    </row>
    <row r="909">
      <c r="B909" s="6"/>
      <c r="F909" s="7"/>
    </row>
    <row r="910">
      <c r="B910" s="6"/>
      <c r="F910" s="7"/>
    </row>
    <row r="911">
      <c r="B911" s="6"/>
      <c r="F911" s="7"/>
    </row>
    <row r="912">
      <c r="B912" s="6"/>
      <c r="F912" s="7"/>
    </row>
    <row r="913">
      <c r="B913" s="6"/>
      <c r="F913" s="7"/>
    </row>
    <row r="914">
      <c r="B914" s="6"/>
      <c r="F914" s="7"/>
    </row>
    <row r="915">
      <c r="B915" s="6"/>
      <c r="F915" s="7"/>
    </row>
    <row r="916">
      <c r="B916" s="6"/>
      <c r="F916" s="7"/>
    </row>
    <row r="917">
      <c r="B917" s="6"/>
      <c r="F917" s="7"/>
    </row>
    <row r="918">
      <c r="B918" s="6"/>
      <c r="F918" s="7"/>
    </row>
    <row r="919">
      <c r="B919" s="6"/>
      <c r="F919" s="7"/>
    </row>
    <row r="920">
      <c r="B920" s="6"/>
      <c r="F920" s="7"/>
    </row>
    <row r="921">
      <c r="B921" s="6"/>
      <c r="F921" s="7"/>
    </row>
    <row r="922">
      <c r="B922" s="6"/>
      <c r="F922" s="7"/>
    </row>
    <row r="923">
      <c r="B923" s="6"/>
      <c r="F923" s="7"/>
    </row>
    <row r="924">
      <c r="B924" s="6"/>
      <c r="F924" s="7"/>
    </row>
    <row r="925">
      <c r="B925" s="6"/>
      <c r="F925" s="7"/>
    </row>
    <row r="926">
      <c r="B926" s="6"/>
      <c r="F926" s="7"/>
    </row>
    <row r="927">
      <c r="B927" s="6"/>
      <c r="F927" s="7"/>
    </row>
    <row r="928">
      <c r="B928" s="6"/>
      <c r="F928" s="7"/>
    </row>
    <row r="929">
      <c r="B929" s="6"/>
      <c r="F929" s="7"/>
    </row>
    <row r="930">
      <c r="B930" s="6"/>
      <c r="F930" s="7"/>
    </row>
    <row r="931">
      <c r="B931" s="6"/>
      <c r="F931" s="7"/>
    </row>
    <row r="932">
      <c r="B932" s="6"/>
      <c r="F932" s="7"/>
    </row>
    <row r="933">
      <c r="B933" s="6"/>
      <c r="F933" s="7"/>
    </row>
    <row r="934">
      <c r="B934" s="6"/>
      <c r="F934" s="7"/>
    </row>
    <row r="935">
      <c r="B935" s="6"/>
      <c r="F935" s="7"/>
    </row>
    <row r="936">
      <c r="B936" s="6"/>
      <c r="F936" s="7"/>
    </row>
    <row r="937">
      <c r="B937" s="6"/>
      <c r="F937" s="7"/>
    </row>
    <row r="938">
      <c r="B938" s="6"/>
      <c r="F938" s="7"/>
    </row>
    <row r="939">
      <c r="B939" s="6"/>
      <c r="F939" s="7"/>
    </row>
    <row r="940">
      <c r="B940" s="6"/>
      <c r="F940" s="7"/>
    </row>
    <row r="941">
      <c r="B941" s="6"/>
      <c r="F941" s="7"/>
    </row>
    <row r="942">
      <c r="B942" s="6"/>
      <c r="F942" s="7"/>
    </row>
    <row r="943">
      <c r="B943" s="6"/>
      <c r="F943" s="7"/>
    </row>
    <row r="944">
      <c r="B944" s="6"/>
      <c r="F944" s="7"/>
    </row>
    <row r="945">
      <c r="B945" s="6"/>
      <c r="F945" s="7"/>
    </row>
    <row r="946">
      <c r="B946" s="6"/>
      <c r="F946" s="7"/>
    </row>
    <row r="947">
      <c r="B947" s="6"/>
      <c r="F947" s="7"/>
    </row>
    <row r="948">
      <c r="B948" s="6"/>
      <c r="F948" s="7"/>
    </row>
    <row r="949">
      <c r="B949" s="6"/>
      <c r="F949" s="7"/>
    </row>
    <row r="950">
      <c r="B950" s="6"/>
      <c r="F950" s="7"/>
    </row>
    <row r="951">
      <c r="B951" s="6"/>
      <c r="F951" s="7"/>
    </row>
    <row r="952">
      <c r="B952" s="6"/>
      <c r="F952" s="7"/>
    </row>
    <row r="953">
      <c r="B953" s="6"/>
      <c r="F953" s="7"/>
    </row>
    <row r="954">
      <c r="B954" s="6"/>
      <c r="F954" s="7"/>
    </row>
    <row r="955">
      <c r="B955" s="6"/>
      <c r="F955" s="7"/>
    </row>
    <row r="956">
      <c r="B956" s="6"/>
      <c r="F956" s="7"/>
    </row>
    <row r="957">
      <c r="B957" s="6"/>
      <c r="F957" s="7"/>
    </row>
    <row r="958">
      <c r="B958" s="6"/>
      <c r="F958" s="7"/>
    </row>
    <row r="959">
      <c r="B959" s="6"/>
      <c r="F959" s="7"/>
    </row>
    <row r="960">
      <c r="B960" s="6"/>
      <c r="F960" s="7"/>
    </row>
    <row r="961">
      <c r="B961" s="6"/>
      <c r="F961" s="7"/>
    </row>
    <row r="962">
      <c r="B962" s="6"/>
      <c r="F962" s="7"/>
    </row>
    <row r="963">
      <c r="B963" s="6"/>
      <c r="F963" s="7"/>
    </row>
    <row r="964">
      <c r="B964" s="6"/>
      <c r="F964" s="7"/>
    </row>
    <row r="965">
      <c r="B965" s="6"/>
      <c r="F965" s="7"/>
    </row>
    <row r="966">
      <c r="B966" s="6"/>
      <c r="F966" s="7"/>
    </row>
    <row r="967">
      <c r="B967" s="6"/>
      <c r="F967" s="7"/>
    </row>
    <row r="968">
      <c r="B968" s="6"/>
      <c r="F968" s="7"/>
    </row>
    <row r="969">
      <c r="B969" s="6"/>
      <c r="F969" s="7"/>
    </row>
    <row r="970">
      <c r="B970" s="6"/>
      <c r="F970" s="7"/>
    </row>
    <row r="971">
      <c r="B971" s="6"/>
      <c r="F971" s="7"/>
    </row>
    <row r="972">
      <c r="B972" s="6"/>
      <c r="F972" s="7"/>
    </row>
    <row r="973">
      <c r="B973" s="6"/>
      <c r="F973" s="7"/>
    </row>
    <row r="974">
      <c r="B974" s="6"/>
      <c r="F974" s="7"/>
    </row>
    <row r="975">
      <c r="B975" s="6"/>
      <c r="F975" s="7"/>
    </row>
    <row r="976">
      <c r="B976" s="6"/>
      <c r="F976" s="7"/>
    </row>
    <row r="977">
      <c r="B977" s="6"/>
      <c r="F977" s="7"/>
    </row>
    <row r="978">
      <c r="B978" s="6"/>
      <c r="F978" s="7"/>
    </row>
    <row r="979">
      <c r="B979" s="6"/>
      <c r="F979" s="7"/>
    </row>
    <row r="980">
      <c r="B980" s="6"/>
      <c r="F980" s="7"/>
    </row>
    <row r="981">
      <c r="B981" s="6"/>
      <c r="F981" s="7"/>
    </row>
    <row r="982">
      <c r="B982" s="6"/>
      <c r="F982" s="7"/>
    </row>
    <row r="983">
      <c r="B983" s="6"/>
      <c r="F983" s="7"/>
    </row>
    <row r="984">
      <c r="B984" s="6"/>
      <c r="F984" s="7"/>
    </row>
    <row r="985">
      <c r="B985" s="6"/>
      <c r="F985" s="7"/>
    </row>
    <row r="986">
      <c r="B986" s="6"/>
      <c r="F986" s="7"/>
    </row>
    <row r="987">
      <c r="B987" s="6"/>
      <c r="F987" s="7"/>
    </row>
    <row r="988">
      <c r="B988" s="6"/>
      <c r="F988" s="7"/>
    </row>
    <row r="989">
      <c r="B989" s="6"/>
      <c r="F989" s="7"/>
    </row>
    <row r="990">
      <c r="B990" s="6"/>
      <c r="F990" s="7"/>
    </row>
    <row r="991">
      <c r="B991" s="6"/>
      <c r="F991" s="7"/>
    </row>
    <row r="992">
      <c r="B992" s="6"/>
      <c r="F992" s="7"/>
    </row>
    <row r="993">
      <c r="B993" s="6"/>
      <c r="F993" s="7"/>
    </row>
    <row r="994">
      <c r="B994" s="6"/>
      <c r="F994" s="7"/>
    </row>
    <row r="995">
      <c r="B995" s="6"/>
      <c r="F995" s="7"/>
    </row>
    <row r="996">
      <c r="B996" s="6"/>
      <c r="F996" s="7"/>
    </row>
    <row r="997">
      <c r="B997" s="6"/>
      <c r="F997" s="7"/>
    </row>
    <row r="998">
      <c r="B998" s="6"/>
      <c r="F998" s="7"/>
    </row>
    <row r="999">
      <c r="B999" s="6"/>
      <c r="F999" s="7"/>
    </row>
    <row r="1000">
      <c r="B1000" s="6"/>
      <c r="F1000" s="7"/>
    </row>
  </sheetData>
  <dataValidations>
    <dataValidation type="list" allowBlank="1" showErrorMessage="1" sqref="B2:B1000">
      <formula1>"Pass,Fail"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4.0"/>
    <col customWidth="1" min="2" max="2" width="17.0"/>
    <col customWidth="1" min="3" max="3" width="20.0"/>
    <col customWidth="1" min="4" max="4" width="22.43"/>
    <col customWidth="1" min="7" max="7" width="52.57"/>
  </cols>
  <sheetData>
    <row r="1" ht="22.5" customHeight="1">
      <c r="A1" s="1" t="s">
        <v>0</v>
      </c>
      <c r="B1" s="1" t="s">
        <v>717</v>
      </c>
      <c r="C1" s="1" t="s">
        <v>718</v>
      </c>
      <c r="D1" s="11" t="s">
        <v>7</v>
      </c>
      <c r="E1" s="1" t="s">
        <v>11</v>
      </c>
      <c r="F1" s="1" t="s">
        <v>719</v>
      </c>
      <c r="G1" s="13" t="s">
        <v>720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6" t="str">
        <f>IFERROR(__xludf.DUMMYFUNCTION("FILTER('Phase 1'!A2:A997, LOWER('Phase 1'!J2:J997)=""pass"")"),"Acorn Energy, Inc. (NASDAQCM:ACFN)")</f>
        <v>Acorn Energy, Inc. (NASDAQCM:ACFN)</v>
      </c>
      <c r="B2" s="5" t="s">
        <v>722</v>
      </c>
      <c r="C2" s="14" t="s">
        <v>723</v>
      </c>
      <c r="D2" s="10" t="s">
        <v>724</v>
      </c>
      <c r="E2" s="7"/>
      <c r="F2" s="10">
        <v>20.7</v>
      </c>
      <c r="G2" s="5" t="s">
        <v>725</v>
      </c>
    </row>
    <row r="3">
      <c r="A3" s="6" t="str">
        <f>IFERROR(__xludf.DUMMYFUNCTION("""COMPUTED_VALUE"""),"American Woodmark Corporation (NASDAQGS:AMWD)")</f>
        <v>American Woodmark Corporation (NASDAQGS:AMWD)</v>
      </c>
      <c r="B3" s="5" t="s">
        <v>722</v>
      </c>
      <c r="C3" s="14" t="s">
        <v>723</v>
      </c>
      <c r="D3" s="10" t="s">
        <v>726</v>
      </c>
      <c r="E3" s="7"/>
      <c r="F3" s="10">
        <v>40.75</v>
      </c>
      <c r="G3" s="5" t="s">
        <v>727</v>
      </c>
    </row>
    <row r="4">
      <c r="A4" s="6" t="str">
        <f>IFERROR(__xludf.DUMMYFUNCTION("""COMPUTED_VALUE"""),"Artesian Resources Corporation (NASDAQGS:ARTN.A)")</f>
        <v>Artesian Resources Corporation (NASDAQGS:ARTN.A)</v>
      </c>
      <c r="B4" s="5" t="s">
        <v>728</v>
      </c>
      <c r="C4" s="14" t="s">
        <v>723</v>
      </c>
      <c r="D4" s="10" t="s">
        <v>729</v>
      </c>
      <c r="E4" s="7"/>
      <c r="F4" s="10">
        <v>14.65</v>
      </c>
      <c r="G4" s="5" t="s">
        <v>730</v>
      </c>
    </row>
    <row r="5">
      <c r="A5" s="6" t="str">
        <f>IFERROR(__xludf.DUMMYFUNCTION("""COMPUTED_VALUE"""),"Barrett Business Services, Inc. (NASDAQGS:BBSI)")</f>
        <v>Barrett Business Services, Inc. (NASDAQGS:BBSI)</v>
      </c>
      <c r="B5" s="5" t="s">
        <v>728</v>
      </c>
      <c r="C5" s="14" t="s">
        <v>723</v>
      </c>
      <c r="D5" s="10" t="s">
        <v>731</v>
      </c>
      <c r="E5" s="10" t="s">
        <v>732</v>
      </c>
      <c r="F5" s="10">
        <v>20.37</v>
      </c>
      <c r="G5" s="5" t="s">
        <v>730</v>
      </c>
    </row>
    <row r="6">
      <c r="A6" s="6" t="str">
        <f>IFERROR(__xludf.DUMMYFUNCTION("""COMPUTED_VALUE"""),"Bassett Furniture Industries, Incorporated (NASDAQGS:BSET)")</f>
        <v>Bassett Furniture Industries, Incorporated (NASDAQGS:BSET)</v>
      </c>
      <c r="B6" s="5" t="s">
        <v>722</v>
      </c>
      <c r="C6" s="14" t="s">
        <v>723</v>
      </c>
      <c r="D6" s="10" t="s">
        <v>726</v>
      </c>
      <c r="E6" s="7"/>
      <c r="F6" s="10">
        <v>22.94</v>
      </c>
      <c r="G6" s="5" t="s">
        <v>727</v>
      </c>
    </row>
    <row r="7">
      <c r="A7" s="6" t="str">
        <f>IFERROR(__xludf.DUMMYFUNCTION("""COMPUTED_VALUE"""),"BJ's Restaurants, Inc. (NASDAQGS:BJRI)")</f>
        <v>BJ's Restaurants, Inc. (NASDAQGS:BJRI)</v>
      </c>
      <c r="B7" s="5" t="s">
        <v>722</v>
      </c>
      <c r="C7" s="14" t="s">
        <v>723</v>
      </c>
      <c r="D7" s="10" t="s">
        <v>733</v>
      </c>
      <c r="E7" s="7"/>
      <c r="F7" s="10" t="s">
        <v>734</v>
      </c>
      <c r="G7" s="5" t="s">
        <v>735</v>
      </c>
    </row>
    <row r="8">
      <c r="A8" s="6" t="str">
        <f>IFERROR(__xludf.DUMMYFUNCTION("""COMPUTED_VALUE"""),"Build-A-Bear Workshop, Inc. (NYSE:BBW)")</f>
        <v>Build-A-Bear Workshop, Inc. (NYSE:BBW)</v>
      </c>
      <c r="B8" s="5" t="s">
        <v>728</v>
      </c>
      <c r="C8" s="14" t="s">
        <v>723</v>
      </c>
      <c r="D8" s="10" t="s">
        <v>736</v>
      </c>
      <c r="E8" s="10" t="s">
        <v>737</v>
      </c>
      <c r="F8" s="10">
        <v>7.83</v>
      </c>
      <c r="G8" s="5" t="s">
        <v>735</v>
      </c>
    </row>
    <row r="9">
      <c r="A9" s="6" t="str">
        <f>IFERROR(__xludf.DUMMYFUNCTION("""COMPUTED_VALUE"""),"Carriage Services, Inc. (NYSE:CSV)")</f>
        <v>Carriage Services, Inc. (NYSE:CSV)</v>
      </c>
      <c r="B9" s="5" t="s">
        <v>728</v>
      </c>
      <c r="C9" s="14" t="s">
        <v>723</v>
      </c>
      <c r="D9" s="10" t="s">
        <v>731</v>
      </c>
      <c r="E9" s="7"/>
      <c r="F9" s="10">
        <v>13.65</v>
      </c>
      <c r="G9" s="5" t="s">
        <v>730</v>
      </c>
    </row>
    <row r="10">
      <c r="A10" s="6" t="str">
        <f>IFERROR(__xludf.DUMMYFUNCTION("""COMPUTED_VALUE"""),"Cracker Barrel Old Country Store, Inc. (NASDAQGS:CBRL)")</f>
        <v>Cracker Barrel Old Country Store, Inc. (NASDAQGS:CBRL)</v>
      </c>
      <c r="B10" s="5" t="s">
        <v>722</v>
      </c>
      <c r="C10" s="14" t="s">
        <v>723</v>
      </c>
      <c r="D10" s="10" t="s">
        <v>733</v>
      </c>
      <c r="E10" s="7"/>
      <c r="F10" s="10">
        <v>-176.53</v>
      </c>
      <c r="G10" s="5" t="s">
        <v>735</v>
      </c>
    </row>
    <row r="11">
      <c r="A11" s="6" t="str">
        <f>IFERROR(__xludf.DUMMYFUNCTION("""COMPUTED_VALUE"""),"Cricut, Inc. (NASDAQGS:CRCT)")</f>
        <v>Cricut, Inc. (NASDAQGS:CRCT)</v>
      </c>
      <c r="B11" s="5" t="s">
        <v>728</v>
      </c>
      <c r="C11" s="14" t="s">
        <v>723</v>
      </c>
      <c r="D11" s="10" t="s">
        <v>726</v>
      </c>
      <c r="E11" s="7"/>
      <c r="F11" s="10">
        <v>12.18</v>
      </c>
      <c r="G11" s="5" t="s">
        <v>725</v>
      </c>
    </row>
    <row r="12">
      <c r="A12" s="6" t="str">
        <f>IFERROR(__xludf.DUMMYFUNCTION("""COMPUTED_VALUE"""),"CrossAmerica Partners LP (NYSE:CAPL)")</f>
        <v>CrossAmerica Partners LP (NYSE:CAPL)</v>
      </c>
      <c r="B12" s="6"/>
      <c r="C12" s="7"/>
      <c r="D12" s="10" t="s">
        <v>738</v>
      </c>
      <c r="E12" s="7"/>
      <c r="F12" s="10">
        <v>14.93</v>
      </c>
      <c r="G12" s="5" t="s">
        <v>730</v>
      </c>
    </row>
    <row r="13">
      <c r="A13" s="6" t="str">
        <f>IFERROR(__xludf.DUMMYFUNCTION("""COMPUTED_VALUE"""),"Daily Journal Corporation (NASDAQCM:DJCO)")</f>
        <v>Daily Journal Corporation (NASDAQCM:DJCO)</v>
      </c>
      <c r="B13" s="6"/>
      <c r="C13" s="7"/>
      <c r="D13" s="10" t="s">
        <v>724</v>
      </c>
      <c r="E13" s="7"/>
      <c r="F13" s="10">
        <v>51.22</v>
      </c>
      <c r="G13" s="5" t="s">
        <v>739</v>
      </c>
    </row>
    <row r="14">
      <c r="A14" s="6" t="str">
        <f>IFERROR(__xludf.DUMMYFUNCTION("""COMPUTED_VALUE"""),"Dave &amp; Buster's Entertainment, Inc. (NASDAQGS:PLAY)")</f>
        <v>Dave &amp; Buster's Entertainment, Inc. (NASDAQGS:PLAY)</v>
      </c>
      <c r="B14" s="6"/>
      <c r="C14" s="7"/>
      <c r="D14" s="10" t="s">
        <v>740</v>
      </c>
      <c r="E14" s="7"/>
      <c r="F14" s="10">
        <v>280.0</v>
      </c>
      <c r="G14" s="5" t="s">
        <v>735</v>
      </c>
    </row>
    <row r="15">
      <c r="A15" s="6" t="str">
        <f>IFERROR(__xludf.DUMMYFUNCTION("""COMPUTED_VALUE"""),"Dine Brands Global, Inc. (NYSE:DIN)")</f>
        <v>Dine Brands Global, Inc. (NYSE:DIN)</v>
      </c>
      <c r="B15" s="6"/>
      <c r="C15" s="7"/>
      <c r="D15" s="10" t="s">
        <v>733</v>
      </c>
      <c r="E15" s="7"/>
      <c r="F15" s="10">
        <v>25.6</v>
      </c>
      <c r="G15" s="5" t="s">
        <v>735</v>
      </c>
    </row>
    <row r="16">
      <c r="A16" s="6" t="str">
        <f>IFERROR(__xludf.DUMMYFUNCTION("""COMPUTED_VALUE"""),"Douglas Dynamics, Inc. (NYSE:PLOW)")</f>
        <v>Douglas Dynamics, Inc. (NYSE:PLOW)</v>
      </c>
      <c r="B16" s="6"/>
      <c r="C16" s="7"/>
      <c r="D16" s="10" t="s">
        <v>741</v>
      </c>
      <c r="E16" s="7"/>
      <c r="F16" s="10">
        <v>20.03</v>
      </c>
      <c r="G16" s="5" t="s">
        <v>727</v>
      </c>
    </row>
    <row r="17">
      <c r="A17" s="6" t="str">
        <f>IFERROR(__xludf.DUMMYFUNCTION("""COMPUTED_VALUE"""),"El Pollo Loco Holdings, Inc. (NASDAQGS:LOCO)")</f>
        <v>El Pollo Loco Holdings, Inc. (NASDAQGS:LOCO)</v>
      </c>
      <c r="B17" s="6"/>
      <c r="C17" s="7"/>
      <c r="D17" s="10" t="s">
        <v>733</v>
      </c>
      <c r="E17" s="7"/>
      <c r="F17" s="10">
        <v>14.1</v>
      </c>
      <c r="G17" s="5" t="s">
        <v>735</v>
      </c>
    </row>
    <row r="18">
      <c r="A18" s="6" t="str">
        <f>IFERROR(__xludf.DUMMYFUNCTION("""COMPUTED_VALUE"""),"Electro-Sensors, Inc. (NASDAQCM:ELSE)")</f>
        <v>Electro-Sensors, Inc. (NASDAQCM:ELSE)</v>
      </c>
      <c r="B18" s="6"/>
      <c r="C18" s="7"/>
      <c r="D18" s="10" t="s">
        <v>741</v>
      </c>
      <c r="E18" s="7"/>
      <c r="F18" s="10">
        <v>95.75</v>
      </c>
      <c r="G18" s="5" t="s">
        <v>742</v>
      </c>
    </row>
    <row r="19">
      <c r="A19" s="6" t="str">
        <f>IFERROR(__xludf.DUMMYFUNCTION("""COMPUTED_VALUE"""),"Emerald Holding, Inc. (NYSE:EEX)")</f>
        <v>Emerald Holding, Inc. (NYSE:EEX)</v>
      </c>
      <c r="B19" s="6"/>
      <c r="C19" s="7"/>
      <c r="D19" s="10" t="s">
        <v>731</v>
      </c>
      <c r="E19" s="7"/>
      <c r="F19" s="10">
        <v>-26.16</v>
      </c>
      <c r="G19" s="5" t="s">
        <v>727</v>
      </c>
    </row>
    <row r="20">
      <c r="A20" s="6" t="str">
        <f>IFERROR(__xludf.DUMMYFUNCTION("""COMPUTED_VALUE"""),"Energy Recovery, Inc. (NASDAQGS:ERII)")</f>
        <v>Energy Recovery, Inc. (NASDAQGS:ERII)</v>
      </c>
      <c r="B20" s="6"/>
      <c r="C20" s="7"/>
      <c r="D20" s="10" t="s">
        <v>741</v>
      </c>
      <c r="E20" s="7"/>
      <c r="F20" s="10">
        <v>21.65</v>
      </c>
      <c r="G20" s="5" t="s">
        <v>743</v>
      </c>
    </row>
    <row r="21">
      <c r="A21" s="6" t="str">
        <f>IFERROR(__xludf.DUMMYFUNCTION("""COMPUTED_VALUE"""),"Energy Services of America Corporation (NASDAQCM:ESOA)")</f>
        <v>Energy Services of America Corporation (NASDAQCM:ESOA)</v>
      </c>
      <c r="B21" s="6"/>
      <c r="C21" s="7"/>
      <c r="D21" s="10" t="s">
        <v>738</v>
      </c>
      <c r="E21" s="7"/>
      <c r="F21" s="10">
        <v>27.13</v>
      </c>
      <c r="G21" s="5" t="s">
        <v>727</v>
      </c>
    </row>
    <row r="22">
      <c r="A22" s="6" t="str">
        <f>IFERROR(__xludf.DUMMYFUNCTION("""COMPUTED_VALUE"""),"Ethan Allen Interiors Inc. (NYSE:ETD)")</f>
        <v>Ethan Allen Interiors Inc. (NYSE:ETD)</v>
      </c>
      <c r="B22" s="6"/>
      <c r="C22" s="7"/>
      <c r="D22" s="10" t="s">
        <v>726</v>
      </c>
      <c r="E22" s="7"/>
      <c r="F22" s="10">
        <v>13.08</v>
      </c>
      <c r="G22" s="5" t="s">
        <v>727</v>
      </c>
    </row>
    <row r="23">
      <c r="A23" s="6" t="str">
        <f>IFERROR(__xludf.DUMMYFUNCTION("""COMPUTED_VALUE"""),"Farmland Partners Inc. (NYSE:FPI)")</f>
        <v>Farmland Partners Inc. (NYSE:FPI)</v>
      </c>
      <c r="B23" s="6"/>
      <c r="C23" s="7"/>
      <c r="D23" s="10" t="s">
        <v>744</v>
      </c>
      <c r="E23" s="7"/>
      <c r="F23" s="10">
        <v>17.51</v>
      </c>
      <c r="G23" s="5" t="s">
        <v>745</v>
      </c>
    </row>
    <row r="24">
      <c r="A24" s="6" t="str">
        <f>IFERROR(__xludf.DUMMYFUNCTION("""COMPUTED_VALUE"""),"FitLife Brands, Inc. (NASDAQCM:FTLF)")</f>
        <v>FitLife Brands, Inc. (NASDAQCM:FTLF)</v>
      </c>
      <c r="B24" s="6"/>
      <c r="C24" s="7"/>
      <c r="D24" s="10" t="s">
        <v>726</v>
      </c>
      <c r="E24" s="7"/>
      <c r="F24" s="10">
        <v>15.42</v>
      </c>
      <c r="G24" s="5" t="s">
        <v>743</v>
      </c>
    </row>
    <row r="25">
      <c r="A25" s="6" t="str">
        <f>IFERROR(__xludf.DUMMYFUNCTION("""COMPUTED_VALUE"""),"FONAR Corporation (NASDAQCM:FONR)")</f>
        <v>FONAR Corporation (NASDAQCM:FONR)</v>
      </c>
      <c r="B25" s="6"/>
      <c r="C25" s="7"/>
      <c r="D25" s="10" t="s">
        <v>746</v>
      </c>
      <c r="E25" s="7"/>
      <c r="F25" s="10" t="s">
        <v>734</v>
      </c>
      <c r="G25" s="5" t="s">
        <v>730</v>
      </c>
    </row>
    <row r="26">
      <c r="A26" s="6" t="str">
        <f>IFERROR(__xludf.DUMMYFUNCTION("""COMPUTED_VALUE"""),"Fox Factory Holding Corp. (NASDAQGS:FOXF)")</f>
        <v>Fox Factory Holding Corp. (NASDAQGS:FOXF)</v>
      </c>
      <c r="B26" s="6"/>
      <c r="C26" s="7"/>
      <c r="D26" s="10" t="s">
        <v>726</v>
      </c>
      <c r="E26" s="7"/>
      <c r="F26" s="10">
        <v>-2.43</v>
      </c>
      <c r="G26" s="5" t="s">
        <v>727</v>
      </c>
    </row>
    <row r="27">
      <c r="A27" s="6" t="str">
        <f>IFERROR(__xludf.DUMMYFUNCTION("""COMPUTED_VALUE"""),"Friedman Industries, Incorporated (NASDAQGS:FRD)")</f>
        <v>Friedman Industries, Incorporated (NASDAQGS:FRD)</v>
      </c>
      <c r="B27" s="6"/>
      <c r="C27" s="7"/>
      <c r="D27" s="10" t="s">
        <v>741</v>
      </c>
      <c r="E27" s="7"/>
      <c r="F27" s="10">
        <v>10.94</v>
      </c>
      <c r="G27" s="5" t="s">
        <v>727</v>
      </c>
    </row>
    <row r="28">
      <c r="A28" s="6" t="str">
        <f>IFERROR(__xludf.DUMMYFUNCTION("""COMPUTED_VALUE"""),"FRP Holdings, Inc. (NASDAQGS:FRPH)")</f>
        <v>FRP Holdings, Inc. (NASDAQGS:FRPH)</v>
      </c>
      <c r="B28" s="6"/>
      <c r="C28" s="7"/>
      <c r="D28" s="10" t="s">
        <v>744</v>
      </c>
      <c r="E28" s="7"/>
      <c r="F28" s="10">
        <v>470.8</v>
      </c>
      <c r="G28" s="5" t="s">
        <v>745</v>
      </c>
    </row>
    <row r="29">
      <c r="A29" s="6" t="str">
        <f>IFERROR(__xludf.DUMMYFUNCTION("""COMPUTED_VALUE"""),"GEN Restaurant Group, Inc. (NASDAQGM:GENK)")</f>
        <v>GEN Restaurant Group, Inc. (NASDAQGM:GENK)</v>
      </c>
      <c r="B29" s="6"/>
      <c r="C29" s="7"/>
      <c r="D29" s="10" t="s">
        <v>733</v>
      </c>
      <c r="E29" s="7"/>
      <c r="F29" s="10">
        <v>-2.56</v>
      </c>
      <c r="G29" s="5" t="s">
        <v>735</v>
      </c>
    </row>
    <row r="30">
      <c r="A30" s="6" t="str">
        <f>IFERROR(__xludf.DUMMYFUNCTION("""COMPUTED_VALUE"""),"Genie Energy Ltd. (NYSE:GNE)")</f>
        <v>Genie Energy Ltd. (NYSE:GNE)</v>
      </c>
      <c r="B30" s="6"/>
      <c r="C30" s="7"/>
      <c r="D30" s="10" t="s">
        <v>738</v>
      </c>
      <c r="E30" s="7"/>
      <c r="F30" s="10">
        <v>22.89</v>
      </c>
      <c r="G30" s="5" t="s">
        <v>739</v>
      </c>
    </row>
    <row r="31">
      <c r="A31" s="6" t="str">
        <f>IFERROR(__xludf.DUMMYFUNCTION("""COMPUTED_VALUE"""),"Gentherm Incorporated (NASDAQGS:THRM)")</f>
        <v>Gentherm Incorporated (NASDAQGS:THRM)</v>
      </c>
      <c r="B31" s="6"/>
      <c r="C31" s="7"/>
      <c r="D31" s="10" t="s">
        <v>741</v>
      </c>
      <c r="E31" s="7"/>
      <c r="F31" s="10">
        <v>49.66</v>
      </c>
      <c r="G31" s="5" t="s">
        <v>727</v>
      </c>
    </row>
    <row r="32">
      <c r="A32" s="6" t="str">
        <f>IFERROR(__xludf.DUMMYFUNCTION("""COMPUTED_VALUE"""),"Global Self Storage, Inc. (NASDAQCM:SELF)")</f>
        <v>Global Self Storage, Inc. (NASDAQCM:SELF)</v>
      </c>
      <c r="B32" s="6"/>
      <c r="C32" s="7"/>
      <c r="D32" s="10" t="s">
        <v>744</v>
      </c>
      <c r="E32" s="7"/>
      <c r="F32" s="10">
        <v>29.82</v>
      </c>
      <c r="G32" s="5" t="s">
        <v>745</v>
      </c>
    </row>
    <row r="33">
      <c r="A33" s="6" t="str">
        <f>IFERROR(__xludf.DUMMYFUNCTION("""COMPUTED_VALUE"""),"Global Water Resources, Inc. (NASDAQGM:GWRS)")</f>
        <v>Global Water Resources, Inc. (NASDAQGM:GWRS)</v>
      </c>
      <c r="B33" s="6"/>
      <c r="C33" s="7"/>
      <c r="D33" s="10" t="s">
        <v>729</v>
      </c>
      <c r="E33" s="7"/>
      <c r="F33" s="10">
        <v>90.5</v>
      </c>
      <c r="G33" s="5" t="s">
        <v>730</v>
      </c>
    </row>
    <row r="34">
      <c r="A34" s="6" t="str">
        <f>IFERROR(__xludf.DUMMYFUNCTION("""COMPUTED_VALUE"""),"Golden Entertainment, Inc. (NASDAQGM:GDEN)")</f>
        <v>Golden Entertainment, Inc. (NASDAQGM:GDEN)</v>
      </c>
      <c r="B34" s="6"/>
      <c r="C34" s="7"/>
      <c r="D34" s="10" t="s">
        <v>740</v>
      </c>
      <c r="E34" s="7"/>
      <c r="F34" s="10">
        <v>129.77</v>
      </c>
      <c r="G34" s="5" t="s">
        <v>735</v>
      </c>
    </row>
    <row r="35">
      <c r="A35" s="6" t="str">
        <f>IFERROR(__xludf.DUMMYFUNCTION("""COMPUTED_VALUE"""),"Good Times Restaurants Inc. (NASDAQCM:GTIM)")</f>
        <v>Good Times Restaurants Inc. (NASDAQCM:GTIM)</v>
      </c>
      <c r="B35" s="5" t="s">
        <v>722</v>
      </c>
      <c r="C35" s="14" t="s">
        <v>723</v>
      </c>
      <c r="D35" s="10" t="s">
        <v>733</v>
      </c>
      <c r="E35" s="10" t="s">
        <v>747</v>
      </c>
      <c r="F35" s="10">
        <v>7.65</v>
      </c>
      <c r="G35" s="5" t="s">
        <v>735</v>
      </c>
    </row>
    <row r="36">
      <c r="A36" s="6" t="str">
        <f>IFERROR(__xludf.DUMMYFUNCTION("""COMPUTED_VALUE"""),"Hamilton Beach Brands Holding Company (NYSE:HBB)")</f>
        <v>Hamilton Beach Brands Holding Company (NYSE:HBB)</v>
      </c>
      <c r="B36" s="5" t="s">
        <v>728</v>
      </c>
      <c r="C36" s="14" t="s">
        <v>723</v>
      </c>
      <c r="D36" s="10" t="s">
        <v>726</v>
      </c>
      <c r="E36" s="7"/>
      <c r="F36" s="10">
        <v>9.35</v>
      </c>
      <c r="G36" s="5" t="s">
        <v>730</v>
      </c>
    </row>
    <row r="37">
      <c r="A37" s="6" t="str">
        <f>IFERROR(__xludf.DUMMYFUNCTION("""COMPUTED_VALUE"""),"Haverty Furniture Companies, Inc. (NYSE:HVT)")</f>
        <v>Haverty Furniture Companies, Inc. (NYSE:HVT)</v>
      </c>
      <c r="B37" s="6"/>
      <c r="C37" s="7"/>
      <c r="D37" s="10" t="s">
        <v>736</v>
      </c>
      <c r="E37" s="7"/>
      <c r="F37" s="10">
        <v>9.43</v>
      </c>
      <c r="G37" s="5" t="s">
        <v>727</v>
      </c>
    </row>
    <row r="38">
      <c r="A38" s="6" t="str">
        <f>IFERROR(__xludf.DUMMYFUNCTION("""COMPUTED_VALUE"""),"Helen of Troy Limited (NASDAQGS:HELE)")</f>
        <v>Helen of Troy Limited (NASDAQGS:HELE)</v>
      </c>
      <c r="B38" s="5" t="s">
        <v>728</v>
      </c>
      <c r="C38" s="14" t="s">
        <v>723</v>
      </c>
      <c r="D38" s="10" t="s">
        <v>726</v>
      </c>
      <c r="E38" s="7"/>
      <c r="F38" s="10">
        <v>-0.7</v>
      </c>
      <c r="G38" s="5" t="s">
        <v>727</v>
      </c>
    </row>
    <row r="39">
      <c r="A39" s="6" t="str">
        <f>IFERROR(__xludf.DUMMYFUNCTION("""COMPUTED_VALUE"""),"Hyster-Yale, Inc. (NYSE:HY)")</f>
        <v>Hyster-Yale, Inc. (NYSE:HY)</v>
      </c>
      <c r="B39" s="6"/>
      <c r="C39" s="7"/>
      <c r="D39" s="10" t="s">
        <v>741</v>
      </c>
      <c r="E39" s="7"/>
      <c r="F39" s="10">
        <v>-6.17</v>
      </c>
      <c r="G39" s="5" t="s">
        <v>727</v>
      </c>
    </row>
    <row r="40">
      <c r="A40" s="6" t="str">
        <f>IFERROR(__xludf.DUMMYFUNCTION("""COMPUTED_VALUE"""),"J.Jill, Inc. (NYSE:JILL)")</f>
        <v>J.Jill, Inc. (NYSE:JILL)</v>
      </c>
      <c r="B40" s="5" t="s">
        <v>728</v>
      </c>
      <c r="C40" s="14" t="s">
        <v>723</v>
      </c>
      <c r="D40" s="10" t="s">
        <v>736</v>
      </c>
      <c r="E40" s="7"/>
      <c r="F40" s="10">
        <v>6.35</v>
      </c>
      <c r="G40" s="5" t="s">
        <v>748</v>
      </c>
    </row>
    <row r="41">
      <c r="A41" s="6" t="str">
        <f>IFERROR(__xludf.DUMMYFUNCTION("""COMPUTED_VALUE"""),"JAKKS Pacific, Inc. (NASDAQGS:JAKK)")</f>
        <v>JAKKS Pacific, Inc. (NASDAQGS:JAKK)</v>
      </c>
      <c r="B41" s="6"/>
      <c r="C41" s="7"/>
      <c r="D41" s="10" t="s">
        <v>726</v>
      </c>
      <c r="E41" s="7"/>
      <c r="F41" s="10">
        <v>30.94</v>
      </c>
    </row>
    <row r="42">
      <c r="A42" s="6" t="str">
        <f>IFERROR(__xludf.DUMMYFUNCTION("""COMPUTED_VALUE"""),"John B. Sanfilippo &amp; Son, Inc. (NASDAQGS:JBSS)")</f>
        <v>John B. Sanfilippo &amp; Son, Inc. (NASDAQGS:JBSS)</v>
      </c>
      <c r="B42" s="6"/>
      <c r="C42" s="7"/>
      <c r="D42" s="10" t="s">
        <v>726</v>
      </c>
      <c r="E42" s="7"/>
      <c r="F42" s="10">
        <v>12.54</v>
      </c>
    </row>
    <row r="43">
      <c r="A43" s="6" t="str">
        <f>IFERROR(__xludf.DUMMYFUNCTION("""COMPUTED_VALUE"""),"Karat Packaging Inc. (NASDAQGS:KRT)")</f>
        <v>Karat Packaging Inc. (NASDAQGS:KRT)</v>
      </c>
      <c r="B43" s="6"/>
      <c r="C43" s="7"/>
      <c r="D43" s="10" t="s">
        <v>726</v>
      </c>
      <c r="E43" s="7"/>
      <c r="F43" s="10">
        <v>18.01</v>
      </c>
    </row>
    <row r="44">
      <c r="A44" s="6" t="str">
        <f>IFERROR(__xludf.DUMMYFUNCTION("""COMPUTED_VALUE"""),"Legacy Housing Corporation (NASDAQGS:LEGH)")</f>
        <v>Legacy Housing Corporation (NASDAQGS:LEGH)</v>
      </c>
      <c r="B44" s="6"/>
      <c r="C44" s="7"/>
      <c r="D44" s="10" t="s">
        <v>726</v>
      </c>
      <c r="E44" s="7"/>
      <c r="F44" s="10">
        <v>13.31</v>
      </c>
    </row>
    <row r="45">
      <c r="A45" s="6" t="str">
        <f>IFERROR(__xludf.DUMMYFUNCTION("""COMPUTED_VALUE"""),"Lifeway Foods, Inc. (NASDAQGM:LWAY)")</f>
        <v>Lifeway Foods, Inc. (NASDAQGM:LWAY)</v>
      </c>
      <c r="B45" s="6"/>
      <c r="C45" s="7"/>
      <c r="D45" s="10" t="s">
        <v>726</v>
      </c>
      <c r="E45" s="7"/>
      <c r="F45" s="10">
        <v>24.58</v>
      </c>
    </row>
    <row r="46">
      <c r="A46" s="6" t="str">
        <f>IFERROR(__xludf.DUMMYFUNCTION("""COMPUTED_VALUE"""),"Lincoln Educational Services Corporation (NASDAQGS:LINC)")</f>
        <v>Lincoln Educational Services Corporation (NASDAQGS:LINC)</v>
      </c>
      <c r="B46" s="6"/>
      <c r="C46" s="7"/>
      <c r="D46" s="10" t="s">
        <v>749</v>
      </c>
      <c r="E46" s="7"/>
      <c r="F46" s="10">
        <v>66.65</v>
      </c>
    </row>
    <row r="47">
      <c r="A47" s="6" t="str">
        <f>IFERROR(__xludf.DUMMYFUNCTION("""COMPUTED_VALUE"""),"Maison Solutions Inc. (NASDAQCM:MSS)")</f>
        <v>Maison Solutions Inc. (NASDAQCM:MSS)</v>
      </c>
      <c r="B47" s="6"/>
      <c r="C47" s="7"/>
      <c r="D47" s="10" t="s">
        <v>736</v>
      </c>
      <c r="E47" s="7"/>
      <c r="F47" s="10">
        <v>-1.94</v>
      </c>
    </row>
    <row r="48">
      <c r="A48" s="6" t="str">
        <f>IFERROR(__xludf.DUMMYFUNCTION("""COMPUTED_VALUE"""),"Malibu Boats, Inc. (NASDAQGM:MBUU)")</f>
        <v>Malibu Boats, Inc. (NASDAQGM:MBUU)</v>
      </c>
      <c r="B48" s="6"/>
      <c r="C48" s="7"/>
      <c r="D48" s="10" t="s">
        <v>726</v>
      </c>
      <c r="E48" s="7"/>
      <c r="F48" s="10">
        <v>-377.0</v>
      </c>
    </row>
    <row r="49">
      <c r="A49" s="6" t="str">
        <f>IFERROR(__xludf.DUMMYFUNCTION("""COMPUTED_VALUE"""),"Mama's Creations, Inc. (NASDAQCM:MAMA)")</f>
        <v>Mama's Creations, Inc. (NASDAQCM:MAMA)</v>
      </c>
      <c r="B49" s="6"/>
      <c r="C49" s="7"/>
      <c r="D49" s="10" t="s">
        <v>726</v>
      </c>
      <c r="E49" s="7"/>
      <c r="F49" s="10">
        <v>137.73</v>
      </c>
    </row>
    <row r="50">
      <c r="A50" s="6" t="str">
        <f>IFERROR(__xludf.DUMMYFUNCTION("""COMPUTED_VALUE"""),"Montauk Renewables, Inc. (NASDAQCM:MNTK)")</f>
        <v>Montauk Renewables, Inc. (NASDAQCM:MNTK)</v>
      </c>
      <c r="B50" s="6"/>
      <c r="C50" s="7"/>
      <c r="D50" s="10" t="s">
        <v>738</v>
      </c>
      <c r="E50" s="7"/>
      <c r="F50" s="10">
        <v>-29.2</v>
      </c>
    </row>
    <row r="51">
      <c r="A51" s="6" t="str">
        <f>IFERROR(__xludf.DUMMYFUNCTION("""COMPUTED_VALUE"""),"Pioneer Power Solutions, Inc. (NASDAQCM:PPSI)")</f>
        <v>Pioneer Power Solutions, Inc. (NASDAQCM:PPSI)</v>
      </c>
      <c r="B51" s="6"/>
      <c r="C51" s="7"/>
      <c r="D51" s="10" t="s">
        <v>741</v>
      </c>
      <c r="E51" s="7"/>
      <c r="F51" s="10">
        <v>-6.18</v>
      </c>
    </row>
    <row r="52">
      <c r="A52" s="6" t="str">
        <f>IFERROR(__xludf.DUMMYFUNCTION("""COMPUTED_VALUE"""),"Saga Communications, Inc. (NASDAQGM:SGA)")</f>
        <v>Saga Communications, Inc. (NASDAQGM:SGA)</v>
      </c>
      <c r="B52" s="6"/>
      <c r="C52" s="7"/>
      <c r="D52" s="10" t="s">
        <v>731</v>
      </c>
      <c r="E52" s="7"/>
      <c r="F52" s="10">
        <v>-6.7</v>
      </c>
    </row>
    <row r="53">
      <c r="A53" s="6" t="str">
        <f>IFERROR(__xludf.DUMMYFUNCTION("""COMPUTED_VALUE"""),"Shoe Carnival, Inc. (NASDAQGS:SCVL)")</f>
        <v>Shoe Carnival, Inc. (NASDAQGS:SCVL)</v>
      </c>
      <c r="B53" s="6"/>
      <c r="C53" s="7"/>
      <c r="D53" s="10" t="s">
        <v>736</v>
      </c>
      <c r="E53" s="7"/>
      <c r="F53" s="10">
        <v>12.1</v>
      </c>
    </row>
    <row r="54">
      <c r="A54" s="6" t="str">
        <f>IFERROR(__xludf.DUMMYFUNCTION("""COMPUTED_VALUE"""),"Shutterstock, Inc. (NYSE:SSTK)")</f>
        <v>Shutterstock, Inc. (NYSE:SSTK)</v>
      </c>
      <c r="B54" s="6"/>
      <c r="C54" s="7"/>
      <c r="D54" s="10" t="s">
        <v>724</v>
      </c>
      <c r="E54" s="7"/>
      <c r="F54" s="10">
        <v>-20.9</v>
      </c>
    </row>
    <row r="55">
      <c r="A55" s="6" t="str">
        <f>IFERROR(__xludf.DUMMYFUNCTION("""COMPUTED_VALUE"""),"Tandy Leather Factory, Inc. (NASDAQCM:TLF)")</f>
        <v>Tandy Leather Factory, Inc. (NASDAQCM:TLF)</v>
      </c>
      <c r="B55" s="6"/>
      <c r="C55" s="7"/>
      <c r="D55" s="10" t="s">
        <v>736</v>
      </c>
      <c r="E55" s="7"/>
      <c r="F55" s="10">
        <v>-10.55</v>
      </c>
    </row>
    <row r="56">
      <c r="A56" s="6" t="str">
        <f>IFERROR(__xludf.DUMMYFUNCTION("""COMPUTED_VALUE"""),"Ultralife Corporation (NASDAQGM:ULBI)")</f>
        <v>Ultralife Corporation (NASDAQGM:ULBI)</v>
      </c>
      <c r="B56" s="6"/>
      <c r="C56" s="7"/>
      <c r="D56" s="10" t="s">
        <v>741</v>
      </c>
      <c r="E56" s="7"/>
      <c r="F56" s="10">
        <v>-0.14</v>
      </c>
    </row>
    <row r="57">
      <c r="A57" s="6" t="str">
        <f>IFERROR(__xludf.DUMMYFUNCTION("""COMPUTED_VALUE"""),"Wabash National Corporation (NYSE:WNC)")</f>
        <v>Wabash National Corporation (NYSE:WNC)</v>
      </c>
      <c r="B57" s="6"/>
      <c r="C57" s="7"/>
      <c r="D57" s="10" t="s">
        <v>741</v>
      </c>
      <c r="E57" s="7"/>
      <c r="F57" s="10">
        <v>-5.24</v>
      </c>
    </row>
    <row r="58">
      <c r="B58" s="6"/>
      <c r="C58" s="7"/>
      <c r="D58" s="7"/>
      <c r="E58" s="7"/>
      <c r="F58" s="7"/>
    </row>
    <row r="59">
      <c r="B59" s="6"/>
      <c r="C59" s="7"/>
      <c r="D59" s="7"/>
      <c r="E59" s="7"/>
      <c r="F59" s="7"/>
    </row>
    <row r="60">
      <c r="B60" s="6"/>
      <c r="C60" s="7"/>
      <c r="D60" s="7"/>
      <c r="E60" s="7"/>
      <c r="F60" s="7"/>
    </row>
    <row r="61">
      <c r="B61" s="6"/>
      <c r="C61" s="7"/>
      <c r="D61" s="7"/>
      <c r="E61" s="7"/>
      <c r="F61" s="7"/>
    </row>
    <row r="62">
      <c r="B62" s="6"/>
      <c r="C62" s="7"/>
      <c r="D62" s="7"/>
      <c r="E62" s="7"/>
      <c r="F62" s="7"/>
    </row>
    <row r="63">
      <c r="B63" s="6"/>
      <c r="C63" s="7"/>
      <c r="D63" s="7"/>
      <c r="E63" s="7"/>
      <c r="F63" s="7"/>
    </row>
    <row r="64">
      <c r="B64" s="6"/>
      <c r="C64" s="7"/>
      <c r="D64" s="7"/>
      <c r="E64" s="7"/>
      <c r="F64" s="7"/>
    </row>
    <row r="65">
      <c r="B65" s="6"/>
      <c r="C65" s="7"/>
      <c r="D65" s="7"/>
      <c r="E65" s="7"/>
      <c r="F65" s="7"/>
    </row>
    <row r="66">
      <c r="B66" s="6"/>
      <c r="C66" s="7"/>
      <c r="D66" s="7"/>
      <c r="E66" s="7"/>
      <c r="F66" s="7"/>
    </row>
    <row r="67">
      <c r="B67" s="6"/>
      <c r="C67" s="7"/>
      <c r="D67" s="7"/>
      <c r="E67" s="7"/>
      <c r="F67" s="7"/>
    </row>
    <row r="68">
      <c r="B68" s="6"/>
      <c r="C68" s="7"/>
      <c r="D68" s="7"/>
      <c r="E68" s="7"/>
      <c r="F68" s="7"/>
    </row>
    <row r="69">
      <c r="B69" s="6"/>
      <c r="C69" s="7"/>
      <c r="D69" s="7"/>
      <c r="E69" s="7"/>
      <c r="F69" s="7"/>
    </row>
    <row r="70">
      <c r="B70" s="6"/>
      <c r="C70" s="7"/>
      <c r="D70" s="7"/>
      <c r="E70" s="7"/>
      <c r="F70" s="7"/>
    </row>
    <row r="71">
      <c r="B71" s="6"/>
      <c r="C71" s="7"/>
      <c r="D71" s="7"/>
      <c r="E71" s="7"/>
      <c r="F71" s="7"/>
    </row>
    <row r="72">
      <c r="B72" s="6"/>
      <c r="C72" s="7"/>
      <c r="D72" s="7"/>
      <c r="E72" s="7"/>
      <c r="F72" s="7"/>
    </row>
    <row r="73">
      <c r="B73" s="6"/>
      <c r="C73" s="7"/>
      <c r="D73" s="7"/>
      <c r="E73" s="7"/>
      <c r="F73" s="7"/>
    </row>
    <row r="74">
      <c r="B74" s="6"/>
      <c r="C74" s="7"/>
      <c r="D74" s="7"/>
      <c r="E74" s="7"/>
      <c r="F74" s="7"/>
    </row>
    <row r="75">
      <c r="B75" s="6"/>
      <c r="C75" s="7"/>
      <c r="D75" s="7"/>
      <c r="E75" s="7"/>
      <c r="F75" s="7"/>
    </row>
    <row r="76">
      <c r="B76" s="6"/>
      <c r="C76" s="7"/>
      <c r="D76" s="7"/>
      <c r="E76" s="7"/>
      <c r="F76" s="7"/>
    </row>
    <row r="77">
      <c r="B77" s="6"/>
      <c r="C77" s="7"/>
      <c r="D77" s="7"/>
      <c r="E77" s="7"/>
      <c r="F77" s="7"/>
    </row>
    <row r="78">
      <c r="B78" s="6"/>
      <c r="C78" s="7"/>
      <c r="D78" s="7"/>
      <c r="E78" s="7"/>
      <c r="F78" s="7"/>
    </row>
    <row r="79">
      <c r="B79" s="6"/>
      <c r="C79" s="7"/>
      <c r="D79" s="7"/>
      <c r="E79" s="7"/>
      <c r="F79" s="7"/>
    </row>
    <row r="80">
      <c r="B80" s="6"/>
      <c r="C80" s="7"/>
      <c r="D80" s="7"/>
      <c r="E80" s="7"/>
      <c r="F80" s="7"/>
    </row>
    <row r="81">
      <c r="B81" s="6"/>
      <c r="C81" s="7"/>
      <c r="D81" s="7"/>
      <c r="E81" s="7"/>
      <c r="F81" s="7"/>
    </row>
    <row r="82">
      <c r="B82" s="6"/>
      <c r="C82" s="7"/>
      <c r="D82" s="7"/>
      <c r="E82" s="7"/>
      <c r="F82" s="7"/>
    </row>
    <row r="83">
      <c r="B83" s="6"/>
      <c r="C83" s="7"/>
      <c r="D83" s="7"/>
      <c r="E83" s="7"/>
      <c r="F83" s="7"/>
    </row>
    <row r="84">
      <c r="B84" s="6"/>
      <c r="C84" s="7"/>
      <c r="D84" s="7"/>
      <c r="E84" s="7"/>
      <c r="F84" s="7"/>
    </row>
    <row r="85">
      <c r="B85" s="6"/>
      <c r="C85" s="7"/>
      <c r="D85" s="7"/>
      <c r="E85" s="7"/>
      <c r="F85" s="7"/>
    </row>
    <row r="86">
      <c r="B86" s="6"/>
      <c r="C86" s="7"/>
      <c r="D86" s="7"/>
      <c r="E86" s="7"/>
      <c r="F86" s="7"/>
    </row>
    <row r="87">
      <c r="B87" s="6"/>
      <c r="C87" s="7"/>
      <c r="D87" s="7"/>
      <c r="E87" s="7"/>
      <c r="F87" s="7"/>
    </row>
    <row r="88">
      <c r="B88" s="6"/>
      <c r="C88" s="7"/>
      <c r="D88" s="7"/>
      <c r="E88" s="7"/>
      <c r="F88" s="7"/>
    </row>
    <row r="89">
      <c r="B89" s="6"/>
      <c r="C89" s="7"/>
      <c r="D89" s="7"/>
      <c r="E89" s="7"/>
      <c r="F89" s="7"/>
    </row>
    <row r="90">
      <c r="B90" s="6"/>
      <c r="C90" s="7"/>
      <c r="D90" s="7"/>
      <c r="E90" s="7"/>
      <c r="F90" s="7"/>
    </row>
    <row r="91">
      <c r="B91" s="6"/>
      <c r="C91" s="7"/>
      <c r="D91" s="7"/>
      <c r="E91" s="7"/>
      <c r="F91" s="7"/>
    </row>
    <row r="92">
      <c r="B92" s="6"/>
      <c r="C92" s="7"/>
      <c r="D92" s="7"/>
      <c r="E92" s="7"/>
      <c r="F92" s="7"/>
    </row>
    <row r="93">
      <c r="B93" s="6"/>
      <c r="C93" s="7"/>
      <c r="D93" s="7"/>
      <c r="E93" s="7"/>
      <c r="F93" s="7"/>
    </row>
    <row r="94">
      <c r="B94" s="6"/>
      <c r="C94" s="7"/>
      <c r="D94" s="7"/>
      <c r="E94" s="7"/>
      <c r="F94" s="7"/>
    </row>
    <row r="95">
      <c r="B95" s="6"/>
      <c r="C95" s="7"/>
      <c r="D95" s="7"/>
      <c r="E95" s="7"/>
      <c r="F95" s="7"/>
    </row>
    <row r="96">
      <c r="B96" s="6"/>
      <c r="C96" s="7"/>
      <c r="D96" s="7"/>
      <c r="E96" s="7"/>
      <c r="F96" s="7"/>
    </row>
    <row r="97">
      <c r="B97" s="6"/>
      <c r="C97" s="7"/>
      <c r="D97" s="7"/>
      <c r="E97" s="7"/>
      <c r="F97" s="7"/>
    </row>
    <row r="98">
      <c r="B98" s="6"/>
      <c r="C98" s="7"/>
      <c r="D98" s="7"/>
      <c r="E98" s="7"/>
      <c r="F98" s="7"/>
    </row>
    <row r="99">
      <c r="B99" s="6"/>
      <c r="C99" s="7"/>
      <c r="D99" s="7"/>
      <c r="E99" s="7"/>
      <c r="F99" s="7"/>
    </row>
    <row r="100">
      <c r="B100" s="6"/>
      <c r="C100" s="7"/>
      <c r="D100" s="7"/>
      <c r="E100" s="7"/>
      <c r="F100" s="7"/>
    </row>
    <row r="101">
      <c r="B101" s="6"/>
      <c r="C101" s="7"/>
      <c r="D101" s="7"/>
      <c r="E101" s="7"/>
      <c r="F101" s="7"/>
    </row>
    <row r="102">
      <c r="B102" s="6"/>
      <c r="C102" s="7"/>
      <c r="D102" s="7"/>
      <c r="E102" s="7"/>
      <c r="F102" s="7"/>
    </row>
    <row r="103">
      <c r="B103" s="6"/>
      <c r="C103" s="7"/>
      <c r="D103" s="7"/>
      <c r="E103" s="7"/>
      <c r="F103" s="7"/>
    </row>
    <row r="104">
      <c r="B104" s="6"/>
      <c r="C104" s="7"/>
      <c r="D104" s="7"/>
      <c r="E104" s="7"/>
      <c r="F104" s="7"/>
    </row>
    <row r="105">
      <c r="B105" s="6"/>
      <c r="C105" s="7"/>
      <c r="D105" s="7"/>
      <c r="E105" s="7"/>
      <c r="F105" s="7"/>
    </row>
    <row r="106">
      <c r="B106" s="6"/>
      <c r="C106" s="7"/>
      <c r="D106" s="7"/>
      <c r="E106" s="7"/>
      <c r="F106" s="7"/>
    </row>
    <row r="107">
      <c r="B107" s="6"/>
      <c r="C107" s="7"/>
      <c r="D107" s="7"/>
      <c r="E107" s="7"/>
      <c r="F107" s="7"/>
    </row>
    <row r="108">
      <c r="B108" s="6"/>
      <c r="C108" s="7"/>
      <c r="D108" s="7"/>
      <c r="E108" s="7"/>
      <c r="F108" s="7"/>
    </row>
    <row r="109">
      <c r="B109" s="6"/>
      <c r="C109" s="7"/>
      <c r="D109" s="7"/>
      <c r="E109" s="7"/>
      <c r="F109" s="7"/>
    </row>
    <row r="110">
      <c r="B110" s="6"/>
      <c r="C110" s="7"/>
      <c r="D110" s="7"/>
      <c r="E110" s="7"/>
      <c r="F110" s="7"/>
    </row>
    <row r="111">
      <c r="B111" s="6"/>
      <c r="C111" s="7"/>
      <c r="D111" s="7"/>
      <c r="E111" s="7"/>
      <c r="F111" s="7"/>
    </row>
    <row r="112">
      <c r="B112" s="6"/>
      <c r="C112" s="7"/>
      <c r="D112" s="7"/>
      <c r="E112" s="7"/>
      <c r="F112" s="7"/>
    </row>
    <row r="113">
      <c r="B113" s="6"/>
      <c r="C113" s="7"/>
      <c r="D113" s="7"/>
      <c r="E113" s="7"/>
      <c r="F113" s="7"/>
    </row>
    <row r="114">
      <c r="B114" s="6"/>
      <c r="C114" s="7"/>
      <c r="D114" s="7"/>
      <c r="E114" s="7"/>
      <c r="F114" s="7"/>
    </row>
    <row r="115">
      <c r="B115" s="6"/>
      <c r="C115" s="7"/>
      <c r="D115" s="7"/>
      <c r="E115" s="7"/>
      <c r="F115" s="7"/>
    </row>
    <row r="116">
      <c r="B116" s="6"/>
      <c r="C116" s="7"/>
      <c r="D116" s="7"/>
      <c r="E116" s="7"/>
      <c r="F116" s="7"/>
    </row>
    <row r="117">
      <c r="B117" s="6"/>
      <c r="C117" s="7"/>
      <c r="D117" s="7"/>
      <c r="E117" s="7"/>
      <c r="F117" s="7"/>
    </row>
    <row r="118">
      <c r="B118" s="6"/>
      <c r="C118" s="7"/>
      <c r="D118" s="7"/>
      <c r="E118" s="7"/>
      <c r="F118" s="7"/>
    </row>
    <row r="119">
      <c r="B119" s="6"/>
      <c r="C119" s="7"/>
      <c r="D119" s="7"/>
      <c r="E119" s="7"/>
      <c r="F119" s="7"/>
    </row>
    <row r="120">
      <c r="B120" s="6"/>
      <c r="C120" s="7"/>
      <c r="D120" s="7"/>
      <c r="E120" s="7"/>
      <c r="F120" s="7"/>
    </row>
    <row r="121">
      <c r="B121" s="6"/>
      <c r="C121" s="7"/>
      <c r="D121" s="7"/>
      <c r="E121" s="7"/>
      <c r="F121" s="7"/>
    </row>
    <row r="122">
      <c r="B122" s="6"/>
      <c r="C122" s="7"/>
      <c r="D122" s="7"/>
      <c r="E122" s="7"/>
      <c r="F122" s="7"/>
    </row>
    <row r="123">
      <c r="B123" s="6"/>
      <c r="C123" s="7"/>
      <c r="D123" s="7"/>
      <c r="E123" s="7"/>
      <c r="F123" s="7"/>
    </row>
    <row r="124">
      <c r="B124" s="6"/>
      <c r="C124" s="7"/>
      <c r="D124" s="7"/>
      <c r="E124" s="7"/>
      <c r="F124" s="7"/>
    </row>
    <row r="125">
      <c r="B125" s="6"/>
      <c r="C125" s="7"/>
      <c r="D125" s="7"/>
      <c r="E125" s="7"/>
      <c r="F125" s="7"/>
    </row>
    <row r="126">
      <c r="B126" s="6"/>
      <c r="C126" s="7"/>
      <c r="D126" s="7"/>
      <c r="E126" s="7"/>
      <c r="F126" s="7"/>
    </row>
    <row r="127">
      <c r="B127" s="6"/>
      <c r="C127" s="7"/>
      <c r="D127" s="7"/>
      <c r="E127" s="7"/>
      <c r="F127" s="7"/>
    </row>
    <row r="128">
      <c r="B128" s="6"/>
      <c r="C128" s="7"/>
      <c r="D128" s="7"/>
      <c r="E128" s="7"/>
      <c r="F128" s="7"/>
    </row>
    <row r="129">
      <c r="B129" s="6"/>
      <c r="C129" s="7"/>
      <c r="D129" s="7"/>
      <c r="E129" s="7"/>
      <c r="F129" s="7"/>
    </row>
    <row r="130">
      <c r="B130" s="6"/>
      <c r="C130" s="7"/>
      <c r="D130" s="7"/>
      <c r="E130" s="7"/>
      <c r="F130" s="7"/>
    </row>
    <row r="131">
      <c r="B131" s="6"/>
      <c r="C131" s="7"/>
      <c r="D131" s="7"/>
      <c r="E131" s="7"/>
      <c r="F131" s="7"/>
    </row>
    <row r="132">
      <c r="B132" s="6"/>
      <c r="C132" s="7"/>
      <c r="D132" s="7"/>
      <c r="E132" s="7"/>
      <c r="F132" s="7"/>
    </row>
    <row r="133">
      <c r="B133" s="6"/>
      <c r="C133" s="7"/>
      <c r="D133" s="7"/>
      <c r="E133" s="7"/>
      <c r="F133" s="7"/>
    </row>
    <row r="134">
      <c r="B134" s="6"/>
      <c r="C134" s="7"/>
      <c r="D134" s="7"/>
      <c r="E134" s="7"/>
      <c r="F134" s="7"/>
    </row>
    <row r="135">
      <c r="B135" s="6"/>
      <c r="C135" s="7"/>
      <c r="D135" s="7"/>
      <c r="E135" s="7"/>
      <c r="F135" s="7"/>
    </row>
    <row r="136">
      <c r="B136" s="6"/>
      <c r="C136" s="7"/>
      <c r="D136" s="7"/>
      <c r="E136" s="7"/>
      <c r="F136" s="7"/>
    </row>
    <row r="137">
      <c r="B137" s="6"/>
      <c r="C137" s="7"/>
      <c r="D137" s="7"/>
      <c r="E137" s="7"/>
      <c r="F137" s="7"/>
    </row>
    <row r="138">
      <c r="B138" s="6"/>
      <c r="C138" s="7"/>
      <c r="D138" s="7"/>
      <c r="E138" s="7"/>
      <c r="F138" s="7"/>
    </row>
    <row r="139">
      <c r="B139" s="6"/>
      <c r="C139" s="7"/>
      <c r="D139" s="7"/>
      <c r="E139" s="7"/>
      <c r="F139" s="7"/>
    </row>
    <row r="140">
      <c r="B140" s="6"/>
      <c r="C140" s="7"/>
      <c r="D140" s="7"/>
      <c r="E140" s="7"/>
      <c r="F140" s="7"/>
    </row>
    <row r="141">
      <c r="B141" s="6"/>
      <c r="C141" s="7"/>
      <c r="D141" s="7"/>
      <c r="E141" s="7"/>
      <c r="F141" s="7"/>
    </row>
    <row r="142">
      <c r="B142" s="6"/>
      <c r="C142" s="7"/>
      <c r="D142" s="7"/>
      <c r="E142" s="7"/>
      <c r="F142" s="7"/>
    </row>
    <row r="143">
      <c r="B143" s="6"/>
      <c r="C143" s="7"/>
      <c r="D143" s="7"/>
      <c r="E143" s="7"/>
      <c r="F143" s="7"/>
    </row>
    <row r="144">
      <c r="B144" s="6"/>
      <c r="C144" s="7"/>
      <c r="D144" s="7"/>
      <c r="E144" s="7"/>
      <c r="F144" s="7"/>
    </row>
    <row r="145">
      <c r="B145" s="6"/>
      <c r="C145" s="7"/>
      <c r="D145" s="7"/>
      <c r="E145" s="7"/>
      <c r="F145" s="7"/>
    </row>
    <row r="146">
      <c r="B146" s="6"/>
      <c r="C146" s="7"/>
      <c r="D146" s="7"/>
      <c r="E146" s="7"/>
      <c r="F146" s="7"/>
    </row>
    <row r="147">
      <c r="B147" s="6"/>
      <c r="C147" s="7"/>
      <c r="D147" s="7"/>
      <c r="E147" s="7"/>
      <c r="F147" s="7"/>
    </row>
    <row r="148">
      <c r="B148" s="6"/>
      <c r="C148" s="7"/>
      <c r="D148" s="7"/>
      <c r="E148" s="7"/>
      <c r="F148" s="7"/>
    </row>
    <row r="149">
      <c r="B149" s="6"/>
      <c r="C149" s="7"/>
      <c r="D149" s="7"/>
      <c r="E149" s="7"/>
      <c r="F149" s="7"/>
    </row>
    <row r="150">
      <c r="B150" s="6"/>
      <c r="C150" s="7"/>
      <c r="D150" s="7"/>
      <c r="E150" s="7"/>
      <c r="F150" s="7"/>
    </row>
    <row r="151">
      <c r="B151" s="6"/>
      <c r="C151" s="7"/>
      <c r="D151" s="7"/>
      <c r="E151" s="7"/>
      <c r="F151" s="7"/>
    </row>
    <row r="152">
      <c r="B152" s="6"/>
      <c r="C152" s="7"/>
      <c r="D152" s="7"/>
      <c r="E152" s="7"/>
      <c r="F152" s="7"/>
    </row>
    <row r="153">
      <c r="B153" s="6"/>
      <c r="C153" s="7"/>
      <c r="D153" s="7"/>
      <c r="E153" s="7"/>
      <c r="F153" s="7"/>
    </row>
    <row r="154">
      <c r="B154" s="6"/>
      <c r="C154" s="7"/>
      <c r="D154" s="7"/>
      <c r="E154" s="7"/>
      <c r="F154" s="7"/>
    </row>
    <row r="155">
      <c r="B155" s="6"/>
      <c r="C155" s="7"/>
      <c r="D155" s="7"/>
      <c r="E155" s="7"/>
      <c r="F155" s="7"/>
    </row>
    <row r="156">
      <c r="B156" s="6"/>
      <c r="C156" s="7"/>
      <c r="D156" s="7"/>
      <c r="E156" s="7"/>
      <c r="F156" s="7"/>
    </row>
    <row r="157">
      <c r="B157" s="6"/>
      <c r="C157" s="7"/>
      <c r="D157" s="7"/>
      <c r="E157" s="7"/>
      <c r="F157" s="7"/>
    </row>
    <row r="158">
      <c r="B158" s="6"/>
      <c r="C158" s="7"/>
      <c r="D158" s="7"/>
      <c r="E158" s="7"/>
      <c r="F158" s="7"/>
    </row>
    <row r="159">
      <c r="B159" s="6"/>
      <c r="C159" s="7"/>
      <c r="D159" s="7"/>
      <c r="E159" s="7"/>
      <c r="F159" s="7"/>
    </row>
    <row r="160">
      <c r="B160" s="6"/>
      <c r="C160" s="7"/>
      <c r="D160" s="7"/>
      <c r="E160" s="7"/>
      <c r="F160" s="7"/>
    </row>
    <row r="161">
      <c r="B161" s="6"/>
      <c r="C161" s="7"/>
      <c r="D161" s="7"/>
      <c r="E161" s="7"/>
      <c r="F161" s="7"/>
    </row>
    <row r="162">
      <c r="B162" s="6"/>
      <c r="C162" s="7"/>
      <c r="D162" s="7"/>
      <c r="E162" s="7"/>
      <c r="F162" s="7"/>
    </row>
    <row r="163">
      <c r="B163" s="6"/>
      <c r="C163" s="7"/>
      <c r="D163" s="7"/>
      <c r="E163" s="7"/>
      <c r="F163" s="7"/>
    </row>
    <row r="164">
      <c r="B164" s="6"/>
      <c r="C164" s="7"/>
      <c r="D164" s="7"/>
      <c r="E164" s="7"/>
      <c r="F164" s="7"/>
    </row>
    <row r="165">
      <c r="B165" s="6"/>
      <c r="C165" s="7"/>
      <c r="D165" s="7"/>
      <c r="E165" s="7"/>
      <c r="F165" s="7"/>
    </row>
    <row r="166">
      <c r="B166" s="6"/>
      <c r="C166" s="7"/>
      <c r="D166" s="7"/>
      <c r="E166" s="7"/>
      <c r="F166" s="7"/>
    </row>
    <row r="167">
      <c r="B167" s="6"/>
      <c r="C167" s="7"/>
      <c r="D167" s="7"/>
      <c r="E167" s="7"/>
      <c r="F167" s="7"/>
    </row>
    <row r="168">
      <c r="B168" s="6"/>
      <c r="C168" s="7"/>
      <c r="D168" s="7"/>
      <c r="E168" s="7"/>
      <c r="F168" s="7"/>
    </row>
    <row r="169">
      <c r="B169" s="6"/>
      <c r="C169" s="7"/>
      <c r="D169" s="7"/>
      <c r="E169" s="7"/>
      <c r="F169" s="7"/>
    </row>
    <row r="170">
      <c r="B170" s="6"/>
      <c r="C170" s="7"/>
      <c r="D170" s="7"/>
      <c r="E170" s="7"/>
      <c r="F170" s="7"/>
    </row>
    <row r="171">
      <c r="B171" s="6"/>
      <c r="C171" s="7"/>
      <c r="D171" s="7"/>
      <c r="E171" s="7"/>
      <c r="F171" s="7"/>
    </row>
    <row r="172">
      <c r="B172" s="6"/>
      <c r="C172" s="7"/>
      <c r="D172" s="7"/>
      <c r="E172" s="7"/>
      <c r="F172" s="7"/>
    </row>
    <row r="173">
      <c r="B173" s="6"/>
      <c r="C173" s="7"/>
      <c r="D173" s="7"/>
      <c r="E173" s="7"/>
      <c r="F173" s="7"/>
    </row>
    <row r="174">
      <c r="B174" s="6"/>
      <c r="C174" s="7"/>
      <c r="D174" s="7"/>
      <c r="E174" s="7"/>
      <c r="F174" s="7"/>
    </row>
    <row r="175">
      <c r="B175" s="6"/>
      <c r="C175" s="7"/>
      <c r="D175" s="7"/>
      <c r="E175" s="7"/>
      <c r="F175" s="7"/>
    </row>
    <row r="176">
      <c r="B176" s="6"/>
      <c r="C176" s="7"/>
      <c r="D176" s="7"/>
      <c r="E176" s="7"/>
      <c r="F176" s="7"/>
    </row>
    <row r="177">
      <c r="B177" s="6"/>
      <c r="C177" s="7"/>
      <c r="D177" s="7"/>
      <c r="E177" s="7"/>
      <c r="F177" s="7"/>
    </row>
    <row r="178">
      <c r="B178" s="6"/>
      <c r="C178" s="7"/>
      <c r="D178" s="7"/>
      <c r="E178" s="7"/>
      <c r="F178" s="7"/>
    </row>
    <row r="179">
      <c r="B179" s="6"/>
      <c r="C179" s="7"/>
      <c r="D179" s="7"/>
      <c r="E179" s="7"/>
      <c r="F179" s="7"/>
    </row>
    <row r="180">
      <c r="B180" s="6"/>
      <c r="C180" s="7"/>
      <c r="D180" s="7"/>
      <c r="E180" s="7"/>
      <c r="F180" s="7"/>
    </row>
    <row r="181">
      <c r="B181" s="6"/>
      <c r="C181" s="7"/>
      <c r="D181" s="7"/>
      <c r="E181" s="7"/>
      <c r="F181" s="7"/>
    </row>
    <row r="182">
      <c r="B182" s="6"/>
      <c r="C182" s="7"/>
      <c r="D182" s="7"/>
      <c r="E182" s="7"/>
      <c r="F182" s="7"/>
    </row>
    <row r="183">
      <c r="B183" s="6"/>
      <c r="C183" s="7"/>
      <c r="D183" s="7"/>
      <c r="E183" s="7"/>
      <c r="F183" s="7"/>
    </row>
    <row r="184">
      <c r="B184" s="6"/>
      <c r="C184" s="7"/>
      <c r="D184" s="7"/>
      <c r="E184" s="7"/>
      <c r="F184" s="7"/>
    </row>
    <row r="185">
      <c r="B185" s="6"/>
      <c r="C185" s="7"/>
      <c r="D185" s="7"/>
      <c r="E185" s="7"/>
      <c r="F185" s="7"/>
    </row>
    <row r="186">
      <c r="B186" s="6"/>
      <c r="C186" s="7"/>
      <c r="D186" s="7"/>
      <c r="E186" s="7"/>
      <c r="F186" s="7"/>
    </row>
    <row r="187">
      <c r="B187" s="6"/>
      <c r="C187" s="7"/>
      <c r="D187" s="7"/>
      <c r="E187" s="7"/>
      <c r="F187" s="7"/>
    </row>
    <row r="188">
      <c r="B188" s="6"/>
      <c r="C188" s="7"/>
      <c r="D188" s="7"/>
      <c r="E188" s="7"/>
      <c r="F188" s="7"/>
    </row>
    <row r="189">
      <c r="B189" s="6"/>
      <c r="C189" s="7"/>
      <c r="D189" s="7"/>
      <c r="E189" s="7"/>
      <c r="F189" s="7"/>
    </row>
    <row r="190">
      <c r="B190" s="6"/>
      <c r="C190" s="7"/>
      <c r="D190" s="7"/>
      <c r="E190" s="7"/>
      <c r="F190" s="7"/>
    </row>
    <row r="191">
      <c r="B191" s="6"/>
      <c r="C191" s="7"/>
      <c r="D191" s="7"/>
      <c r="E191" s="7"/>
      <c r="F191" s="7"/>
    </row>
    <row r="192">
      <c r="B192" s="6"/>
      <c r="C192" s="7"/>
      <c r="D192" s="7"/>
      <c r="E192" s="7"/>
      <c r="F192" s="7"/>
    </row>
    <row r="193">
      <c r="B193" s="6"/>
      <c r="C193" s="7"/>
      <c r="D193" s="7"/>
      <c r="E193" s="7"/>
      <c r="F193" s="7"/>
    </row>
    <row r="194">
      <c r="B194" s="6"/>
      <c r="C194" s="7"/>
      <c r="D194" s="7"/>
      <c r="E194" s="7"/>
      <c r="F194" s="7"/>
    </row>
    <row r="195">
      <c r="B195" s="6"/>
      <c r="C195" s="7"/>
      <c r="D195" s="7"/>
      <c r="E195" s="7"/>
      <c r="F195" s="7"/>
    </row>
    <row r="196">
      <c r="B196" s="6"/>
      <c r="C196" s="7"/>
      <c r="D196" s="7"/>
      <c r="E196" s="7"/>
      <c r="F196" s="7"/>
    </row>
    <row r="197">
      <c r="B197" s="6"/>
      <c r="C197" s="7"/>
      <c r="D197" s="7"/>
      <c r="E197" s="7"/>
      <c r="F197" s="7"/>
    </row>
    <row r="198">
      <c r="B198" s="6"/>
      <c r="C198" s="7"/>
      <c r="D198" s="7"/>
      <c r="E198" s="7"/>
      <c r="F198" s="7"/>
    </row>
    <row r="199">
      <c r="B199" s="6"/>
      <c r="C199" s="7"/>
      <c r="D199" s="7"/>
      <c r="E199" s="7"/>
      <c r="F199" s="7"/>
    </row>
    <row r="200">
      <c r="B200" s="6"/>
      <c r="C200" s="7"/>
      <c r="D200" s="7"/>
      <c r="E200" s="7"/>
      <c r="F200" s="7"/>
    </row>
    <row r="201">
      <c r="B201" s="6"/>
      <c r="C201" s="7"/>
      <c r="D201" s="7"/>
      <c r="E201" s="7"/>
      <c r="F201" s="7"/>
    </row>
    <row r="202">
      <c r="B202" s="6"/>
      <c r="C202" s="7"/>
      <c r="D202" s="7"/>
      <c r="E202" s="7"/>
      <c r="F202" s="7"/>
    </row>
    <row r="203">
      <c r="B203" s="6"/>
      <c r="C203" s="7"/>
      <c r="D203" s="7"/>
      <c r="E203" s="7"/>
      <c r="F203" s="7"/>
    </row>
    <row r="204">
      <c r="B204" s="6"/>
      <c r="C204" s="7"/>
      <c r="D204" s="7"/>
      <c r="E204" s="7"/>
      <c r="F204" s="7"/>
    </row>
    <row r="205">
      <c r="B205" s="6"/>
      <c r="C205" s="7"/>
      <c r="D205" s="7"/>
      <c r="E205" s="7"/>
      <c r="F205" s="7"/>
    </row>
    <row r="206">
      <c r="B206" s="6"/>
      <c r="C206" s="7"/>
      <c r="D206" s="7"/>
      <c r="E206" s="7"/>
      <c r="F206" s="7"/>
    </row>
    <row r="207">
      <c r="B207" s="6"/>
      <c r="C207" s="7"/>
      <c r="D207" s="7"/>
      <c r="E207" s="7"/>
      <c r="F207" s="7"/>
    </row>
    <row r="208">
      <c r="B208" s="6"/>
      <c r="C208" s="7"/>
      <c r="D208" s="7"/>
      <c r="E208" s="7"/>
      <c r="F208" s="7"/>
    </row>
    <row r="209">
      <c r="B209" s="6"/>
      <c r="C209" s="7"/>
      <c r="D209" s="7"/>
      <c r="E209" s="7"/>
      <c r="F209" s="7"/>
    </row>
    <row r="210">
      <c r="B210" s="6"/>
      <c r="C210" s="7"/>
      <c r="D210" s="7"/>
      <c r="E210" s="7"/>
      <c r="F210" s="7"/>
    </row>
    <row r="211">
      <c r="B211" s="6"/>
      <c r="C211" s="7"/>
      <c r="D211" s="7"/>
      <c r="E211" s="7"/>
      <c r="F211" s="7"/>
    </row>
    <row r="212">
      <c r="B212" s="6"/>
      <c r="C212" s="7"/>
      <c r="D212" s="7"/>
      <c r="E212" s="7"/>
      <c r="F212" s="7"/>
    </row>
    <row r="213">
      <c r="B213" s="6"/>
      <c r="C213" s="7"/>
      <c r="D213" s="7"/>
      <c r="E213" s="7"/>
      <c r="F213" s="7"/>
    </row>
    <row r="214">
      <c r="B214" s="6"/>
      <c r="C214" s="7"/>
      <c r="D214" s="7"/>
      <c r="E214" s="7"/>
      <c r="F214" s="7"/>
    </row>
    <row r="215">
      <c r="B215" s="6"/>
      <c r="C215" s="7"/>
      <c r="D215" s="7"/>
      <c r="E215" s="7"/>
      <c r="F215" s="7"/>
    </row>
    <row r="216">
      <c r="B216" s="6"/>
      <c r="C216" s="7"/>
      <c r="D216" s="7"/>
      <c r="E216" s="7"/>
      <c r="F216" s="7"/>
    </row>
    <row r="217">
      <c r="B217" s="6"/>
      <c r="C217" s="7"/>
      <c r="D217" s="7"/>
      <c r="E217" s="7"/>
      <c r="F217" s="7"/>
    </row>
    <row r="218">
      <c r="B218" s="6"/>
      <c r="C218" s="7"/>
      <c r="D218" s="7"/>
      <c r="E218" s="7"/>
      <c r="F218" s="7"/>
    </row>
    <row r="219">
      <c r="B219" s="6"/>
      <c r="C219" s="7"/>
      <c r="D219" s="7"/>
      <c r="E219" s="7"/>
      <c r="F219" s="7"/>
    </row>
    <row r="220">
      <c r="B220" s="6"/>
      <c r="C220" s="7"/>
      <c r="D220" s="7"/>
      <c r="E220" s="7"/>
      <c r="F220" s="7"/>
    </row>
    <row r="221">
      <c r="B221" s="6"/>
      <c r="C221" s="7"/>
      <c r="D221" s="7"/>
      <c r="E221" s="7"/>
      <c r="F221" s="7"/>
    </row>
    <row r="222">
      <c r="B222" s="6"/>
      <c r="C222" s="7"/>
      <c r="D222" s="7"/>
      <c r="E222" s="7"/>
      <c r="F222" s="7"/>
    </row>
    <row r="223">
      <c r="B223" s="6"/>
      <c r="C223" s="7"/>
      <c r="D223" s="7"/>
      <c r="E223" s="7"/>
      <c r="F223" s="7"/>
    </row>
    <row r="224">
      <c r="B224" s="6"/>
      <c r="C224" s="7"/>
      <c r="D224" s="7"/>
      <c r="E224" s="7"/>
      <c r="F224" s="7"/>
    </row>
    <row r="225">
      <c r="B225" s="6"/>
      <c r="C225" s="7"/>
      <c r="D225" s="7"/>
      <c r="E225" s="7"/>
      <c r="F225" s="7"/>
    </row>
    <row r="226">
      <c r="B226" s="6"/>
      <c r="C226" s="7"/>
      <c r="D226" s="7"/>
      <c r="E226" s="7"/>
      <c r="F226" s="7"/>
    </row>
    <row r="227">
      <c r="B227" s="6"/>
      <c r="C227" s="7"/>
      <c r="D227" s="7"/>
      <c r="E227" s="7"/>
      <c r="F227" s="7"/>
    </row>
    <row r="228">
      <c r="B228" s="6"/>
      <c r="C228" s="7"/>
      <c r="D228" s="7"/>
      <c r="E228" s="7"/>
      <c r="F228" s="7"/>
    </row>
    <row r="229">
      <c r="B229" s="6"/>
      <c r="C229" s="7"/>
      <c r="D229" s="7"/>
      <c r="E229" s="7"/>
      <c r="F229" s="7"/>
    </row>
    <row r="230">
      <c r="B230" s="6"/>
      <c r="C230" s="7"/>
      <c r="D230" s="7"/>
      <c r="E230" s="7"/>
      <c r="F230" s="7"/>
    </row>
    <row r="231">
      <c r="B231" s="6"/>
      <c r="C231" s="7"/>
      <c r="D231" s="7"/>
      <c r="E231" s="7"/>
      <c r="F231" s="7"/>
    </row>
    <row r="232">
      <c r="B232" s="6"/>
      <c r="C232" s="7"/>
      <c r="D232" s="7"/>
      <c r="E232" s="7"/>
      <c r="F232" s="7"/>
    </row>
    <row r="233">
      <c r="B233" s="6"/>
      <c r="C233" s="7"/>
      <c r="D233" s="7"/>
      <c r="E233" s="7"/>
      <c r="F233" s="7"/>
    </row>
    <row r="234">
      <c r="B234" s="6"/>
      <c r="C234" s="7"/>
      <c r="D234" s="7"/>
      <c r="E234" s="7"/>
      <c r="F234" s="7"/>
    </row>
    <row r="235">
      <c r="B235" s="6"/>
      <c r="C235" s="7"/>
      <c r="D235" s="7"/>
      <c r="E235" s="7"/>
      <c r="F235" s="7"/>
    </row>
    <row r="236">
      <c r="B236" s="6"/>
      <c r="C236" s="7"/>
      <c r="D236" s="7"/>
      <c r="E236" s="7"/>
      <c r="F236" s="7"/>
    </row>
    <row r="237">
      <c r="B237" s="6"/>
      <c r="C237" s="7"/>
      <c r="D237" s="7"/>
      <c r="E237" s="7"/>
      <c r="F237" s="7"/>
    </row>
    <row r="238">
      <c r="B238" s="6"/>
      <c r="C238" s="7"/>
      <c r="D238" s="7"/>
      <c r="E238" s="7"/>
      <c r="F238" s="7"/>
    </row>
    <row r="239">
      <c r="B239" s="6"/>
      <c r="C239" s="7"/>
      <c r="D239" s="7"/>
      <c r="E239" s="7"/>
      <c r="F239" s="7"/>
    </row>
    <row r="240">
      <c r="B240" s="6"/>
      <c r="C240" s="7"/>
      <c r="D240" s="7"/>
      <c r="E240" s="7"/>
      <c r="F240" s="7"/>
    </row>
    <row r="241">
      <c r="B241" s="6"/>
      <c r="C241" s="7"/>
      <c r="D241" s="7"/>
      <c r="E241" s="7"/>
      <c r="F241" s="7"/>
    </row>
    <row r="242">
      <c r="B242" s="6"/>
      <c r="C242" s="7"/>
      <c r="D242" s="7"/>
      <c r="E242" s="7"/>
      <c r="F242" s="7"/>
    </row>
    <row r="243">
      <c r="B243" s="6"/>
      <c r="C243" s="7"/>
      <c r="D243" s="7"/>
      <c r="E243" s="7"/>
      <c r="F243" s="7"/>
    </row>
    <row r="244">
      <c r="B244" s="6"/>
      <c r="C244" s="7"/>
      <c r="D244" s="7"/>
      <c r="E244" s="7"/>
      <c r="F244" s="7"/>
    </row>
    <row r="245">
      <c r="B245" s="6"/>
      <c r="C245" s="7"/>
      <c r="D245" s="7"/>
      <c r="E245" s="7"/>
      <c r="F245" s="7"/>
    </row>
    <row r="246">
      <c r="B246" s="6"/>
      <c r="C246" s="7"/>
      <c r="D246" s="7"/>
      <c r="E246" s="7"/>
      <c r="F246" s="7"/>
    </row>
    <row r="247">
      <c r="B247" s="6"/>
      <c r="C247" s="7"/>
      <c r="D247" s="7"/>
      <c r="E247" s="7"/>
      <c r="F247" s="7"/>
    </row>
    <row r="248">
      <c r="B248" s="6"/>
      <c r="C248" s="7"/>
      <c r="D248" s="7"/>
      <c r="E248" s="7"/>
      <c r="F248" s="7"/>
    </row>
    <row r="249">
      <c r="B249" s="6"/>
      <c r="C249" s="7"/>
      <c r="D249" s="7"/>
      <c r="E249" s="7"/>
      <c r="F249" s="7"/>
    </row>
    <row r="250">
      <c r="B250" s="6"/>
      <c r="C250" s="7"/>
      <c r="D250" s="7"/>
      <c r="E250" s="7"/>
      <c r="F250" s="7"/>
    </row>
    <row r="251">
      <c r="B251" s="6"/>
      <c r="C251" s="7"/>
      <c r="D251" s="7"/>
      <c r="E251" s="7"/>
      <c r="F251" s="7"/>
    </row>
    <row r="252">
      <c r="B252" s="6"/>
      <c r="C252" s="7"/>
      <c r="D252" s="7"/>
      <c r="E252" s="7"/>
      <c r="F252" s="7"/>
    </row>
    <row r="253">
      <c r="B253" s="6"/>
      <c r="C253" s="7"/>
      <c r="D253" s="7"/>
      <c r="E253" s="7"/>
      <c r="F253" s="7"/>
    </row>
    <row r="254">
      <c r="B254" s="6"/>
      <c r="C254" s="7"/>
      <c r="D254" s="7"/>
      <c r="E254" s="7"/>
      <c r="F254" s="7"/>
    </row>
    <row r="255">
      <c r="B255" s="6"/>
      <c r="C255" s="7"/>
      <c r="D255" s="7"/>
      <c r="E255" s="7"/>
      <c r="F255" s="7"/>
    </row>
    <row r="256">
      <c r="B256" s="6"/>
      <c r="C256" s="7"/>
      <c r="D256" s="7"/>
      <c r="E256" s="7"/>
      <c r="F256" s="7"/>
    </row>
    <row r="257">
      <c r="B257" s="6"/>
      <c r="C257" s="7"/>
      <c r="D257" s="7"/>
      <c r="E257" s="7"/>
      <c r="F257" s="7"/>
    </row>
    <row r="258">
      <c r="B258" s="6"/>
      <c r="C258" s="7"/>
      <c r="D258" s="7"/>
      <c r="E258" s="7"/>
      <c r="F258" s="7"/>
    </row>
    <row r="259">
      <c r="B259" s="6"/>
      <c r="C259" s="7"/>
      <c r="D259" s="7"/>
      <c r="E259" s="7"/>
      <c r="F259" s="7"/>
    </row>
    <row r="260">
      <c r="B260" s="6"/>
      <c r="C260" s="7"/>
      <c r="D260" s="7"/>
      <c r="E260" s="7"/>
      <c r="F260" s="7"/>
    </row>
    <row r="261">
      <c r="B261" s="6"/>
      <c r="C261" s="7"/>
      <c r="D261" s="7"/>
      <c r="E261" s="7"/>
      <c r="F261" s="7"/>
    </row>
    <row r="262">
      <c r="B262" s="6"/>
      <c r="C262" s="7"/>
      <c r="D262" s="7"/>
      <c r="E262" s="7"/>
      <c r="F262" s="7"/>
    </row>
    <row r="263">
      <c r="B263" s="6"/>
      <c r="C263" s="7"/>
      <c r="D263" s="7"/>
      <c r="E263" s="7"/>
      <c r="F263" s="7"/>
    </row>
    <row r="264">
      <c r="B264" s="6"/>
      <c r="C264" s="7"/>
      <c r="D264" s="7"/>
      <c r="E264" s="7"/>
      <c r="F264" s="7"/>
    </row>
    <row r="265">
      <c r="B265" s="6"/>
      <c r="C265" s="7"/>
      <c r="D265" s="7"/>
      <c r="E265" s="7"/>
      <c r="F265" s="7"/>
    </row>
    <row r="266">
      <c r="B266" s="6"/>
      <c r="C266" s="7"/>
      <c r="D266" s="7"/>
      <c r="E266" s="7"/>
      <c r="F266" s="7"/>
    </row>
    <row r="267">
      <c r="B267" s="6"/>
      <c r="C267" s="7"/>
      <c r="D267" s="7"/>
      <c r="E267" s="7"/>
      <c r="F267" s="7"/>
    </row>
    <row r="268">
      <c r="B268" s="6"/>
      <c r="C268" s="7"/>
      <c r="D268" s="7"/>
      <c r="E268" s="7"/>
      <c r="F268" s="7"/>
    </row>
    <row r="269">
      <c r="B269" s="6"/>
      <c r="C269" s="7"/>
      <c r="D269" s="7"/>
      <c r="E269" s="7"/>
      <c r="F269" s="7"/>
    </row>
    <row r="270">
      <c r="B270" s="6"/>
      <c r="C270" s="7"/>
      <c r="D270" s="7"/>
      <c r="E270" s="7"/>
      <c r="F270" s="7"/>
    </row>
    <row r="271">
      <c r="B271" s="6"/>
      <c r="C271" s="7"/>
      <c r="D271" s="7"/>
      <c r="E271" s="7"/>
      <c r="F271" s="7"/>
    </row>
    <row r="272">
      <c r="B272" s="6"/>
      <c r="C272" s="7"/>
      <c r="D272" s="7"/>
      <c r="E272" s="7"/>
      <c r="F272" s="7"/>
    </row>
    <row r="273">
      <c r="B273" s="6"/>
      <c r="C273" s="7"/>
      <c r="D273" s="7"/>
      <c r="E273" s="7"/>
      <c r="F273" s="7"/>
    </row>
    <row r="274">
      <c r="B274" s="6"/>
      <c r="C274" s="7"/>
      <c r="D274" s="7"/>
      <c r="E274" s="7"/>
      <c r="F274" s="7"/>
    </row>
    <row r="275">
      <c r="B275" s="6"/>
      <c r="C275" s="7"/>
      <c r="D275" s="7"/>
      <c r="E275" s="7"/>
      <c r="F275" s="7"/>
    </row>
    <row r="276">
      <c r="B276" s="6"/>
      <c r="C276" s="7"/>
      <c r="D276" s="7"/>
      <c r="E276" s="7"/>
      <c r="F276" s="7"/>
    </row>
    <row r="277">
      <c r="B277" s="6"/>
      <c r="C277" s="7"/>
      <c r="D277" s="7"/>
      <c r="E277" s="7"/>
      <c r="F277" s="7"/>
    </row>
    <row r="278">
      <c r="B278" s="6"/>
      <c r="C278" s="7"/>
      <c r="D278" s="7"/>
      <c r="E278" s="7"/>
      <c r="F278" s="7"/>
    </row>
    <row r="279">
      <c r="B279" s="6"/>
      <c r="C279" s="7"/>
      <c r="D279" s="7"/>
      <c r="E279" s="7"/>
      <c r="F279" s="7"/>
    </row>
    <row r="280">
      <c r="B280" s="6"/>
      <c r="C280" s="7"/>
      <c r="D280" s="7"/>
      <c r="E280" s="7"/>
      <c r="F280" s="7"/>
    </row>
    <row r="281">
      <c r="B281" s="6"/>
      <c r="C281" s="7"/>
      <c r="D281" s="7"/>
      <c r="E281" s="7"/>
      <c r="F281" s="7"/>
    </row>
    <row r="282">
      <c r="B282" s="6"/>
      <c r="C282" s="7"/>
      <c r="D282" s="7"/>
      <c r="E282" s="7"/>
      <c r="F282" s="7"/>
    </row>
    <row r="283">
      <c r="B283" s="6"/>
      <c r="C283" s="7"/>
      <c r="D283" s="7"/>
      <c r="E283" s="7"/>
      <c r="F283" s="7"/>
    </row>
    <row r="284">
      <c r="B284" s="6"/>
      <c r="C284" s="7"/>
      <c r="D284" s="7"/>
      <c r="E284" s="7"/>
      <c r="F284" s="7"/>
    </row>
    <row r="285">
      <c r="B285" s="6"/>
      <c r="C285" s="7"/>
      <c r="D285" s="7"/>
      <c r="E285" s="7"/>
      <c r="F285" s="7"/>
    </row>
    <row r="286">
      <c r="B286" s="6"/>
      <c r="C286" s="7"/>
      <c r="D286" s="7"/>
      <c r="E286" s="7"/>
      <c r="F286" s="7"/>
    </row>
    <row r="287">
      <c r="B287" s="6"/>
      <c r="C287" s="7"/>
      <c r="D287" s="7"/>
      <c r="E287" s="7"/>
      <c r="F287" s="7"/>
    </row>
    <row r="288">
      <c r="B288" s="6"/>
      <c r="C288" s="7"/>
      <c r="D288" s="7"/>
      <c r="E288" s="7"/>
      <c r="F288" s="7"/>
    </row>
    <row r="289">
      <c r="B289" s="6"/>
      <c r="C289" s="7"/>
      <c r="D289" s="7"/>
      <c r="E289" s="7"/>
      <c r="F289" s="7"/>
    </row>
    <row r="290">
      <c r="B290" s="6"/>
      <c r="C290" s="7"/>
      <c r="D290" s="7"/>
      <c r="E290" s="7"/>
      <c r="F290" s="7"/>
    </row>
    <row r="291">
      <c r="B291" s="6"/>
      <c r="C291" s="7"/>
      <c r="D291" s="7"/>
      <c r="E291" s="7"/>
      <c r="F291" s="7"/>
    </row>
    <row r="292">
      <c r="B292" s="6"/>
      <c r="C292" s="7"/>
      <c r="D292" s="7"/>
      <c r="E292" s="7"/>
      <c r="F292" s="7"/>
    </row>
    <row r="293">
      <c r="B293" s="6"/>
      <c r="C293" s="7"/>
      <c r="D293" s="7"/>
      <c r="E293" s="7"/>
      <c r="F293" s="7"/>
    </row>
    <row r="294">
      <c r="B294" s="6"/>
      <c r="C294" s="7"/>
      <c r="D294" s="7"/>
      <c r="E294" s="7"/>
      <c r="F294" s="7"/>
    </row>
    <row r="295">
      <c r="B295" s="6"/>
      <c r="C295" s="7"/>
      <c r="D295" s="7"/>
      <c r="E295" s="7"/>
      <c r="F295" s="7"/>
    </row>
    <row r="296">
      <c r="B296" s="6"/>
      <c r="C296" s="7"/>
      <c r="D296" s="7"/>
      <c r="E296" s="7"/>
      <c r="F296" s="7"/>
    </row>
    <row r="297">
      <c r="B297" s="6"/>
      <c r="C297" s="7"/>
      <c r="D297" s="7"/>
      <c r="E297" s="7"/>
      <c r="F297" s="7"/>
    </row>
    <row r="298">
      <c r="B298" s="6"/>
      <c r="C298" s="7"/>
      <c r="D298" s="7"/>
      <c r="E298" s="7"/>
      <c r="F298" s="7"/>
    </row>
    <row r="299">
      <c r="B299" s="6"/>
      <c r="C299" s="7"/>
      <c r="D299" s="7"/>
      <c r="E299" s="7"/>
      <c r="F299" s="7"/>
    </row>
    <row r="300">
      <c r="B300" s="6"/>
      <c r="C300" s="7"/>
      <c r="D300" s="7"/>
      <c r="E300" s="7"/>
      <c r="F300" s="7"/>
    </row>
    <row r="301">
      <c r="B301" s="6"/>
      <c r="C301" s="7"/>
      <c r="D301" s="7"/>
      <c r="E301" s="7"/>
      <c r="F301" s="7"/>
    </row>
    <row r="302">
      <c r="B302" s="6"/>
      <c r="C302" s="7"/>
      <c r="D302" s="7"/>
      <c r="E302" s="7"/>
      <c r="F302" s="7"/>
    </row>
    <row r="303">
      <c r="B303" s="6"/>
      <c r="C303" s="7"/>
      <c r="D303" s="7"/>
      <c r="E303" s="7"/>
      <c r="F303" s="7"/>
    </row>
    <row r="304">
      <c r="B304" s="6"/>
      <c r="C304" s="7"/>
      <c r="D304" s="7"/>
      <c r="E304" s="7"/>
      <c r="F304" s="7"/>
    </row>
    <row r="305">
      <c r="B305" s="6"/>
      <c r="C305" s="7"/>
      <c r="D305" s="7"/>
      <c r="E305" s="7"/>
      <c r="F305" s="7"/>
    </row>
    <row r="306">
      <c r="B306" s="6"/>
      <c r="C306" s="7"/>
      <c r="D306" s="7"/>
      <c r="E306" s="7"/>
      <c r="F306" s="7"/>
    </row>
    <row r="307">
      <c r="B307" s="6"/>
      <c r="C307" s="7"/>
      <c r="D307" s="7"/>
      <c r="E307" s="7"/>
      <c r="F307" s="7"/>
    </row>
    <row r="308">
      <c r="B308" s="6"/>
      <c r="C308" s="7"/>
      <c r="D308" s="7"/>
      <c r="E308" s="7"/>
      <c r="F308" s="7"/>
    </row>
    <row r="309">
      <c r="B309" s="6"/>
      <c r="C309" s="7"/>
      <c r="D309" s="7"/>
      <c r="E309" s="7"/>
      <c r="F309" s="7"/>
    </row>
    <row r="310">
      <c r="B310" s="6"/>
      <c r="C310" s="7"/>
      <c r="D310" s="7"/>
      <c r="E310" s="7"/>
      <c r="F310" s="7"/>
    </row>
    <row r="311">
      <c r="B311" s="6"/>
      <c r="C311" s="7"/>
      <c r="D311" s="7"/>
      <c r="E311" s="7"/>
      <c r="F311" s="7"/>
    </row>
    <row r="312">
      <c r="B312" s="6"/>
      <c r="C312" s="7"/>
      <c r="D312" s="7"/>
      <c r="E312" s="7"/>
      <c r="F312" s="7"/>
    </row>
    <row r="313">
      <c r="B313" s="6"/>
      <c r="C313" s="7"/>
      <c r="D313" s="7"/>
      <c r="E313" s="7"/>
      <c r="F313" s="7"/>
    </row>
    <row r="314">
      <c r="B314" s="6"/>
      <c r="C314" s="7"/>
      <c r="D314" s="7"/>
      <c r="E314" s="7"/>
      <c r="F314" s="7"/>
    </row>
    <row r="315">
      <c r="B315" s="6"/>
      <c r="C315" s="7"/>
      <c r="D315" s="7"/>
      <c r="E315" s="7"/>
      <c r="F315" s="7"/>
    </row>
    <row r="316">
      <c r="B316" s="6"/>
      <c r="C316" s="7"/>
      <c r="D316" s="7"/>
      <c r="E316" s="7"/>
      <c r="F316" s="7"/>
    </row>
    <row r="317">
      <c r="B317" s="6"/>
      <c r="C317" s="7"/>
      <c r="D317" s="7"/>
      <c r="E317" s="7"/>
      <c r="F317" s="7"/>
    </row>
    <row r="318">
      <c r="B318" s="6"/>
      <c r="C318" s="7"/>
      <c r="D318" s="7"/>
      <c r="E318" s="7"/>
      <c r="F318" s="7"/>
    </row>
    <row r="319">
      <c r="B319" s="6"/>
      <c r="C319" s="7"/>
      <c r="D319" s="7"/>
      <c r="E319" s="7"/>
      <c r="F319" s="7"/>
    </row>
    <row r="320">
      <c r="B320" s="6"/>
      <c r="C320" s="7"/>
      <c r="D320" s="7"/>
      <c r="E320" s="7"/>
      <c r="F320" s="7"/>
    </row>
    <row r="321">
      <c r="B321" s="6"/>
      <c r="C321" s="7"/>
      <c r="D321" s="7"/>
      <c r="E321" s="7"/>
      <c r="F321" s="7"/>
    </row>
    <row r="322">
      <c r="B322" s="6"/>
      <c r="C322" s="7"/>
      <c r="D322" s="7"/>
      <c r="E322" s="7"/>
      <c r="F322" s="7"/>
    </row>
    <row r="323">
      <c r="B323" s="6"/>
      <c r="C323" s="7"/>
      <c r="D323" s="7"/>
      <c r="E323" s="7"/>
      <c r="F323" s="7"/>
    </row>
    <row r="324">
      <c r="B324" s="6"/>
      <c r="C324" s="7"/>
      <c r="D324" s="7"/>
      <c r="E324" s="7"/>
      <c r="F324" s="7"/>
    </row>
    <row r="325">
      <c r="B325" s="6"/>
      <c r="C325" s="7"/>
      <c r="D325" s="7"/>
      <c r="E325" s="7"/>
      <c r="F325" s="7"/>
    </row>
    <row r="326">
      <c r="B326" s="6"/>
      <c r="C326" s="7"/>
      <c r="D326" s="7"/>
      <c r="E326" s="7"/>
      <c r="F326" s="7"/>
    </row>
    <row r="327">
      <c r="B327" s="6"/>
      <c r="C327" s="7"/>
      <c r="D327" s="7"/>
      <c r="E327" s="7"/>
      <c r="F327" s="7"/>
    </row>
    <row r="328">
      <c r="B328" s="6"/>
      <c r="C328" s="7"/>
      <c r="D328" s="7"/>
      <c r="E328" s="7"/>
      <c r="F328" s="7"/>
    </row>
    <row r="329">
      <c r="B329" s="6"/>
      <c r="C329" s="7"/>
      <c r="D329" s="7"/>
      <c r="E329" s="7"/>
      <c r="F329" s="7"/>
    </row>
    <row r="330">
      <c r="B330" s="6"/>
      <c r="C330" s="7"/>
      <c r="D330" s="7"/>
      <c r="E330" s="7"/>
      <c r="F330" s="7"/>
    </row>
    <row r="331">
      <c r="B331" s="6"/>
      <c r="C331" s="7"/>
      <c r="D331" s="7"/>
      <c r="E331" s="7"/>
      <c r="F331" s="7"/>
    </row>
    <row r="332">
      <c r="B332" s="6"/>
      <c r="C332" s="7"/>
      <c r="D332" s="7"/>
      <c r="E332" s="7"/>
      <c r="F332" s="7"/>
    </row>
    <row r="333">
      <c r="B333" s="6"/>
      <c r="C333" s="7"/>
      <c r="D333" s="7"/>
      <c r="E333" s="7"/>
      <c r="F333" s="7"/>
    </row>
    <row r="334">
      <c r="B334" s="6"/>
      <c r="C334" s="7"/>
      <c r="D334" s="7"/>
      <c r="E334" s="7"/>
      <c r="F334" s="7"/>
    </row>
    <row r="335">
      <c r="B335" s="6"/>
      <c r="C335" s="7"/>
      <c r="D335" s="7"/>
      <c r="E335" s="7"/>
      <c r="F335" s="7"/>
    </row>
    <row r="336">
      <c r="B336" s="6"/>
      <c r="C336" s="7"/>
      <c r="D336" s="7"/>
      <c r="E336" s="7"/>
      <c r="F336" s="7"/>
    </row>
    <row r="337">
      <c r="B337" s="6"/>
      <c r="C337" s="7"/>
      <c r="D337" s="7"/>
      <c r="E337" s="7"/>
      <c r="F337" s="7"/>
    </row>
    <row r="338">
      <c r="B338" s="6"/>
      <c r="C338" s="7"/>
      <c r="D338" s="7"/>
      <c r="E338" s="7"/>
      <c r="F338" s="7"/>
    </row>
    <row r="339">
      <c r="B339" s="6"/>
      <c r="C339" s="7"/>
      <c r="D339" s="7"/>
      <c r="E339" s="7"/>
      <c r="F339" s="7"/>
    </row>
    <row r="340">
      <c r="B340" s="6"/>
      <c r="C340" s="7"/>
      <c r="D340" s="7"/>
      <c r="E340" s="7"/>
      <c r="F340" s="7"/>
    </row>
    <row r="341">
      <c r="B341" s="6"/>
      <c r="C341" s="7"/>
      <c r="D341" s="7"/>
      <c r="E341" s="7"/>
      <c r="F341" s="7"/>
    </row>
    <row r="342">
      <c r="B342" s="6"/>
      <c r="C342" s="7"/>
      <c r="D342" s="7"/>
      <c r="E342" s="7"/>
      <c r="F342" s="7"/>
    </row>
    <row r="343">
      <c r="B343" s="6"/>
      <c r="C343" s="7"/>
      <c r="D343" s="7"/>
      <c r="E343" s="7"/>
      <c r="F343" s="7"/>
    </row>
    <row r="344">
      <c r="B344" s="6"/>
      <c r="C344" s="7"/>
      <c r="D344" s="7"/>
      <c r="E344" s="7"/>
      <c r="F344" s="7"/>
    </row>
    <row r="345">
      <c r="B345" s="6"/>
      <c r="C345" s="7"/>
      <c r="D345" s="7"/>
      <c r="E345" s="7"/>
      <c r="F345" s="7"/>
    </row>
    <row r="346">
      <c r="B346" s="6"/>
      <c r="C346" s="7"/>
      <c r="D346" s="7"/>
      <c r="E346" s="7"/>
      <c r="F346" s="7"/>
    </row>
    <row r="347">
      <c r="B347" s="6"/>
      <c r="C347" s="7"/>
      <c r="D347" s="7"/>
      <c r="E347" s="7"/>
      <c r="F347" s="7"/>
    </row>
    <row r="348">
      <c r="B348" s="6"/>
      <c r="C348" s="7"/>
      <c r="D348" s="7"/>
      <c r="E348" s="7"/>
      <c r="F348" s="7"/>
    </row>
    <row r="349">
      <c r="B349" s="6"/>
      <c r="C349" s="7"/>
      <c r="D349" s="7"/>
      <c r="E349" s="7"/>
      <c r="F349" s="7"/>
    </row>
    <row r="350">
      <c r="B350" s="6"/>
      <c r="C350" s="7"/>
      <c r="D350" s="7"/>
      <c r="E350" s="7"/>
      <c r="F350" s="7"/>
    </row>
    <row r="351">
      <c r="B351" s="6"/>
      <c r="C351" s="7"/>
      <c r="D351" s="7"/>
      <c r="E351" s="7"/>
      <c r="F351" s="7"/>
    </row>
    <row r="352">
      <c r="B352" s="6"/>
      <c r="C352" s="7"/>
      <c r="D352" s="7"/>
      <c r="E352" s="7"/>
      <c r="F352" s="7"/>
    </row>
    <row r="353">
      <c r="B353" s="6"/>
      <c r="C353" s="7"/>
      <c r="D353" s="7"/>
      <c r="E353" s="7"/>
      <c r="F353" s="7"/>
    </row>
    <row r="354">
      <c r="B354" s="6"/>
      <c r="C354" s="7"/>
      <c r="D354" s="7"/>
      <c r="E354" s="7"/>
      <c r="F354" s="7"/>
    </row>
    <row r="355">
      <c r="B355" s="6"/>
      <c r="C355" s="7"/>
      <c r="D355" s="7"/>
      <c r="E355" s="7"/>
      <c r="F355" s="7"/>
    </row>
    <row r="356">
      <c r="B356" s="6"/>
      <c r="C356" s="7"/>
      <c r="D356" s="7"/>
      <c r="E356" s="7"/>
      <c r="F356" s="7"/>
    </row>
    <row r="357">
      <c r="B357" s="6"/>
      <c r="C357" s="7"/>
      <c r="D357" s="7"/>
      <c r="E357" s="7"/>
      <c r="F357" s="7"/>
    </row>
    <row r="358">
      <c r="B358" s="6"/>
      <c r="C358" s="7"/>
      <c r="D358" s="7"/>
      <c r="E358" s="7"/>
      <c r="F358" s="7"/>
    </row>
    <row r="359">
      <c r="B359" s="6"/>
      <c r="C359" s="7"/>
      <c r="D359" s="7"/>
      <c r="E359" s="7"/>
      <c r="F359" s="7"/>
    </row>
    <row r="360">
      <c r="B360" s="6"/>
      <c r="C360" s="7"/>
      <c r="D360" s="7"/>
      <c r="E360" s="7"/>
      <c r="F360" s="7"/>
    </row>
    <row r="361">
      <c r="B361" s="6"/>
      <c r="C361" s="7"/>
      <c r="D361" s="7"/>
      <c r="E361" s="7"/>
      <c r="F361" s="7"/>
    </row>
    <row r="362">
      <c r="B362" s="6"/>
      <c r="C362" s="7"/>
      <c r="D362" s="7"/>
      <c r="E362" s="7"/>
      <c r="F362" s="7"/>
    </row>
    <row r="363">
      <c r="B363" s="6"/>
      <c r="C363" s="7"/>
      <c r="D363" s="7"/>
      <c r="E363" s="7"/>
      <c r="F363" s="7"/>
    </row>
    <row r="364">
      <c r="B364" s="6"/>
      <c r="C364" s="7"/>
      <c r="D364" s="7"/>
      <c r="E364" s="7"/>
      <c r="F364" s="7"/>
    </row>
    <row r="365">
      <c r="B365" s="6"/>
      <c r="C365" s="7"/>
      <c r="D365" s="7"/>
      <c r="E365" s="7"/>
      <c r="F365" s="7"/>
    </row>
    <row r="366">
      <c r="B366" s="6"/>
      <c r="C366" s="7"/>
      <c r="D366" s="7"/>
      <c r="E366" s="7"/>
      <c r="F366" s="7"/>
    </row>
    <row r="367">
      <c r="B367" s="6"/>
      <c r="C367" s="7"/>
      <c r="D367" s="7"/>
      <c r="E367" s="7"/>
      <c r="F367" s="7"/>
    </row>
    <row r="368">
      <c r="B368" s="6"/>
      <c r="C368" s="7"/>
      <c r="D368" s="7"/>
      <c r="E368" s="7"/>
      <c r="F368" s="7"/>
    </row>
    <row r="369">
      <c r="B369" s="6"/>
      <c r="C369" s="7"/>
      <c r="D369" s="7"/>
      <c r="E369" s="7"/>
      <c r="F369" s="7"/>
    </row>
    <row r="370">
      <c r="B370" s="6"/>
      <c r="C370" s="7"/>
      <c r="D370" s="7"/>
      <c r="E370" s="7"/>
      <c r="F370" s="7"/>
    </row>
    <row r="371">
      <c r="B371" s="6"/>
      <c r="C371" s="7"/>
      <c r="D371" s="7"/>
      <c r="E371" s="7"/>
      <c r="F371" s="7"/>
    </row>
    <row r="372">
      <c r="B372" s="6"/>
      <c r="C372" s="7"/>
      <c r="D372" s="7"/>
      <c r="E372" s="7"/>
      <c r="F372" s="7"/>
    </row>
    <row r="373">
      <c r="B373" s="6"/>
      <c r="C373" s="7"/>
      <c r="D373" s="7"/>
      <c r="E373" s="7"/>
      <c r="F373" s="7"/>
    </row>
    <row r="374">
      <c r="B374" s="6"/>
      <c r="C374" s="7"/>
      <c r="D374" s="7"/>
      <c r="E374" s="7"/>
      <c r="F374" s="7"/>
    </row>
    <row r="375">
      <c r="B375" s="6"/>
      <c r="C375" s="7"/>
      <c r="D375" s="7"/>
      <c r="E375" s="7"/>
      <c r="F375" s="7"/>
    </row>
    <row r="376">
      <c r="B376" s="6"/>
      <c r="C376" s="7"/>
      <c r="D376" s="7"/>
      <c r="E376" s="7"/>
      <c r="F376" s="7"/>
    </row>
    <row r="377">
      <c r="B377" s="6"/>
      <c r="C377" s="7"/>
      <c r="D377" s="7"/>
      <c r="E377" s="7"/>
      <c r="F377" s="7"/>
    </row>
    <row r="378">
      <c r="B378" s="6"/>
      <c r="C378" s="7"/>
      <c r="D378" s="7"/>
      <c r="E378" s="7"/>
      <c r="F378" s="7"/>
    </row>
    <row r="379">
      <c r="B379" s="6"/>
      <c r="C379" s="7"/>
      <c r="D379" s="7"/>
      <c r="E379" s="7"/>
      <c r="F379" s="7"/>
    </row>
    <row r="380">
      <c r="B380" s="6"/>
      <c r="C380" s="7"/>
      <c r="D380" s="7"/>
      <c r="E380" s="7"/>
      <c r="F380" s="7"/>
    </row>
    <row r="381">
      <c r="B381" s="6"/>
      <c r="C381" s="7"/>
      <c r="D381" s="7"/>
      <c r="E381" s="7"/>
      <c r="F381" s="7"/>
    </row>
    <row r="382">
      <c r="B382" s="6"/>
      <c r="C382" s="7"/>
      <c r="D382" s="7"/>
      <c r="E382" s="7"/>
      <c r="F382" s="7"/>
    </row>
    <row r="383">
      <c r="B383" s="6"/>
      <c r="C383" s="7"/>
      <c r="D383" s="7"/>
      <c r="E383" s="7"/>
      <c r="F383" s="7"/>
    </row>
    <row r="384">
      <c r="B384" s="6"/>
      <c r="C384" s="7"/>
      <c r="D384" s="7"/>
      <c r="E384" s="7"/>
      <c r="F384" s="7"/>
    </row>
    <row r="385">
      <c r="B385" s="6"/>
      <c r="C385" s="7"/>
      <c r="D385" s="7"/>
      <c r="E385" s="7"/>
      <c r="F385" s="7"/>
    </row>
    <row r="386">
      <c r="B386" s="6"/>
      <c r="C386" s="7"/>
      <c r="D386" s="7"/>
      <c r="E386" s="7"/>
      <c r="F386" s="7"/>
    </row>
    <row r="387">
      <c r="B387" s="6"/>
      <c r="C387" s="7"/>
      <c r="D387" s="7"/>
      <c r="E387" s="7"/>
      <c r="F387" s="7"/>
    </row>
    <row r="388">
      <c r="B388" s="6"/>
      <c r="C388" s="7"/>
      <c r="D388" s="7"/>
      <c r="E388" s="7"/>
      <c r="F388" s="7"/>
    </row>
    <row r="389">
      <c r="B389" s="6"/>
      <c r="C389" s="7"/>
      <c r="D389" s="7"/>
      <c r="E389" s="7"/>
      <c r="F389" s="7"/>
    </row>
    <row r="390">
      <c r="B390" s="6"/>
      <c r="C390" s="7"/>
      <c r="D390" s="7"/>
      <c r="E390" s="7"/>
      <c r="F390" s="7"/>
    </row>
    <row r="391">
      <c r="B391" s="6"/>
      <c r="C391" s="7"/>
      <c r="D391" s="7"/>
      <c r="E391" s="7"/>
      <c r="F391" s="7"/>
    </row>
    <row r="392">
      <c r="B392" s="6"/>
      <c r="C392" s="7"/>
      <c r="D392" s="7"/>
      <c r="E392" s="7"/>
      <c r="F392" s="7"/>
    </row>
    <row r="393">
      <c r="B393" s="6"/>
      <c r="C393" s="7"/>
      <c r="D393" s="7"/>
      <c r="E393" s="7"/>
      <c r="F393" s="7"/>
    </row>
    <row r="394">
      <c r="B394" s="6"/>
      <c r="C394" s="7"/>
      <c r="D394" s="7"/>
      <c r="E394" s="7"/>
      <c r="F394" s="7"/>
    </row>
    <row r="395">
      <c r="B395" s="6"/>
      <c r="C395" s="7"/>
      <c r="D395" s="7"/>
      <c r="E395" s="7"/>
      <c r="F395" s="7"/>
    </row>
    <row r="396">
      <c r="B396" s="6"/>
      <c r="C396" s="7"/>
      <c r="D396" s="7"/>
      <c r="E396" s="7"/>
      <c r="F396" s="7"/>
    </row>
    <row r="397">
      <c r="B397" s="6"/>
      <c r="C397" s="7"/>
      <c r="D397" s="7"/>
      <c r="E397" s="7"/>
      <c r="F397" s="7"/>
    </row>
    <row r="398">
      <c r="B398" s="6"/>
      <c r="C398" s="7"/>
      <c r="D398" s="7"/>
      <c r="E398" s="7"/>
      <c r="F398" s="7"/>
    </row>
    <row r="399">
      <c r="B399" s="6"/>
      <c r="C399" s="7"/>
      <c r="D399" s="7"/>
      <c r="E399" s="7"/>
      <c r="F399" s="7"/>
    </row>
    <row r="400">
      <c r="B400" s="6"/>
      <c r="C400" s="7"/>
      <c r="D400" s="7"/>
      <c r="E400" s="7"/>
      <c r="F400" s="7"/>
    </row>
    <row r="401">
      <c r="B401" s="6"/>
      <c r="C401" s="7"/>
      <c r="D401" s="7"/>
      <c r="E401" s="7"/>
      <c r="F401" s="7"/>
    </row>
    <row r="402">
      <c r="B402" s="6"/>
      <c r="C402" s="7"/>
      <c r="D402" s="7"/>
      <c r="E402" s="7"/>
      <c r="F402" s="7"/>
    </row>
    <row r="403">
      <c r="B403" s="6"/>
      <c r="C403" s="7"/>
      <c r="D403" s="7"/>
      <c r="E403" s="7"/>
      <c r="F403" s="7"/>
    </row>
    <row r="404">
      <c r="B404" s="6"/>
      <c r="C404" s="7"/>
      <c r="D404" s="7"/>
      <c r="E404" s="7"/>
      <c r="F404" s="7"/>
    </row>
    <row r="405">
      <c r="B405" s="6"/>
      <c r="C405" s="7"/>
      <c r="D405" s="7"/>
      <c r="E405" s="7"/>
      <c r="F405" s="7"/>
    </row>
    <row r="406">
      <c r="B406" s="6"/>
      <c r="C406" s="7"/>
      <c r="D406" s="7"/>
      <c r="E406" s="7"/>
      <c r="F406" s="7"/>
    </row>
    <row r="407">
      <c r="B407" s="6"/>
      <c r="C407" s="7"/>
      <c r="D407" s="7"/>
      <c r="E407" s="7"/>
      <c r="F407" s="7"/>
    </row>
    <row r="408">
      <c r="B408" s="6"/>
      <c r="C408" s="7"/>
      <c r="D408" s="7"/>
      <c r="E408" s="7"/>
      <c r="F408" s="7"/>
    </row>
    <row r="409">
      <c r="B409" s="6"/>
      <c r="C409" s="7"/>
      <c r="D409" s="7"/>
      <c r="E409" s="7"/>
      <c r="F409" s="7"/>
    </row>
    <row r="410">
      <c r="B410" s="6"/>
      <c r="C410" s="7"/>
      <c r="D410" s="7"/>
      <c r="E410" s="7"/>
      <c r="F410" s="7"/>
    </row>
    <row r="411">
      <c r="B411" s="6"/>
      <c r="C411" s="7"/>
      <c r="D411" s="7"/>
      <c r="E411" s="7"/>
      <c r="F411" s="7"/>
    </row>
    <row r="412">
      <c r="B412" s="6"/>
      <c r="C412" s="7"/>
      <c r="D412" s="7"/>
      <c r="E412" s="7"/>
      <c r="F412" s="7"/>
    </row>
    <row r="413">
      <c r="B413" s="6"/>
      <c r="C413" s="7"/>
      <c r="D413" s="7"/>
      <c r="E413" s="7"/>
      <c r="F413" s="7"/>
    </row>
    <row r="414">
      <c r="B414" s="6"/>
      <c r="C414" s="7"/>
      <c r="D414" s="7"/>
      <c r="E414" s="7"/>
      <c r="F414" s="7"/>
    </row>
    <row r="415">
      <c r="B415" s="6"/>
      <c r="C415" s="7"/>
      <c r="D415" s="7"/>
      <c r="E415" s="7"/>
      <c r="F415" s="7"/>
    </row>
    <row r="416">
      <c r="B416" s="6"/>
      <c r="C416" s="7"/>
      <c r="D416" s="7"/>
      <c r="E416" s="7"/>
      <c r="F416" s="7"/>
    </row>
    <row r="417">
      <c r="B417" s="6"/>
      <c r="C417" s="7"/>
      <c r="D417" s="7"/>
      <c r="E417" s="7"/>
      <c r="F417" s="7"/>
    </row>
    <row r="418">
      <c r="B418" s="6"/>
      <c r="C418" s="7"/>
      <c r="D418" s="7"/>
      <c r="E418" s="7"/>
      <c r="F418" s="7"/>
    </row>
    <row r="419">
      <c r="B419" s="6"/>
      <c r="C419" s="7"/>
      <c r="D419" s="7"/>
      <c r="E419" s="7"/>
      <c r="F419" s="7"/>
    </row>
    <row r="420">
      <c r="B420" s="6"/>
      <c r="C420" s="7"/>
      <c r="D420" s="7"/>
      <c r="E420" s="7"/>
      <c r="F420" s="7"/>
    </row>
    <row r="421">
      <c r="B421" s="6"/>
      <c r="C421" s="7"/>
      <c r="D421" s="7"/>
      <c r="E421" s="7"/>
      <c r="F421" s="7"/>
    </row>
    <row r="422">
      <c r="B422" s="6"/>
      <c r="C422" s="7"/>
      <c r="D422" s="7"/>
      <c r="E422" s="7"/>
      <c r="F422" s="7"/>
    </row>
    <row r="423">
      <c r="B423" s="6"/>
      <c r="C423" s="7"/>
      <c r="D423" s="7"/>
      <c r="E423" s="7"/>
      <c r="F423" s="7"/>
    </row>
    <row r="424">
      <c r="B424" s="6"/>
      <c r="C424" s="7"/>
      <c r="D424" s="7"/>
      <c r="E424" s="7"/>
      <c r="F424" s="7"/>
    </row>
    <row r="425">
      <c r="B425" s="6"/>
      <c r="C425" s="7"/>
      <c r="D425" s="7"/>
      <c r="E425" s="7"/>
      <c r="F425" s="7"/>
    </row>
    <row r="426">
      <c r="B426" s="6"/>
      <c r="C426" s="7"/>
      <c r="D426" s="7"/>
      <c r="E426" s="7"/>
      <c r="F426" s="7"/>
    </row>
    <row r="427">
      <c r="B427" s="6"/>
      <c r="C427" s="7"/>
      <c r="D427" s="7"/>
      <c r="E427" s="7"/>
      <c r="F427" s="7"/>
    </row>
    <row r="428">
      <c r="B428" s="6"/>
      <c r="C428" s="7"/>
      <c r="D428" s="7"/>
      <c r="E428" s="7"/>
      <c r="F428" s="7"/>
    </row>
    <row r="429">
      <c r="B429" s="6"/>
      <c r="C429" s="7"/>
      <c r="D429" s="7"/>
      <c r="E429" s="7"/>
      <c r="F429" s="7"/>
    </row>
    <row r="430">
      <c r="B430" s="6"/>
      <c r="C430" s="7"/>
      <c r="D430" s="7"/>
      <c r="E430" s="7"/>
      <c r="F430" s="7"/>
    </row>
    <row r="431">
      <c r="B431" s="6"/>
      <c r="C431" s="7"/>
      <c r="D431" s="7"/>
      <c r="E431" s="7"/>
      <c r="F431" s="7"/>
    </row>
    <row r="432">
      <c r="B432" s="6"/>
      <c r="C432" s="7"/>
      <c r="D432" s="7"/>
      <c r="E432" s="7"/>
      <c r="F432" s="7"/>
    </row>
    <row r="433">
      <c r="B433" s="6"/>
      <c r="C433" s="7"/>
      <c r="D433" s="7"/>
      <c r="E433" s="7"/>
      <c r="F433" s="7"/>
    </row>
    <row r="434">
      <c r="B434" s="6"/>
      <c r="C434" s="7"/>
      <c r="D434" s="7"/>
      <c r="E434" s="7"/>
      <c r="F434" s="7"/>
    </row>
    <row r="435">
      <c r="B435" s="6"/>
      <c r="C435" s="7"/>
      <c r="D435" s="7"/>
      <c r="E435" s="7"/>
      <c r="F435" s="7"/>
    </row>
    <row r="436">
      <c r="B436" s="6"/>
      <c r="C436" s="7"/>
      <c r="D436" s="7"/>
      <c r="E436" s="7"/>
      <c r="F436" s="7"/>
    </row>
    <row r="437">
      <c r="B437" s="6"/>
      <c r="C437" s="7"/>
      <c r="D437" s="7"/>
      <c r="E437" s="7"/>
      <c r="F437" s="7"/>
    </row>
    <row r="438">
      <c r="B438" s="6"/>
      <c r="C438" s="7"/>
      <c r="D438" s="7"/>
      <c r="E438" s="7"/>
      <c r="F438" s="7"/>
    </row>
    <row r="439">
      <c r="B439" s="6"/>
      <c r="C439" s="7"/>
      <c r="D439" s="7"/>
      <c r="E439" s="7"/>
      <c r="F439" s="7"/>
    </row>
    <row r="440">
      <c r="B440" s="6"/>
      <c r="C440" s="7"/>
      <c r="D440" s="7"/>
      <c r="E440" s="7"/>
      <c r="F440" s="7"/>
    </row>
    <row r="441">
      <c r="B441" s="6"/>
      <c r="C441" s="7"/>
      <c r="D441" s="7"/>
      <c r="E441" s="7"/>
      <c r="F441" s="7"/>
    </row>
    <row r="442">
      <c r="B442" s="6"/>
      <c r="C442" s="7"/>
      <c r="D442" s="7"/>
      <c r="E442" s="7"/>
      <c r="F442" s="7"/>
    </row>
    <row r="443">
      <c r="B443" s="6"/>
      <c r="C443" s="7"/>
      <c r="D443" s="7"/>
      <c r="E443" s="7"/>
      <c r="F443" s="7"/>
    </row>
    <row r="444">
      <c r="B444" s="6"/>
      <c r="C444" s="7"/>
      <c r="D444" s="7"/>
      <c r="E444" s="7"/>
      <c r="F444" s="7"/>
    </row>
    <row r="445">
      <c r="B445" s="6"/>
      <c r="C445" s="7"/>
      <c r="D445" s="7"/>
      <c r="E445" s="7"/>
      <c r="F445" s="7"/>
    </row>
    <row r="446">
      <c r="B446" s="6"/>
      <c r="C446" s="7"/>
      <c r="D446" s="7"/>
      <c r="E446" s="7"/>
      <c r="F446" s="7"/>
    </row>
    <row r="447">
      <c r="B447" s="6"/>
      <c r="C447" s="7"/>
      <c r="D447" s="7"/>
      <c r="E447" s="7"/>
      <c r="F447" s="7"/>
    </row>
    <row r="448">
      <c r="B448" s="6"/>
      <c r="C448" s="7"/>
      <c r="D448" s="7"/>
      <c r="E448" s="7"/>
      <c r="F448" s="7"/>
    </row>
    <row r="449">
      <c r="B449" s="6"/>
      <c r="C449" s="7"/>
      <c r="D449" s="7"/>
      <c r="E449" s="7"/>
      <c r="F449" s="7"/>
    </row>
    <row r="450">
      <c r="B450" s="6"/>
      <c r="C450" s="7"/>
      <c r="D450" s="7"/>
      <c r="E450" s="7"/>
      <c r="F450" s="7"/>
    </row>
    <row r="451">
      <c r="B451" s="6"/>
      <c r="C451" s="7"/>
      <c r="D451" s="7"/>
      <c r="E451" s="7"/>
      <c r="F451" s="7"/>
    </row>
    <row r="452">
      <c r="B452" s="6"/>
      <c r="C452" s="7"/>
      <c r="D452" s="7"/>
      <c r="E452" s="7"/>
      <c r="F452" s="7"/>
    </row>
    <row r="453">
      <c r="B453" s="6"/>
      <c r="C453" s="7"/>
      <c r="D453" s="7"/>
      <c r="E453" s="7"/>
      <c r="F453" s="7"/>
    </row>
    <row r="454">
      <c r="B454" s="6"/>
      <c r="C454" s="7"/>
      <c r="D454" s="7"/>
      <c r="E454" s="7"/>
      <c r="F454" s="7"/>
    </row>
    <row r="455">
      <c r="B455" s="6"/>
      <c r="C455" s="7"/>
      <c r="D455" s="7"/>
      <c r="E455" s="7"/>
      <c r="F455" s="7"/>
    </row>
    <row r="456">
      <c r="B456" s="6"/>
      <c r="C456" s="7"/>
      <c r="D456" s="7"/>
      <c r="E456" s="7"/>
      <c r="F456" s="7"/>
    </row>
    <row r="457">
      <c r="B457" s="6"/>
      <c r="C457" s="7"/>
      <c r="D457" s="7"/>
      <c r="E457" s="7"/>
      <c r="F457" s="7"/>
    </row>
    <row r="458">
      <c r="B458" s="6"/>
      <c r="C458" s="7"/>
      <c r="D458" s="7"/>
      <c r="E458" s="7"/>
      <c r="F458" s="7"/>
    </row>
    <row r="459">
      <c r="B459" s="6"/>
      <c r="C459" s="7"/>
      <c r="D459" s="7"/>
      <c r="E459" s="7"/>
      <c r="F459" s="7"/>
    </row>
    <row r="460">
      <c r="B460" s="6"/>
      <c r="C460" s="7"/>
      <c r="D460" s="7"/>
      <c r="E460" s="7"/>
      <c r="F460" s="7"/>
    </row>
    <row r="461">
      <c r="B461" s="6"/>
      <c r="C461" s="7"/>
      <c r="D461" s="7"/>
      <c r="E461" s="7"/>
      <c r="F461" s="7"/>
    </row>
    <row r="462">
      <c r="B462" s="6"/>
      <c r="C462" s="7"/>
      <c r="D462" s="7"/>
      <c r="E462" s="7"/>
      <c r="F462" s="7"/>
    </row>
    <row r="463">
      <c r="B463" s="6"/>
      <c r="C463" s="7"/>
      <c r="D463" s="7"/>
      <c r="E463" s="7"/>
      <c r="F463" s="7"/>
    </row>
    <row r="464">
      <c r="B464" s="6"/>
      <c r="C464" s="7"/>
      <c r="D464" s="7"/>
      <c r="E464" s="7"/>
      <c r="F464" s="7"/>
    </row>
    <row r="465">
      <c r="B465" s="6"/>
      <c r="C465" s="7"/>
      <c r="D465" s="7"/>
      <c r="E465" s="7"/>
      <c r="F465" s="7"/>
    </row>
    <row r="466">
      <c r="B466" s="6"/>
      <c r="C466" s="7"/>
      <c r="D466" s="7"/>
      <c r="E466" s="7"/>
      <c r="F466" s="7"/>
    </row>
    <row r="467">
      <c r="B467" s="6"/>
      <c r="C467" s="7"/>
      <c r="D467" s="7"/>
      <c r="E467" s="7"/>
      <c r="F467" s="7"/>
    </row>
    <row r="468">
      <c r="B468" s="6"/>
      <c r="C468" s="7"/>
      <c r="D468" s="7"/>
      <c r="E468" s="7"/>
      <c r="F468" s="7"/>
    </row>
    <row r="469">
      <c r="B469" s="6"/>
      <c r="C469" s="7"/>
      <c r="D469" s="7"/>
      <c r="E469" s="7"/>
      <c r="F469" s="7"/>
    </row>
    <row r="470">
      <c r="B470" s="6"/>
      <c r="C470" s="7"/>
      <c r="D470" s="7"/>
      <c r="E470" s="7"/>
      <c r="F470" s="7"/>
    </row>
    <row r="471">
      <c r="B471" s="6"/>
      <c r="C471" s="7"/>
      <c r="D471" s="7"/>
      <c r="E471" s="7"/>
      <c r="F471" s="7"/>
    </row>
    <row r="472">
      <c r="B472" s="6"/>
      <c r="C472" s="7"/>
      <c r="D472" s="7"/>
      <c r="E472" s="7"/>
      <c r="F472" s="7"/>
    </row>
    <row r="473">
      <c r="B473" s="6"/>
      <c r="C473" s="7"/>
      <c r="D473" s="7"/>
      <c r="E473" s="7"/>
      <c r="F473" s="7"/>
    </row>
    <row r="474">
      <c r="B474" s="6"/>
      <c r="C474" s="7"/>
      <c r="D474" s="7"/>
      <c r="E474" s="7"/>
      <c r="F474" s="7"/>
    </row>
    <row r="475">
      <c r="B475" s="6"/>
      <c r="C475" s="7"/>
      <c r="D475" s="7"/>
      <c r="E475" s="7"/>
      <c r="F475" s="7"/>
    </row>
    <row r="476">
      <c r="B476" s="6"/>
      <c r="C476" s="7"/>
      <c r="D476" s="7"/>
      <c r="E476" s="7"/>
      <c r="F476" s="7"/>
    </row>
    <row r="477">
      <c r="B477" s="6"/>
      <c r="C477" s="7"/>
      <c r="D477" s="7"/>
      <c r="E477" s="7"/>
      <c r="F477" s="7"/>
    </row>
    <row r="478">
      <c r="B478" s="6"/>
      <c r="C478" s="7"/>
      <c r="D478" s="7"/>
      <c r="E478" s="7"/>
      <c r="F478" s="7"/>
    </row>
    <row r="479">
      <c r="B479" s="6"/>
      <c r="C479" s="7"/>
      <c r="D479" s="7"/>
      <c r="E479" s="7"/>
      <c r="F479" s="7"/>
    </row>
    <row r="480">
      <c r="B480" s="6"/>
      <c r="C480" s="7"/>
      <c r="D480" s="7"/>
      <c r="E480" s="7"/>
      <c r="F480" s="7"/>
    </row>
    <row r="481">
      <c r="B481" s="6"/>
      <c r="C481" s="7"/>
      <c r="D481" s="7"/>
      <c r="E481" s="7"/>
      <c r="F481" s="7"/>
    </row>
    <row r="482">
      <c r="B482" s="6"/>
      <c r="C482" s="7"/>
      <c r="D482" s="7"/>
      <c r="E482" s="7"/>
      <c r="F482" s="7"/>
    </row>
    <row r="483">
      <c r="B483" s="6"/>
      <c r="C483" s="7"/>
      <c r="D483" s="7"/>
      <c r="E483" s="7"/>
      <c r="F483" s="7"/>
    </row>
    <row r="484">
      <c r="B484" s="6"/>
      <c r="C484" s="7"/>
      <c r="D484" s="7"/>
      <c r="E484" s="7"/>
      <c r="F484" s="7"/>
    </row>
    <row r="485">
      <c r="B485" s="6"/>
      <c r="C485" s="7"/>
      <c r="D485" s="7"/>
      <c r="E485" s="7"/>
      <c r="F485" s="7"/>
    </row>
    <row r="486">
      <c r="B486" s="6"/>
      <c r="C486" s="7"/>
      <c r="D486" s="7"/>
      <c r="E486" s="7"/>
      <c r="F486" s="7"/>
    </row>
    <row r="487">
      <c r="B487" s="6"/>
      <c r="C487" s="7"/>
      <c r="D487" s="7"/>
      <c r="E487" s="7"/>
      <c r="F487" s="7"/>
    </row>
    <row r="488">
      <c r="B488" s="6"/>
      <c r="C488" s="7"/>
      <c r="D488" s="7"/>
      <c r="E488" s="7"/>
      <c r="F488" s="7"/>
    </row>
    <row r="489">
      <c r="B489" s="6"/>
      <c r="C489" s="7"/>
      <c r="D489" s="7"/>
      <c r="E489" s="7"/>
      <c r="F489" s="7"/>
    </row>
    <row r="490">
      <c r="B490" s="6"/>
      <c r="C490" s="7"/>
      <c r="D490" s="7"/>
      <c r="E490" s="7"/>
      <c r="F490" s="7"/>
    </row>
    <row r="491">
      <c r="B491" s="6"/>
      <c r="C491" s="7"/>
      <c r="D491" s="7"/>
      <c r="E491" s="7"/>
      <c r="F491" s="7"/>
    </row>
    <row r="492">
      <c r="B492" s="6"/>
      <c r="C492" s="7"/>
      <c r="D492" s="7"/>
      <c r="E492" s="7"/>
      <c r="F492" s="7"/>
    </row>
    <row r="493">
      <c r="B493" s="6"/>
      <c r="C493" s="7"/>
      <c r="D493" s="7"/>
      <c r="E493" s="7"/>
      <c r="F493" s="7"/>
    </row>
    <row r="494">
      <c r="B494" s="6"/>
      <c r="C494" s="7"/>
      <c r="D494" s="7"/>
      <c r="E494" s="7"/>
      <c r="F494" s="7"/>
    </row>
    <row r="495">
      <c r="B495" s="6"/>
      <c r="C495" s="7"/>
      <c r="D495" s="7"/>
      <c r="E495" s="7"/>
      <c r="F495" s="7"/>
    </row>
    <row r="496">
      <c r="B496" s="6"/>
      <c r="C496" s="7"/>
      <c r="D496" s="7"/>
      <c r="E496" s="7"/>
      <c r="F496" s="7"/>
    </row>
    <row r="497">
      <c r="B497" s="6"/>
      <c r="C497" s="7"/>
      <c r="D497" s="7"/>
      <c r="E497" s="7"/>
      <c r="F497" s="7"/>
    </row>
    <row r="498">
      <c r="B498" s="6"/>
      <c r="C498" s="7"/>
      <c r="D498" s="7"/>
      <c r="E498" s="7"/>
      <c r="F498" s="7"/>
    </row>
    <row r="499">
      <c r="B499" s="6"/>
      <c r="C499" s="7"/>
      <c r="D499" s="7"/>
      <c r="E499" s="7"/>
      <c r="F499" s="7"/>
    </row>
    <row r="500">
      <c r="B500" s="6"/>
      <c r="C500" s="7"/>
      <c r="D500" s="7"/>
      <c r="E500" s="7"/>
      <c r="F500" s="7"/>
    </row>
    <row r="501">
      <c r="B501" s="6"/>
      <c r="C501" s="7"/>
      <c r="D501" s="7"/>
      <c r="E501" s="7"/>
      <c r="F501" s="7"/>
    </row>
    <row r="502">
      <c r="B502" s="6"/>
      <c r="C502" s="7"/>
      <c r="D502" s="7"/>
      <c r="E502" s="7"/>
      <c r="F502" s="7"/>
    </row>
    <row r="503">
      <c r="B503" s="6"/>
      <c r="C503" s="7"/>
      <c r="D503" s="7"/>
      <c r="E503" s="7"/>
      <c r="F503" s="7"/>
    </row>
    <row r="504">
      <c r="B504" s="6"/>
      <c r="C504" s="7"/>
      <c r="D504" s="7"/>
      <c r="E504" s="7"/>
      <c r="F504" s="7"/>
    </row>
    <row r="505">
      <c r="B505" s="6"/>
      <c r="C505" s="7"/>
      <c r="D505" s="7"/>
      <c r="E505" s="7"/>
      <c r="F505" s="7"/>
    </row>
    <row r="506">
      <c r="B506" s="6"/>
      <c r="C506" s="7"/>
      <c r="D506" s="7"/>
      <c r="E506" s="7"/>
      <c r="F506" s="7"/>
    </row>
    <row r="507">
      <c r="B507" s="6"/>
      <c r="C507" s="7"/>
      <c r="D507" s="7"/>
      <c r="E507" s="7"/>
      <c r="F507" s="7"/>
    </row>
    <row r="508">
      <c r="B508" s="6"/>
      <c r="C508" s="7"/>
      <c r="D508" s="7"/>
      <c r="E508" s="7"/>
      <c r="F508" s="7"/>
    </row>
    <row r="509">
      <c r="B509" s="6"/>
      <c r="C509" s="7"/>
      <c r="D509" s="7"/>
      <c r="E509" s="7"/>
      <c r="F509" s="7"/>
    </row>
    <row r="510">
      <c r="B510" s="6"/>
      <c r="C510" s="7"/>
      <c r="D510" s="7"/>
      <c r="E510" s="7"/>
      <c r="F510" s="7"/>
    </row>
    <row r="511">
      <c r="B511" s="6"/>
      <c r="C511" s="7"/>
      <c r="D511" s="7"/>
      <c r="E511" s="7"/>
      <c r="F511" s="7"/>
    </row>
    <row r="512">
      <c r="B512" s="6"/>
      <c r="C512" s="7"/>
      <c r="D512" s="7"/>
      <c r="E512" s="7"/>
      <c r="F512" s="7"/>
    </row>
    <row r="513">
      <c r="B513" s="6"/>
      <c r="C513" s="7"/>
      <c r="D513" s="7"/>
      <c r="E513" s="7"/>
      <c r="F513" s="7"/>
    </row>
    <row r="514">
      <c r="B514" s="6"/>
      <c r="C514" s="7"/>
      <c r="D514" s="7"/>
      <c r="E514" s="7"/>
      <c r="F514" s="7"/>
    </row>
    <row r="515">
      <c r="B515" s="6"/>
      <c r="C515" s="7"/>
      <c r="D515" s="7"/>
      <c r="E515" s="7"/>
      <c r="F515" s="7"/>
    </row>
    <row r="516">
      <c r="B516" s="6"/>
      <c r="C516" s="7"/>
      <c r="D516" s="7"/>
      <c r="E516" s="7"/>
      <c r="F516" s="7"/>
    </row>
    <row r="517">
      <c r="B517" s="6"/>
      <c r="C517" s="7"/>
      <c r="D517" s="7"/>
      <c r="E517" s="7"/>
      <c r="F517" s="7"/>
    </row>
    <row r="518">
      <c r="B518" s="6"/>
      <c r="C518" s="7"/>
      <c r="D518" s="7"/>
      <c r="E518" s="7"/>
      <c r="F518" s="7"/>
    </row>
    <row r="519">
      <c r="B519" s="6"/>
      <c r="C519" s="7"/>
      <c r="D519" s="7"/>
      <c r="E519" s="7"/>
      <c r="F519" s="7"/>
    </row>
    <row r="520">
      <c r="B520" s="6"/>
      <c r="C520" s="7"/>
      <c r="D520" s="7"/>
      <c r="E520" s="7"/>
      <c r="F520" s="7"/>
    </row>
    <row r="521">
      <c r="B521" s="6"/>
      <c r="C521" s="7"/>
      <c r="D521" s="7"/>
      <c r="E521" s="7"/>
      <c r="F521" s="7"/>
    </row>
    <row r="522">
      <c r="B522" s="6"/>
      <c r="C522" s="7"/>
      <c r="D522" s="7"/>
      <c r="E522" s="7"/>
      <c r="F522" s="7"/>
    </row>
    <row r="523">
      <c r="B523" s="6"/>
      <c r="C523" s="7"/>
      <c r="D523" s="7"/>
      <c r="E523" s="7"/>
      <c r="F523" s="7"/>
    </row>
    <row r="524">
      <c r="B524" s="6"/>
      <c r="C524" s="7"/>
      <c r="D524" s="7"/>
      <c r="E524" s="7"/>
      <c r="F524" s="7"/>
    </row>
    <row r="525">
      <c r="B525" s="6"/>
      <c r="C525" s="7"/>
      <c r="D525" s="7"/>
      <c r="E525" s="7"/>
      <c r="F525" s="7"/>
    </row>
    <row r="526">
      <c r="B526" s="6"/>
      <c r="C526" s="7"/>
      <c r="D526" s="7"/>
      <c r="E526" s="7"/>
      <c r="F526" s="7"/>
    </row>
    <row r="527">
      <c r="B527" s="6"/>
      <c r="C527" s="7"/>
      <c r="D527" s="7"/>
      <c r="E527" s="7"/>
      <c r="F527" s="7"/>
    </row>
    <row r="528">
      <c r="B528" s="6"/>
      <c r="C528" s="7"/>
      <c r="D528" s="7"/>
      <c r="E528" s="7"/>
      <c r="F528" s="7"/>
    </row>
    <row r="529">
      <c r="B529" s="6"/>
      <c r="C529" s="7"/>
      <c r="D529" s="7"/>
      <c r="E529" s="7"/>
      <c r="F529" s="7"/>
    </row>
    <row r="530">
      <c r="B530" s="6"/>
      <c r="C530" s="7"/>
      <c r="D530" s="7"/>
      <c r="E530" s="7"/>
      <c r="F530" s="7"/>
    </row>
    <row r="531">
      <c r="B531" s="6"/>
      <c r="C531" s="7"/>
      <c r="D531" s="7"/>
      <c r="E531" s="7"/>
      <c r="F531" s="7"/>
    </row>
    <row r="532">
      <c r="B532" s="6"/>
      <c r="C532" s="7"/>
      <c r="D532" s="7"/>
      <c r="E532" s="7"/>
      <c r="F532" s="7"/>
    </row>
    <row r="533">
      <c r="B533" s="6"/>
      <c r="C533" s="7"/>
      <c r="D533" s="7"/>
      <c r="E533" s="7"/>
      <c r="F533" s="7"/>
    </row>
    <row r="534">
      <c r="B534" s="6"/>
      <c r="C534" s="7"/>
      <c r="D534" s="7"/>
      <c r="E534" s="7"/>
      <c r="F534" s="7"/>
    </row>
    <row r="535">
      <c r="B535" s="6"/>
      <c r="C535" s="7"/>
      <c r="D535" s="7"/>
      <c r="E535" s="7"/>
      <c r="F535" s="7"/>
    </row>
    <row r="536">
      <c r="B536" s="6"/>
      <c r="C536" s="7"/>
      <c r="D536" s="7"/>
      <c r="E536" s="7"/>
      <c r="F536" s="7"/>
    </row>
    <row r="537">
      <c r="B537" s="6"/>
      <c r="C537" s="7"/>
      <c r="D537" s="7"/>
      <c r="E537" s="7"/>
      <c r="F537" s="7"/>
    </row>
    <row r="538">
      <c r="B538" s="6"/>
      <c r="C538" s="7"/>
      <c r="D538" s="7"/>
      <c r="E538" s="7"/>
      <c r="F538" s="7"/>
    </row>
    <row r="539">
      <c r="B539" s="6"/>
      <c r="C539" s="7"/>
      <c r="D539" s="7"/>
      <c r="E539" s="7"/>
      <c r="F539" s="7"/>
    </row>
    <row r="540">
      <c r="B540" s="6"/>
      <c r="C540" s="7"/>
      <c r="D540" s="7"/>
      <c r="E540" s="7"/>
      <c r="F540" s="7"/>
    </row>
    <row r="541">
      <c r="B541" s="6"/>
      <c r="C541" s="7"/>
      <c r="D541" s="7"/>
      <c r="E541" s="7"/>
      <c r="F541" s="7"/>
    </row>
    <row r="542">
      <c r="B542" s="6"/>
      <c r="C542" s="7"/>
      <c r="D542" s="7"/>
      <c r="E542" s="7"/>
      <c r="F542" s="7"/>
    </row>
    <row r="543">
      <c r="B543" s="6"/>
      <c r="C543" s="7"/>
      <c r="D543" s="7"/>
      <c r="E543" s="7"/>
      <c r="F543" s="7"/>
    </row>
    <row r="544">
      <c r="B544" s="6"/>
      <c r="C544" s="7"/>
      <c r="D544" s="7"/>
      <c r="E544" s="7"/>
      <c r="F544" s="7"/>
    </row>
    <row r="545">
      <c r="B545" s="6"/>
      <c r="C545" s="7"/>
      <c r="D545" s="7"/>
      <c r="E545" s="7"/>
      <c r="F545" s="7"/>
    </row>
    <row r="546">
      <c r="B546" s="6"/>
      <c r="C546" s="7"/>
      <c r="D546" s="7"/>
      <c r="E546" s="7"/>
      <c r="F546" s="7"/>
    </row>
    <row r="547">
      <c r="B547" s="6"/>
      <c r="C547" s="7"/>
      <c r="D547" s="7"/>
      <c r="E547" s="7"/>
      <c r="F547" s="7"/>
    </row>
    <row r="548">
      <c r="B548" s="6"/>
      <c r="C548" s="7"/>
      <c r="D548" s="7"/>
      <c r="E548" s="7"/>
      <c r="F548" s="7"/>
    </row>
    <row r="549">
      <c r="B549" s="6"/>
      <c r="C549" s="7"/>
      <c r="D549" s="7"/>
      <c r="E549" s="7"/>
      <c r="F549" s="7"/>
    </row>
    <row r="550">
      <c r="B550" s="6"/>
      <c r="C550" s="7"/>
      <c r="D550" s="7"/>
      <c r="E550" s="7"/>
      <c r="F550" s="7"/>
    </row>
    <row r="551">
      <c r="B551" s="6"/>
      <c r="C551" s="7"/>
      <c r="D551" s="7"/>
      <c r="E551" s="7"/>
      <c r="F551" s="7"/>
    </row>
    <row r="552">
      <c r="B552" s="6"/>
      <c r="C552" s="7"/>
      <c r="D552" s="7"/>
      <c r="E552" s="7"/>
      <c r="F552" s="7"/>
    </row>
    <row r="553">
      <c r="B553" s="6"/>
      <c r="C553" s="7"/>
      <c r="D553" s="7"/>
      <c r="E553" s="7"/>
      <c r="F553" s="7"/>
    </row>
    <row r="554">
      <c r="B554" s="6"/>
      <c r="C554" s="7"/>
      <c r="D554" s="7"/>
      <c r="E554" s="7"/>
      <c r="F554" s="7"/>
    </row>
    <row r="555">
      <c r="B555" s="6"/>
      <c r="C555" s="7"/>
      <c r="D555" s="7"/>
      <c r="E555" s="7"/>
      <c r="F555" s="7"/>
    </row>
    <row r="556">
      <c r="B556" s="6"/>
      <c r="C556" s="7"/>
      <c r="D556" s="7"/>
      <c r="E556" s="7"/>
      <c r="F556" s="7"/>
    </row>
    <row r="557">
      <c r="B557" s="6"/>
      <c r="C557" s="7"/>
      <c r="D557" s="7"/>
      <c r="E557" s="7"/>
      <c r="F557" s="7"/>
    </row>
    <row r="558">
      <c r="B558" s="6"/>
      <c r="C558" s="7"/>
      <c r="D558" s="7"/>
      <c r="E558" s="7"/>
      <c r="F558" s="7"/>
    </row>
    <row r="559">
      <c r="B559" s="6"/>
      <c r="C559" s="7"/>
      <c r="D559" s="7"/>
      <c r="E559" s="7"/>
      <c r="F559" s="7"/>
    </row>
    <row r="560">
      <c r="B560" s="6"/>
      <c r="C560" s="7"/>
      <c r="D560" s="7"/>
      <c r="E560" s="7"/>
      <c r="F560" s="7"/>
    </row>
    <row r="561">
      <c r="B561" s="6"/>
      <c r="C561" s="7"/>
      <c r="D561" s="7"/>
      <c r="E561" s="7"/>
      <c r="F561" s="7"/>
    </row>
    <row r="562">
      <c r="B562" s="6"/>
      <c r="C562" s="7"/>
      <c r="D562" s="7"/>
      <c r="E562" s="7"/>
      <c r="F562" s="7"/>
    </row>
    <row r="563">
      <c r="B563" s="6"/>
      <c r="C563" s="7"/>
      <c r="D563" s="7"/>
      <c r="E563" s="7"/>
      <c r="F563" s="7"/>
    </row>
    <row r="564">
      <c r="B564" s="6"/>
      <c r="C564" s="7"/>
      <c r="D564" s="7"/>
      <c r="E564" s="7"/>
      <c r="F564" s="7"/>
    </row>
    <row r="565">
      <c r="B565" s="6"/>
      <c r="C565" s="7"/>
      <c r="D565" s="7"/>
      <c r="E565" s="7"/>
      <c r="F565" s="7"/>
    </row>
    <row r="566">
      <c r="B566" s="6"/>
      <c r="C566" s="7"/>
      <c r="D566" s="7"/>
      <c r="E566" s="7"/>
      <c r="F566" s="7"/>
    </row>
    <row r="567">
      <c r="B567" s="6"/>
      <c r="C567" s="7"/>
      <c r="D567" s="7"/>
      <c r="E567" s="7"/>
      <c r="F567" s="7"/>
    </row>
    <row r="568">
      <c r="B568" s="6"/>
      <c r="C568" s="7"/>
      <c r="D568" s="7"/>
      <c r="E568" s="7"/>
      <c r="F568" s="7"/>
    </row>
    <row r="569">
      <c r="B569" s="6"/>
      <c r="C569" s="7"/>
      <c r="D569" s="7"/>
      <c r="E569" s="7"/>
      <c r="F569" s="7"/>
    </row>
    <row r="570">
      <c r="B570" s="6"/>
      <c r="C570" s="7"/>
      <c r="D570" s="7"/>
      <c r="E570" s="7"/>
      <c r="F570" s="7"/>
    </row>
    <row r="571">
      <c r="B571" s="6"/>
      <c r="C571" s="7"/>
      <c r="D571" s="7"/>
      <c r="E571" s="7"/>
      <c r="F571" s="7"/>
    </row>
    <row r="572">
      <c r="B572" s="6"/>
      <c r="C572" s="7"/>
      <c r="D572" s="7"/>
      <c r="E572" s="7"/>
      <c r="F572" s="7"/>
    </row>
    <row r="573">
      <c r="B573" s="6"/>
      <c r="C573" s="7"/>
      <c r="D573" s="7"/>
      <c r="E573" s="7"/>
      <c r="F573" s="7"/>
    </row>
    <row r="574">
      <c r="B574" s="6"/>
      <c r="C574" s="7"/>
      <c r="D574" s="7"/>
      <c r="E574" s="7"/>
      <c r="F574" s="7"/>
    </row>
    <row r="575">
      <c r="B575" s="6"/>
      <c r="C575" s="7"/>
      <c r="D575" s="7"/>
      <c r="E575" s="7"/>
      <c r="F575" s="7"/>
    </row>
    <row r="576">
      <c r="B576" s="6"/>
      <c r="C576" s="7"/>
      <c r="D576" s="7"/>
      <c r="E576" s="7"/>
      <c r="F576" s="7"/>
    </row>
    <row r="577">
      <c r="B577" s="6"/>
      <c r="C577" s="7"/>
      <c r="D577" s="7"/>
      <c r="E577" s="7"/>
      <c r="F577" s="7"/>
    </row>
    <row r="578">
      <c r="B578" s="6"/>
      <c r="C578" s="7"/>
      <c r="D578" s="7"/>
      <c r="E578" s="7"/>
      <c r="F578" s="7"/>
    </row>
    <row r="579">
      <c r="B579" s="6"/>
      <c r="C579" s="7"/>
      <c r="D579" s="7"/>
      <c r="E579" s="7"/>
      <c r="F579" s="7"/>
    </row>
    <row r="580">
      <c r="B580" s="6"/>
      <c r="C580" s="7"/>
      <c r="D580" s="7"/>
      <c r="E580" s="7"/>
      <c r="F580" s="7"/>
    </row>
    <row r="581">
      <c r="B581" s="6"/>
      <c r="C581" s="7"/>
      <c r="D581" s="7"/>
      <c r="E581" s="7"/>
      <c r="F581" s="7"/>
    </row>
    <row r="582">
      <c r="B582" s="6"/>
      <c r="C582" s="7"/>
      <c r="D582" s="7"/>
      <c r="E582" s="7"/>
      <c r="F582" s="7"/>
    </row>
    <row r="583">
      <c r="B583" s="6"/>
      <c r="C583" s="7"/>
      <c r="D583" s="7"/>
      <c r="E583" s="7"/>
      <c r="F583" s="7"/>
    </row>
    <row r="584">
      <c r="B584" s="6"/>
      <c r="C584" s="7"/>
      <c r="D584" s="7"/>
      <c r="E584" s="7"/>
      <c r="F584" s="7"/>
    </row>
    <row r="585">
      <c r="B585" s="6"/>
      <c r="C585" s="7"/>
      <c r="D585" s="7"/>
      <c r="E585" s="7"/>
      <c r="F585" s="7"/>
    </row>
    <row r="586">
      <c r="B586" s="6"/>
      <c r="C586" s="7"/>
      <c r="D586" s="7"/>
      <c r="E586" s="7"/>
      <c r="F586" s="7"/>
    </row>
    <row r="587">
      <c r="B587" s="6"/>
      <c r="C587" s="7"/>
      <c r="D587" s="7"/>
      <c r="E587" s="7"/>
      <c r="F587" s="7"/>
    </row>
    <row r="588">
      <c r="B588" s="6"/>
      <c r="C588" s="7"/>
      <c r="D588" s="7"/>
      <c r="E588" s="7"/>
      <c r="F588" s="7"/>
    </row>
    <row r="589">
      <c r="B589" s="6"/>
      <c r="C589" s="7"/>
      <c r="D589" s="7"/>
      <c r="E589" s="7"/>
      <c r="F589" s="7"/>
    </row>
    <row r="590">
      <c r="B590" s="6"/>
      <c r="C590" s="7"/>
      <c r="D590" s="7"/>
      <c r="E590" s="7"/>
      <c r="F590" s="7"/>
    </row>
    <row r="591">
      <c r="B591" s="6"/>
      <c r="C591" s="7"/>
      <c r="D591" s="7"/>
      <c r="E591" s="7"/>
      <c r="F591" s="7"/>
    </row>
    <row r="592">
      <c r="B592" s="6"/>
      <c r="C592" s="7"/>
      <c r="D592" s="7"/>
      <c r="E592" s="7"/>
      <c r="F592" s="7"/>
    </row>
    <row r="593">
      <c r="B593" s="6"/>
      <c r="C593" s="7"/>
      <c r="D593" s="7"/>
      <c r="E593" s="7"/>
      <c r="F593" s="7"/>
    </row>
    <row r="594">
      <c r="B594" s="6"/>
      <c r="C594" s="7"/>
      <c r="D594" s="7"/>
      <c r="E594" s="7"/>
      <c r="F594" s="7"/>
    </row>
    <row r="595">
      <c r="B595" s="6"/>
      <c r="C595" s="7"/>
      <c r="D595" s="7"/>
      <c r="E595" s="7"/>
      <c r="F595" s="7"/>
    </row>
    <row r="596">
      <c r="B596" s="6"/>
      <c r="C596" s="7"/>
      <c r="D596" s="7"/>
      <c r="E596" s="7"/>
      <c r="F596" s="7"/>
    </row>
    <row r="597">
      <c r="B597" s="6"/>
      <c r="C597" s="7"/>
      <c r="D597" s="7"/>
      <c r="E597" s="7"/>
      <c r="F597" s="7"/>
    </row>
    <row r="598">
      <c r="B598" s="6"/>
      <c r="C598" s="7"/>
      <c r="D598" s="7"/>
      <c r="E598" s="7"/>
      <c r="F598" s="7"/>
    </row>
    <row r="599">
      <c r="B599" s="6"/>
      <c r="C599" s="7"/>
      <c r="D599" s="7"/>
      <c r="E599" s="7"/>
      <c r="F599" s="7"/>
    </row>
    <row r="600">
      <c r="B600" s="6"/>
      <c r="C600" s="7"/>
      <c r="D600" s="7"/>
      <c r="E600" s="7"/>
      <c r="F600" s="7"/>
    </row>
    <row r="601">
      <c r="B601" s="6"/>
      <c r="C601" s="7"/>
      <c r="D601" s="7"/>
      <c r="E601" s="7"/>
      <c r="F601" s="7"/>
    </row>
    <row r="602">
      <c r="B602" s="6"/>
      <c r="C602" s="7"/>
      <c r="D602" s="7"/>
      <c r="E602" s="7"/>
      <c r="F602" s="7"/>
    </row>
    <row r="603">
      <c r="B603" s="6"/>
      <c r="C603" s="7"/>
      <c r="D603" s="7"/>
      <c r="E603" s="7"/>
      <c r="F603" s="7"/>
    </row>
    <row r="604">
      <c r="B604" s="6"/>
      <c r="C604" s="7"/>
      <c r="D604" s="7"/>
      <c r="E604" s="7"/>
      <c r="F604" s="7"/>
    </row>
    <row r="605">
      <c r="B605" s="6"/>
      <c r="C605" s="7"/>
      <c r="D605" s="7"/>
      <c r="E605" s="7"/>
      <c r="F605" s="7"/>
    </row>
    <row r="606">
      <c r="B606" s="6"/>
      <c r="C606" s="7"/>
      <c r="D606" s="7"/>
      <c r="E606" s="7"/>
      <c r="F606" s="7"/>
    </row>
    <row r="607">
      <c r="B607" s="6"/>
      <c r="C607" s="7"/>
      <c r="D607" s="7"/>
      <c r="E607" s="7"/>
      <c r="F607" s="7"/>
    </row>
    <row r="608">
      <c r="B608" s="6"/>
      <c r="C608" s="7"/>
      <c r="D608" s="7"/>
      <c r="E608" s="7"/>
      <c r="F608" s="7"/>
    </row>
    <row r="609">
      <c r="B609" s="6"/>
      <c r="C609" s="7"/>
      <c r="D609" s="7"/>
      <c r="E609" s="7"/>
      <c r="F609" s="7"/>
    </row>
    <row r="610">
      <c r="B610" s="6"/>
      <c r="C610" s="7"/>
      <c r="D610" s="7"/>
      <c r="E610" s="7"/>
      <c r="F610" s="7"/>
    </row>
    <row r="611">
      <c r="B611" s="6"/>
      <c r="C611" s="7"/>
      <c r="D611" s="7"/>
      <c r="E611" s="7"/>
      <c r="F611" s="7"/>
    </row>
    <row r="612">
      <c r="B612" s="6"/>
      <c r="C612" s="7"/>
      <c r="D612" s="7"/>
      <c r="E612" s="7"/>
      <c r="F612" s="7"/>
    </row>
    <row r="613">
      <c r="B613" s="6"/>
      <c r="C613" s="7"/>
      <c r="D613" s="7"/>
      <c r="E613" s="7"/>
      <c r="F613" s="7"/>
    </row>
    <row r="614">
      <c r="B614" s="6"/>
      <c r="C614" s="7"/>
      <c r="D614" s="7"/>
      <c r="E614" s="7"/>
      <c r="F614" s="7"/>
    </row>
    <row r="615">
      <c r="B615" s="6"/>
      <c r="C615" s="7"/>
      <c r="D615" s="7"/>
      <c r="E615" s="7"/>
      <c r="F615" s="7"/>
    </row>
    <row r="616">
      <c r="B616" s="6"/>
      <c r="C616" s="7"/>
      <c r="D616" s="7"/>
      <c r="E616" s="7"/>
      <c r="F616" s="7"/>
    </row>
    <row r="617">
      <c r="B617" s="6"/>
      <c r="C617" s="7"/>
      <c r="D617" s="7"/>
      <c r="E617" s="7"/>
      <c r="F617" s="7"/>
    </row>
    <row r="618">
      <c r="B618" s="6"/>
      <c r="C618" s="7"/>
      <c r="D618" s="7"/>
      <c r="E618" s="7"/>
      <c r="F618" s="7"/>
    </row>
    <row r="619">
      <c r="B619" s="6"/>
      <c r="C619" s="7"/>
      <c r="D619" s="7"/>
      <c r="E619" s="7"/>
      <c r="F619" s="7"/>
    </row>
    <row r="620">
      <c r="B620" s="6"/>
      <c r="C620" s="7"/>
      <c r="D620" s="7"/>
      <c r="E620" s="7"/>
      <c r="F620" s="7"/>
    </row>
    <row r="621">
      <c r="B621" s="6"/>
      <c r="C621" s="7"/>
      <c r="D621" s="7"/>
      <c r="E621" s="7"/>
      <c r="F621" s="7"/>
    </row>
    <row r="622">
      <c r="B622" s="6"/>
      <c r="C622" s="7"/>
      <c r="D622" s="7"/>
      <c r="E622" s="7"/>
      <c r="F622" s="7"/>
    </row>
    <row r="623">
      <c r="B623" s="6"/>
      <c r="C623" s="7"/>
      <c r="D623" s="7"/>
      <c r="E623" s="7"/>
      <c r="F623" s="7"/>
    </row>
    <row r="624">
      <c r="B624" s="6"/>
      <c r="C624" s="7"/>
      <c r="D624" s="7"/>
      <c r="E624" s="7"/>
      <c r="F624" s="7"/>
    </row>
    <row r="625">
      <c r="B625" s="6"/>
      <c r="C625" s="7"/>
      <c r="D625" s="7"/>
      <c r="E625" s="7"/>
      <c r="F625" s="7"/>
    </row>
    <row r="626">
      <c r="B626" s="6"/>
      <c r="C626" s="7"/>
      <c r="D626" s="7"/>
      <c r="E626" s="7"/>
      <c r="F626" s="7"/>
    </row>
    <row r="627">
      <c r="B627" s="6"/>
      <c r="C627" s="7"/>
      <c r="D627" s="7"/>
      <c r="E627" s="7"/>
      <c r="F627" s="7"/>
    </row>
    <row r="628">
      <c r="B628" s="6"/>
      <c r="C628" s="7"/>
      <c r="D628" s="7"/>
      <c r="E628" s="7"/>
      <c r="F628" s="7"/>
    </row>
    <row r="629">
      <c r="B629" s="6"/>
      <c r="C629" s="7"/>
      <c r="D629" s="7"/>
      <c r="E629" s="7"/>
      <c r="F629" s="7"/>
    </row>
    <row r="630">
      <c r="B630" s="6"/>
      <c r="C630" s="7"/>
      <c r="D630" s="7"/>
      <c r="E630" s="7"/>
      <c r="F630" s="7"/>
    </row>
    <row r="631">
      <c r="B631" s="6"/>
      <c r="C631" s="7"/>
      <c r="D631" s="7"/>
      <c r="E631" s="7"/>
      <c r="F631" s="7"/>
    </row>
    <row r="632">
      <c r="B632" s="6"/>
      <c r="C632" s="7"/>
      <c r="D632" s="7"/>
      <c r="E632" s="7"/>
      <c r="F632" s="7"/>
    </row>
    <row r="633">
      <c r="B633" s="6"/>
      <c r="C633" s="7"/>
      <c r="D633" s="7"/>
      <c r="E633" s="7"/>
      <c r="F633" s="7"/>
    </row>
    <row r="634">
      <c r="B634" s="6"/>
      <c r="C634" s="7"/>
      <c r="D634" s="7"/>
      <c r="E634" s="7"/>
      <c r="F634" s="7"/>
    </row>
    <row r="635">
      <c r="B635" s="6"/>
      <c r="C635" s="7"/>
      <c r="D635" s="7"/>
      <c r="E635" s="7"/>
      <c r="F635" s="7"/>
    </row>
    <row r="636">
      <c r="B636" s="6"/>
      <c r="C636" s="7"/>
      <c r="D636" s="7"/>
      <c r="E636" s="7"/>
      <c r="F636" s="7"/>
    </row>
    <row r="637">
      <c r="B637" s="6"/>
      <c r="C637" s="7"/>
      <c r="D637" s="7"/>
      <c r="E637" s="7"/>
      <c r="F637" s="7"/>
    </row>
    <row r="638">
      <c r="B638" s="6"/>
      <c r="C638" s="7"/>
      <c r="D638" s="7"/>
      <c r="E638" s="7"/>
      <c r="F638" s="7"/>
    </row>
    <row r="639">
      <c r="B639" s="6"/>
      <c r="C639" s="7"/>
      <c r="D639" s="7"/>
      <c r="E639" s="7"/>
      <c r="F639" s="7"/>
    </row>
    <row r="640">
      <c r="B640" s="6"/>
      <c r="C640" s="7"/>
      <c r="D640" s="7"/>
      <c r="E640" s="7"/>
      <c r="F640" s="7"/>
    </row>
    <row r="641">
      <c r="B641" s="6"/>
      <c r="C641" s="7"/>
      <c r="D641" s="7"/>
      <c r="E641" s="7"/>
      <c r="F641" s="7"/>
    </row>
    <row r="642">
      <c r="B642" s="6"/>
      <c r="C642" s="7"/>
      <c r="D642" s="7"/>
      <c r="E642" s="7"/>
      <c r="F642" s="7"/>
    </row>
    <row r="643">
      <c r="B643" s="6"/>
      <c r="C643" s="7"/>
      <c r="D643" s="7"/>
      <c r="E643" s="7"/>
      <c r="F643" s="7"/>
    </row>
    <row r="644">
      <c r="B644" s="6"/>
      <c r="C644" s="7"/>
      <c r="D644" s="7"/>
      <c r="E644" s="7"/>
      <c r="F644" s="7"/>
    </row>
    <row r="645">
      <c r="B645" s="6"/>
      <c r="C645" s="7"/>
      <c r="D645" s="7"/>
      <c r="E645" s="7"/>
      <c r="F645" s="7"/>
    </row>
    <row r="646">
      <c r="B646" s="6"/>
      <c r="C646" s="7"/>
      <c r="D646" s="7"/>
      <c r="E646" s="7"/>
      <c r="F646" s="7"/>
    </row>
    <row r="647">
      <c r="B647" s="6"/>
      <c r="C647" s="7"/>
      <c r="D647" s="7"/>
      <c r="E647" s="7"/>
      <c r="F647" s="7"/>
    </row>
    <row r="648">
      <c r="B648" s="6"/>
      <c r="C648" s="7"/>
      <c r="D648" s="7"/>
      <c r="E648" s="7"/>
      <c r="F648" s="7"/>
    </row>
    <row r="649">
      <c r="B649" s="6"/>
      <c r="C649" s="7"/>
      <c r="D649" s="7"/>
      <c r="E649" s="7"/>
      <c r="F649" s="7"/>
    </row>
    <row r="650">
      <c r="B650" s="6"/>
      <c r="C650" s="7"/>
      <c r="D650" s="7"/>
      <c r="E650" s="7"/>
      <c r="F650" s="7"/>
    </row>
    <row r="651">
      <c r="B651" s="6"/>
      <c r="C651" s="7"/>
      <c r="D651" s="7"/>
      <c r="E651" s="7"/>
      <c r="F651" s="7"/>
    </row>
    <row r="652">
      <c r="B652" s="6"/>
      <c r="C652" s="7"/>
      <c r="D652" s="7"/>
      <c r="E652" s="7"/>
      <c r="F652" s="7"/>
    </row>
    <row r="653">
      <c r="B653" s="6"/>
      <c r="C653" s="7"/>
      <c r="D653" s="7"/>
      <c r="E653" s="7"/>
      <c r="F653" s="7"/>
    </row>
    <row r="654">
      <c r="B654" s="6"/>
      <c r="C654" s="7"/>
      <c r="D654" s="7"/>
      <c r="E654" s="7"/>
      <c r="F654" s="7"/>
    </row>
    <row r="655">
      <c r="B655" s="6"/>
      <c r="C655" s="7"/>
      <c r="D655" s="7"/>
      <c r="E655" s="7"/>
      <c r="F655" s="7"/>
    </row>
    <row r="656">
      <c r="B656" s="6"/>
      <c r="C656" s="7"/>
      <c r="D656" s="7"/>
      <c r="E656" s="7"/>
      <c r="F656" s="7"/>
    </row>
    <row r="657">
      <c r="B657" s="6"/>
      <c r="C657" s="7"/>
      <c r="D657" s="7"/>
      <c r="E657" s="7"/>
      <c r="F657" s="7"/>
    </row>
    <row r="658">
      <c r="B658" s="6"/>
      <c r="C658" s="7"/>
      <c r="D658" s="7"/>
      <c r="E658" s="7"/>
      <c r="F658" s="7"/>
    </row>
    <row r="659">
      <c r="B659" s="6"/>
      <c r="C659" s="7"/>
      <c r="D659" s="7"/>
      <c r="E659" s="7"/>
      <c r="F659" s="7"/>
    </row>
    <row r="660">
      <c r="B660" s="6"/>
      <c r="C660" s="7"/>
      <c r="D660" s="7"/>
      <c r="E660" s="7"/>
      <c r="F660" s="7"/>
    </row>
    <row r="661">
      <c r="B661" s="6"/>
      <c r="C661" s="7"/>
      <c r="D661" s="7"/>
      <c r="E661" s="7"/>
      <c r="F661" s="7"/>
    </row>
    <row r="662">
      <c r="B662" s="6"/>
      <c r="C662" s="7"/>
      <c r="D662" s="7"/>
      <c r="E662" s="7"/>
      <c r="F662" s="7"/>
    </row>
    <row r="663">
      <c r="B663" s="6"/>
      <c r="C663" s="7"/>
      <c r="D663" s="7"/>
      <c r="E663" s="7"/>
      <c r="F663" s="7"/>
    </row>
    <row r="664">
      <c r="B664" s="6"/>
      <c r="C664" s="7"/>
      <c r="D664" s="7"/>
      <c r="E664" s="7"/>
      <c r="F664" s="7"/>
    </row>
    <row r="665">
      <c r="B665" s="6"/>
      <c r="C665" s="7"/>
      <c r="D665" s="7"/>
      <c r="E665" s="7"/>
      <c r="F665" s="7"/>
    </row>
    <row r="666">
      <c r="B666" s="6"/>
      <c r="C666" s="7"/>
      <c r="D666" s="7"/>
      <c r="E666" s="7"/>
      <c r="F666" s="7"/>
    </row>
    <row r="667">
      <c r="B667" s="6"/>
      <c r="C667" s="7"/>
      <c r="D667" s="7"/>
      <c r="E667" s="7"/>
      <c r="F667" s="7"/>
    </row>
    <row r="668">
      <c r="B668" s="6"/>
      <c r="C668" s="7"/>
      <c r="D668" s="7"/>
      <c r="E668" s="7"/>
      <c r="F668" s="7"/>
    </row>
    <row r="669">
      <c r="B669" s="6"/>
      <c r="C669" s="7"/>
      <c r="D669" s="7"/>
      <c r="E669" s="7"/>
      <c r="F669" s="7"/>
    </row>
    <row r="670">
      <c r="B670" s="6"/>
      <c r="C670" s="7"/>
      <c r="D670" s="7"/>
      <c r="E670" s="7"/>
      <c r="F670" s="7"/>
    </row>
    <row r="671">
      <c r="B671" s="6"/>
      <c r="C671" s="7"/>
      <c r="D671" s="7"/>
      <c r="E671" s="7"/>
      <c r="F671" s="7"/>
    </row>
    <row r="672">
      <c r="B672" s="6"/>
      <c r="C672" s="7"/>
      <c r="D672" s="7"/>
      <c r="E672" s="7"/>
      <c r="F672" s="7"/>
    </row>
    <row r="673">
      <c r="B673" s="6"/>
      <c r="C673" s="7"/>
      <c r="D673" s="7"/>
      <c r="E673" s="7"/>
      <c r="F673" s="7"/>
    </row>
    <row r="674">
      <c r="B674" s="6"/>
      <c r="C674" s="7"/>
      <c r="D674" s="7"/>
      <c r="E674" s="7"/>
      <c r="F674" s="7"/>
    </row>
    <row r="675">
      <c r="B675" s="6"/>
      <c r="C675" s="7"/>
      <c r="D675" s="7"/>
      <c r="E675" s="7"/>
      <c r="F675" s="7"/>
    </row>
    <row r="676">
      <c r="B676" s="6"/>
      <c r="C676" s="7"/>
      <c r="D676" s="7"/>
      <c r="E676" s="7"/>
      <c r="F676" s="7"/>
    </row>
    <row r="677">
      <c r="B677" s="6"/>
      <c r="C677" s="7"/>
      <c r="D677" s="7"/>
      <c r="E677" s="7"/>
      <c r="F677" s="7"/>
    </row>
    <row r="678">
      <c r="B678" s="6"/>
      <c r="C678" s="7"/>
      <c r="D678" s="7"/>
      <c r="E678" s="7"/>
      <c r="F678" s="7"/>
    </row>
    <row r="679">
      <c r="B679" s="6"/>
      <c r="C679" s="7"/>
      <c r="D679" s="7"/>
      <c r="E679" s="7"/>
      <c r="F679" s="7"/>
    </row>
    <row r="680">
      <c r="B680" s="6"/>
      <c r="C680" s="7"/>
      <c r="D680" s="7"/>
      <c r="E680" s="7"/>
      <c r="F680" s="7"/>
    </row>
    <row r="681">
      <c r="B681" s="6"/>
      <c r="C681" s="7"/>
      <c r="D681" s="7"/>
      <c r="E681" s="7"/>
      <c r="F681" s="7"/>
    </row>
    <row r="682">
      <c r="B682" s="6"/>
      <c r="C682" s="7"/>
      <c r="D682" s="7"/>
      <c r="E682" s="7"/>
      <c r="F682" s="7"/>
    </row>
    <row r="683">
      <c r="B683" s="6"/>
      <c r="C683" s="7"/>
      <c r="D683" s="7"/>
      <c r="E683" s="7"/>
      <c r="F683" s="7"/>
    </row>
    <row r="684">
      <c r="B684" s="6"/>
      <c r="C684" s="7"/>
      <c r="D684" s="7"/>
      <c r="E684" s="7"/>
      <c r="F684" s="7"/>
    </row>
    <row r="685">
      <c r="B685" s="6"/>
      <c r="C685" s="7"/>
      <c r="D685" s="7"/>
      <c r="E685" s="7"/>
      <c r="F685" s="7"/>
    </row>
    <row r="686">
      <c r="B686" s="6"/>
      <c r="C686" s="7"/>
      <c r="D686" s="7"/>
      <c r="E686" s="7"/>
      <c r="F686" s="7"/>
    </row>
    <row r="687">
      <c r="B687" s="6"/>
      <c r="C687" s="7"/>
      <c r="D687" s="7"/>
      <c r="E687" s="7"/>
      <c r="F687" s="7"/>
    </row>
    <row r="688">
      <c r="B688" s="6"/>
      <c r="C688" s="7"/>
      <c r="D688" s="7"/>
      <c r="E688" s="7"/>
      <c r="F688" s="7"/>
    </row>
    <row r="689">
      <c r="B689" s="6"/>
      <c r="C689" s="7"/>
      <c r="D689" s="7"/>
      <c r="E689" s="7"/>
      <c r="F689" s="7"/>
    </row>
    <row r="690">
      <c r="B690" s="6"/>
      <c r="C690" s="7"/>
      <c r="D690" s="7"/>
      <c r="E690" s="7"/>
      <c r="F690" s="7"/>
    </row>
    <row r="691">
      <c r="B691" s="6"/>
      <c r="C691" s="7"/>
      <c r="D691" s="7"/>
      <c r="E691" s="7"/>
      <c r="F691" s="7"/>
    </row>
    <row r="692">
      <c r="B692" s="6"/>
      <c r="C692" s="7"/>
      <c r="D692" s="7"/>
      <c r="E692" s="7"/>
      <c r="F692" s="7"/>
    </row>
    <row r="693">
      <c r="B693" s="6"/>
      <c r="C693" s="7"/>
      <c r="D693" s="7"/>
      <c r="E693" s="7"/>
      <c r="F693" s="7"/>
    </row>
    <row r="694">
      <c r="B694" s="6"/>
      <c r="C694" s="7"/>
      <c r="D694" s="7"/>
      <c r="E694" s="7"/>
      <c r="F694" s="7"/>
    </row>
    <row r="695">
      <c r="B695" s="6"/>
      <c r="C695" s="7"/>
      <c r="D695" s="7"/>
      <c r="E695" s="7"/>
      <c r="F695" s="7"/>
    </row>
    <row r="696">
      <c r="B696" s="6"/>
      <c r="C696" s="7"/>
      <c r="D696" s="7"/>
      <c r="E696" s="7"/>
      <c r="F696" s="7"/>
    </row>
    <row r="697">
      <c r="B697" s="6"/>
      <c r="C697" s="7"/>
      <c r="D697" s="7"/>
      <c r="E697" s="7"/>
      <c r="F697" s="7"/>
    </row>
    <row r="698">
      <c r="B698" s="6"/>
      <c r="C698" s="7"/>
      <c r="D698" s="7"/>
      <c r="E698" s="7"/>
      <c r="F698" s="7"/>
    </row>
    <row r="699">
      <c r="B699" s="6"/>
      <c r="C699" s="7"/>
      <c r="D699" s="7"/>
      <c r="E699" s="7"/>
      <c r="F699" s="7"/>
    </row>
    <row r="700">
      <c r="B700" s="6"/>
      <c r="C700" s="7"/>
      <c r="D700" s="7"/>
      <c r="E700" s="7"/>
      <c r="F700" s="7"/>
    </row>
    <row r="701">
      <c r="B701" s="6"/>
      <c r="C701" s="7"/>
      <c r="D701" s="7"/>
      <c r="E701" s="7"/>
      <c r="F701" s="7"/>
    </row>
    <row r="702">
      <c r="B702" s="6"/>
      <c r="C702" s="7"/>
      <c r="D702" s="7"/>
      <c r="E702" s="7"/>
      <c r="F702" s="7"/>
    </row>
    <row r="703">
      <c r="B703" s="6"/>
      <c r="C703" s="7"/>
      <c r="D703" s="7"/>
      <c r="E703" s="7"/>
      <c r="F703" s="7"/>
    </row>
    <row r="704">
      <c r="B704" s="6"/>
      <c r="C704" s="7"/>
      <c r="D704" s="7"/>
      <c r="E704" s="7"/>
      <c r="F704" s="7"/>
    </row>
    <row r="705">
      <c r="B705" s="6"/>
      <c r="C705" s="7"/>
      <c r="D705" s="7"/>
      <c r="E705" s="7"/>
      <c r="F705" s="7"/>
    </row>
    <row r="706">
      <c r="B706" s="6"/>
      <c r="C706" s="7"/>
      <c r="D706" s="7"/>
      <c r="E706" s="7"/>
      <c r="F706" s="7"/>
    </row>
    <row r="707">
      <c r="B707" s="6"/>
      <c r="C707" s="7"/>
      <c r="D707" s="7"/>
      <c r="E707" s="7"/>
      <c r="F707" s="7"/>
    </row>
    <row r="708">
      <c r="B708" s="6"/>
      <c r="C708" s="7"/>
      <c r="D708" s="7"/>
      <c r="E708" s="7"/>
      <c r="F708" s="7"/>
    </row>
    <row r="709">
      <c r="B709" s="6"/>
      <c r="C709" s="7"/>
      <c r="D709" s="7"/>
      <c r="E709" s="7"/>
      <c r="F709" s="7"/>
    </row>
    <row r="710">
      <c r="B710" s="6"/>
      <c r="C710" s="7"/>
      <c r="D710" s="7"/>
      <c r="E710" s="7"/>
      <c r="F710" s="7"/>
    </row>
    <row r="711">
      <c r="B711" s="6"/>
      <c r="C711" s="7"/>
      <c r="D711" s="7"/>
      <c r="E711" s="7"/>
      <c r="F711" s="7"/>
    </row>
    <row r="712">
      <c r="B712" s="6"/>
      <c r="C712" s="7"/>
      <c r="D712" s="7"/>
      <c r="E712" s="7"/>
      <c r="F712" s="7"/>
    </row>
    <row r="713">
      <c r="B713" s="6"/>
      <c r="C713" s="7"/>
      <c r="D713" s="7"/>
      <c r="E713" s="7"/>
      <c r="F713" s="7"/>
    </row>
    <row r="714">
      <c r="B714" s="6"/>
      <c r="C714" s="7"/>
      <c r="D714" s="7"/>
      <c r="E714" s="7"/>
      <c r="F714" s="7"/>
    </row>
    <row r="715">
      <c r="B715" s="6"/>
      <c r="C715" s="7"/>
      <c r="D715" s="7"/>
      <c r="E715" s="7"/>
      <c r="F715" s="7"/>
    </row>
    <row r="716">
      <c r="B716" s="6"/>
      <c r="C716" s="7"/>
      <c r="D716" s="7"/>
      <c r="E716" s="7"/>
      <c r="F716" s="7"/>
    </row>
    <row r="717">
      <c r="B717" s="6"/>
      <c r="C717" s="7"/>
      <c r="D717" s="7"/>
      <c r="E717" s="7"/>
      <c r="F717" s="7"/>
    </row>
    <row r="718">
      <c r="B718" s="6"/>
      <c r="C718" s="7"/>
      <c r="D718" s="7"/>
      <c r="E718" s="7"/>
      <c r="F718" s="7"/>
    </row>
    <row r="719">
      <c r="B719" s="6"/>
      <c r="C719" s="7"/>
      <c r="D719" s="7"/>
      <c r="E719" s="7"/>
      <c r="F719" s="7"/>
    </row>
    <row r="720">
      <c r="B720" s="6"/>
      <c r="C720" s="7"/>
      <c r="D720" s="7"/>
      <c r="E720" s="7"/>
      <c r="F720" s="7"/>
    </row>
    <row r="721">
      <c r="B721" s="6"/>
      <c r="C721" s="7"/>
      <c r="D721" s="7"/>
      <c r="E721" s="7"/>
      <c r="F721" s="7"/>
    </row>
    <row r="722">
      <c r="B722" s="6"/>
      <c r="C722" s="7"/>
      <c r="D722" s="7"/>
      <c r="E722" s="7"/>
      <c r="F722" s="7"/>
    </row>
    <row r="723">
      <c r="B723" s="6"/>
      <c r="C723" s="7"/>
      <c r="D723" s="7"/>
      <c r="E723" s="7"/>
      <c r="F723" s="7"/>
    </row>
    <row r="724">
      <c r="B724" s="6"/>
      <c r="C724" s="7"/>
      <c r="D724" s="7"/>
      <c r="E724" s="7"/>
      <c r="F724" s="7"/>
    </row>
    <row r="725">
      <c r="B725" s="6"/>
      <c r="C725" s="7"/>
      <c r="D725" s="7"/>
      <c r="E725" s="7"/>
      <c r="F725" s="7"/>
    </row>
    <row r="726">
      <c r="B726" s="6"/>
      <c r="C726" s="7"/>
      <c r="D726" s="7"/>
      <c r="E726" s="7"/>
      <c r="F726" s="7"/>
    </row>
    <row r="727">
      <c r="B727" s="6"/>
      <c r="C727" s="7"/>
      <c r="D727" s="7"/>
      <c r="E727" s="7"/>
      <c r="F727" s="7"/>
    </row>
    <row r="728">
      <c r="B728" s="6"/>
      <c r="C728" s="7"/>
      <c r="D728" s="7"/>
      <c r="E728" s="7"/>
      <c r="F728" s="7"/>
    </row>
    <row r="729">
      <c r="B729" s="6"/>
      <c r="C729" s="7"/>
      <c r="D729" s="7"/>
      <c r="E729" s="7"/>
      <c r="F729" s="7"/>
    </row>
    <row r="730">
      <c r="B730" s="6"/>
      <c r="C730" s="7"/>
      <c r="D730" s="7"/>
      <c r="E730" s="7"/>
      <c r="F730" s="7"/>
    </row>
    <row r="731">
      <c r="B731" s="6"/>
      <c r="C731" s="7"/>
      <c r="D731" s="7"/>
      <c r="E731" s="7"/>
      <c r="F731" s="7"/>
    </row>
    <row r="732">
      <c r="B732" s="6"/>
      <c r="C732" s="7"/>
      <c r="D732" s="7"/>
      <c r="E732" s="7"/>
      <c r="F732" s="7"/>
    </row>
    <row r="733">
      <c r="B733" s="6"/>
      <c r="C733" s="7"/>
      <c r="D733" s="7"/>
      <c r="E733" s="7"/>
      <c r="F733" s="7"/>
    </row>
    <row r="734">
      <c r="B734" s="6"/>
      <c r="C734" s="7"/>
      <c r="D734" s="7"/>
      <c r="E734" s="7"/>
      <c r="F734" s="7"/>
    </row>
    <row r="735">
      <c r="B735" s="6"/>
      <c r="C735" s="7"/>
      <c r="D735" s="7"/>
      <c r="E735" s="7"/>
      <c r="F735" s="7"/>
    </row>
    <row r="736">
      <c r="B736" s="6"/>
      <c r="C736" s="7"/>
      <c r="D736" s="7"/>
      <c r="E736" s="7"/>
      <c r="F736" s="7"/>
    </row>
    <row r="737">
      <c r="B737" s="6"/>
      <c r="C737" s="7"/>
      <c r="D737" s="7"/>
      <c r="E737" s="7"/>
      <c r="F737" s="7"/>
    </row>
    <row r="738">
      <c r="B738" s="6"/>
      <c r="C738" s="7"/>
      <c r="D738" s="7"/>
      <c r="E738" s="7"/>
      <c r="F738" s="7"/>
    </row>
    <row r="739">
      <c r="B739" s="6"/>
      <c r="C739" s="7"/>
      <c r="D739" s="7"/>
      <c r="E739" s="7"/>
      <c r="F739" s="7"/>
    </row>
    <row r="740">
      <c r="B740" s="6"/>
      <c r="C740" s="7"/>
      <c r="D740" s="7"/>
      <c r="E740" s="7"/>
      <c r="F740" s="7"/>
    </row>
    <row r="741">
      <c r="B741" s="6"/>
      <c r="C741" s="7"/>
      <c r="D741" s="7"/>
      <c r="E741" s="7"/>
      <c r="F741" s="7"/>
    </row>
    <row r="742">
      <c r="B742" s="6"/>
      <c r="C742" s="7"/>
      <c r="D742" s="7"/>
      <c r="E742" s="7"/>
      <c r="F742" s="7"/>
    </row>
    <row r="743">
      <c r="B743" s="6"/>
      <c r="C743" s="7"/>
      <c r="D743" s="7"/>
      <c r="E743" s="7"/>
      <c r="F743" s="7"/>
    </row>
    <row r="744">
      <c r="B744" s="6"/>
      <c r="C744" s="7"/>
      <c r="D744" s="7"/>
      <c r="E744" s="7"/>
      <c r="F744" s="7"/>
    </row>
    <row r="745">
      <c r="B745" s="6"/>
      <c r="C745" s="7"/>
      <c r="D745" s="7"/>
      <c r="E745" s="7"/>
      <c r="F745" s="7"/>
    </row>
    <row r="746">
      <c r="B746" s="6"/>
      <c r="C746" s="7"/>
      <c r="D746" s="7"/>
      <c r="E746" s="7"/>
      <c r="F746" s="7"/>
    </row>
    <row r="747">
      <c r="B747" s="6"/>
      <c r="C747" s="7"/>
      <c r="D747" s="7"/>
      <c r="E747" s="7"/>
      <c r="F747" s="7"/>
    </row>
    <row r="748">
      <c r="B748" s="6"/>
      <c r="C748" s="7"/>
      <c r="D748" s="7"/>
      <c r="E748" s="7"/>
      <c r="F748" s="7"/>
    </row>
    <row r="749">
      <c r="B749" s="6"/>
      <c r="C749" s="7"/>
      <c r="D749" s="7"/>
      <c r="E749" s="7"/>
      <c r="F749" s="7"/>
    </row>
    <row r="750">
      <c r="B750" s="6"/>
      <c r="C750" s="7"/>
      <c r="D750" s="7"/>
      <c r="E750" s="7"/>
      <c r="F750" s="7"/>
    </row>
    <row r="751">
      <c r="B751" s="6"/>
      <c r="C751" s="7"/>
      <c r="D751" s="7"/>
      <c r="E751" s="7"/>
      <c r="F751" s="7"/>
    </row>
    <row r="752">
      <c r="B752" s="6"/>
      <c r="C752" s="7"/>
      <c r="D752" s="7"/>
      <c r="E752" s="7"/>
      <c r="F752" s="7"/>
    </row>
    <row r="753">
      <c r="B753" s="6"/>
      <c r="C753" s="7"/>
      <c r="D753" s="7"/>
      <c r="E753" s="7"/>
      <c r="F753" s="7"/>
    </row>
    <row r="754">
      <c r="B754" s="6"/>
      <c r="C754" s="7"/>
      <c r="D754" s="7"/>
      <c r="E754" s="7"/>
      <c r="F754" s="7"/>
    </row>
    <row r="755">
      <c r="B755" s="6"/>
      <c r="C755" s="7"/>
      <c r="D755" s="7"/>
      <c r="E755" s="7"/>
      <c r="F755" s="7"/>
    </row>
    <row r="756">
      <c r="B756" s="6"/>
      <c r="C756" s="7"/>
      <c r="D756" s="7"/>
      <c r="E756" s="7"/>
      <c r="F756" s="7"/>
    </row>
    <row r="757">
      <c r="B757" s="6"/>
      <c r="C757" s="7"/>
      <c r="D757" s="7"/>
      <c r="E757" s="7"/>
      <c r="F757" s="7"/>
    </row>
    <row r="758">
      <c r="B758" s="6"/>
      <c r="C758" s="7"/>
      <c r="D758" s="7"/>
      <c r="E758" s="7"/>
      <c r="F758" s="7"/>
    </row>
    <row r="759">
      <c r="B759" s="6"/>
      <c r="C759" s="7"/>
      <c r="D759" s="7"/>
      <c r="E759" s="7"/>
      <c r="F759" s="7"/>
    </row>
    <row r="760">
      <c r="B760" s="6"/>
      <c r="C760" s="7"/>
      <c r="D760" s="7"/>
      <c r="E760" s="7"/>
      <c r="F760" s="7"/>
    </row>
    <row r="761">
      <c r="B761" s="6"/>
      <c r="C761" s="7"/>
      <c r="D761" s="7"/>
      <c r="E761" s="7"/>
      <c r="F761" s="7"/>
    </row>
    <row r="762">
      <c r="B762" s="6"/>
      <c r="C762" s="7"/>
      <c r="D762" s="7"/>
      <c r="E762" s="7"/>
      <c r="F762" s="7"/>
    </row>
    <row r="763">
      <c r="B763" s="6"/>
      <c r="C763" s="7"/>
      <c r="D763" s="7"/>
      <c r="E763" s="7"/>
      <c r="F763" s="7"/>
    </row>
    <row r="764">
      <c r="B764" s="6"/>
      <c r="C764" s="7"/>
      <c r="D764" s="7"/>
      <c r="E764" s="7"/>
      <c r="F764" s="7"/>
    </row>
    <row r="765">
      <c r="B765" s="6"/>
      <c r="C765" s="7"/>
      <c r="D765" s="7"/>
      <c r="E765" s="7"/>
      <c r="F765" s="7"/>
    </row>
    <row r="766">
      <c r="B766" s="6"/>
      <c r="C766" s="7"/>
      <c r="D766" s="7"/>
      <c r="E766" s="7"/>
      <c r="F766" s="7"/>
    </row>
    <row r="767">
      <c r="B767" s="6"/>
      <c r="C767" s="7"/>
      <c r="D767" s="7"/>
      <c r="E767" s="7"/>
      <c r="F767" s="7"/>
    </row>
    <row r="768">
      <c r="B768" s="6"/>
      <c r="C768" s="7"/>
      <c r="D768" s="7"/>
      <c r="E768" s="7"/>
      <c r="F768" s="7"/>
    </row>
    <row r="769">
      <c r="B769" s="6"/>
      <c r="C769" s="7"/>
      <c r="D769" s="7"/>
      <c r="E769" s="7"/>
      <c r="F769" s="7"/>
    </row>
    <row r="770">
      <c r="B770" s="6"/>
      <c r="C770" s="7"/>
      <c r="D770" s="7"/>
      <c r="E770" s="7"/>
      <c r="F770" s="7"/>
    </row>
    <row r="771">
      <c r="B771" s="6"/>
      <c r="C771" s="7"/>
      <c r="D771" s="7"/>
      <c r="E771" s="7"/>
      <c r="F771" s="7"/>
    </row>
    <row r="772">
      <c r="B772" s="6"/>
      <c r="C772" s="7"/>
      <c r="D772" s="7"/>
      <c r="E772" s="7"/>
      <c r="F772" s="7"/>
    </row>
    <row r="773">
      <c r="B773" s="6"/>
      <c r="C773" s="7"/>
      <c r="D773" s="7"/>
      <c r="E773" s="7"/>
      <c r="F773" s="7"/>
    </row>
    <row r="774">
      <c r="B774" s="6"/>
      <c r="C774" s="7"/>
      <c r="D774" s="7"/>
      <c r="E774" s="7"/>
      <c r="F774" s="7"/>
    </row>
    <row r="775">
      <c r="B775" s="6"/>
      <c r="C775" s="7"/>
      <c r="D775" s="7"/>
      <c r="E775" s="7"/>
      <c r="F775" s="7"/>
    </row>
    <row r="776">
      <c r="B776" s="6"/>
      <c r="C776" s="7"/>
      <c r="D776" s="7"/>
      <c r="E776" s="7"/>
      <c r="F776" s="7"/>
    </row>
    <row r="777">
      <c r="B777" s="6"/>
      <c r="C777" s="7"/>
      <c r="D777" s="7"/>
      <c r="E777" s="7"/>
      <c r="F777" s="7"/>
    </row>
    <row r="778">
      <c r="B778" s="6"/>
      <c r="C778" s="7"/>
      <c r="D778" s="7"/>
      <c r="E778" s="7"/>
      <c r="F778" s="7"/>
    </row>
    <row r="779">
      <c r="B779" s="6"/>
      <c r="C779" s="7"/>
      <c r="D779" s="7"/>
      <c r="E779" s="7"/>
      <c r="F779" s="7"/>
    </row>
    <row r="780">
      <c r="B780" s="6"/>
      <c r="C780" s="7"/>
      <c r="D780" s="7"/>
      <c r="E780" s="7"/>
      <c r="F780" s="7"/>
    </row>
    <row r="781">
      <c r="B781" s="6"/>
      <c r="C781" s="7"/>
      <c r="D781" s="7"/>
      <c r="E781" s="7"/>
      <c r="F781" s="7"/>
    </row>
    <row r="782">
      <c r="B782" s="6"/>
      <c r="C782" s="7"/>
      <c r="D782" s="7"/>
      <c r="E782" s="7"/>
      <c r="F782" s="7"/>
    </row>
    <row r="783">
      <c r="B783" s="6"/>
      <c r="C783" s="7"/>
      <c r="D783" s="7"/>
      <c r="E783" s="7"/>
      <c r="F783" s="7"/>
    </row>
    <row r="784">
      <c r="B784" s="6"/>
      <c r="C784" s="7"/>
      <c r="D784" s="7"/>
      <c r="E784" s="7"/>
      <c r="F784" s="7"/>
    </row>
    <row r="785">
      <c r="B785" s="6"/>
      <c r="C785" s="7"/>
      <c r="D785" s="7"/>
      <c r="E785" s="7"/>
      <c r="F785" s="7"/>
    </row>
    <row r="786">
      <c r="B786" s="6"/>
      <c r="C786" s="7"/>
      <c r="D786" s="7"/>
      <c r="E786" s="7"/>
      <c r="F786" s="7"/>
    </row>
    <row r="787">
      <c r="B787" s="6"/>
      <c r="C787" s="7"/>
      <c r="D787" s="7"/>
      <c r="E787" s="7"/>
      <c r="F787" s="7"/>
    </row>
    <row r="788">
      <c r="B788" s="6"/>
      <c r="C788" s="7"/>
      <c r="D788" s="7"/>
      <c r="E788" s="7"/>
      <c r="F788" s="7"/>
    </row>
    <row r="789">
      <c r="B789" s="6"/>
      <c r="C789" s="7"/>
      <c r="D789" s="7"/>
      <c r="E789" s="7"/>
      <c r="F789" s="7"/>
    </row>
    <row r="790">
      <c r="B790" s="6"/>
      <c r="C790" s="7"/>
      <c r="D790" s="7"/>
      <c r="E790" s="7"/>
      <c r="F790" s="7"/>
    </row>
    <row r="791">
      <c r="B791" s="6"/>
      <c r="C791" s="7"/>
      <c r="D791" s="7"/>
      <c r="E791" s="7"/>
      <c r="F791" s="7"/>
    </row>
    <row r="792">
      <c r="B792" s="6"/>
      <c r="C792" s="7"/>
      <c r="D792" s="7"/>
      <c r="E792" s="7"/>
      <c r="F792" s="7"/>
    </row>
    <row r="793">
      <c r="B793" s="6"/>
      <c r="C793" s="7"/>
      <c r="D793" s="7"/>
      <c r="E793" s="7"/>
      <c r="F793" s="7"/>
    </row>
    <row r="794">
      <c r="B794" s="6"/>
      <c r="C794" s="7"/>
      <c r="D794" s="7"/>
      <c r="E794" s="7"/>
      <c r="F794" s="7"/>
    </row>
    <row r="795">
      <c r="B795" s="6"/>
      <c r="C795" s="7"/>
      <c r="D795" s="7"/>
      <c r="E795" s="7"/>
      <c r="F795" s="7"/>
    </row>
    <row r="796">
      <c r="B796" s="6"/>
      <c r="C796" s="7"/>
      <c r="D796" s="7"/>
      <c r="E796" s="7"/>
      <c r="F796" s="7"/>
    </row>
    <row r="797">
      <c r="B797" s="6"/>
      <c r="C797" s="7"/>
      <c r="D797" s="7"/>
      <c r="E797" s="7"/>
      <c r="F797" s="7"/>
    </row>
    <row r="798">
      <c r="B798" s="6"/>
      <c r="C798" s="7"/>
      <c r="D798" s="7"/>
      <c r="E798" s="7"/>
      <c r="F798" s="7"/>
    </row>
    <row r="799">
      <c r="B799" s="6"/>
      <c r="C799" s="7"/>
      <c r="D799" s="7"/>
      <c r="E799" s="7"/>
      <c r="F799" s="7"/>
    </row>
    <row r="800">
      <c r="B800" s="6"/>
      <c r="C800" s="7"/>
      <c r="D800" s="7"/>
      <c r="E800" s="7"/>
      <c r="F800" s="7"/>
    </row>
    <row r="801">
      <c r="B801" s="6"/>
      <c r="C801" s="7"/>
      <c r="D801" s="7"/>
      <c r="E801" s="7"/>
      <c r="F801" s="7"/>
    </row>
    <row r="802">
      <c r="B802" s="6"/>
      <c r="C802" s="7"/>
      <c r="D802" s="7"/>
      <c r="E802" s="7"/>
      <c r="F802" s="7"/>
    </row>
    <row r="803">
      <c r="B803" s="6"/>
      <c r="C803" s="7"/>
      <c r="D803" s="7"/>
      <c r="E803" s="7"/>
      <c r="F803" s="7"/>
    </row>
    <row r="804">
      <c r="B804" s="6"/>
      <c r="C804" s="7"/>
      <c r="D804" s="7"/>
      <c r="E804" s="7"/>
      <c r="F804" s="7"/>
    </row>
    <row r="805">
      <c r="B805" s="6"/>
      <c r="C805" s="7"/>
      <c r="D805" s="7"/>
      <c r="E805" s="7"/>
      <c r="F805" s="7"/>
    </row>
    <row r="806">
      <c r="B806" s="6"/>
      <c r="C806" s="7"/>
      <c r="D806" s="7"/>
      <c r="E806" s="7"/>
      <c r="F806" s="7"/>
    </row>
    <row r="807">
      <c r="B807" s="6"/>
      <c r="C807" s="7"/>
      <c r="D807" s="7"/>
      <c r="E807" s="7"/>
      <c r="F807" s="7"/>
    </row>
    <row r="808">
      <c r="B808" s="6"/>
      <c r="C808" s="7"/>
      <c r="D808" s="7"/>
      <c r="E808" s="7"/>
      <c r="F808" s="7"/>
    </row>
    <row r="809">
      <c r="B809" s="6"/>
      <c r="C809" s="7"/>
      <c r="D809" s="7"/>
      <c r="E809" s="7"/>
      <c r="F809" s="7"/>
    </row>
    <row r="810">
      <c r="B810" s="6"/>
      <c r="C810" s="7"/>
      <c r="D810" s="7"/>
      <c r="E810" s="7"/>
      <c r="F810" s="7"/>
    </row>
    <row r="811">
      <c r="B811" s="6"/>
      <c r="C811" s="7"/>
      <c r="D811" s="7"/>
      <c r="E811" s="7"/>
      <c r="F811" s="7"/>
    </row>
    <row r="812">
      <c r="B812" s="6"/>
      <c r="C812" s="7"/>
      <c r="D812" s="7"/>
      <c r="E812" s="7"/>
      <c r="F812" s="7"/>
    </row>
    <row r="813">
      <c r="B813" s="6"/>
      <c r="C813" s="7"/>
      <c r="D813" s="7"/>
      <c r="E813" s="7"/>
      <c r="F813" s="7"/>
    </row>
    <row r="814">
      <c r="B814" s="6"/>
      <c r="C814" s="7"/>
      <c r="D814" s="7"/>
      <c r="E814" s="7"/>
      <c r="F814" s="7"/>
    </row>
    <row r="815">
      <c r="B815" s="6"/>
      <c r="C815" s="7"/>
      <c r="D815" s="7"/>
      <c r="E815" s="7"/>
      <c r="F815" s="7"/>
    </row>
    <row r="816">
      <c r="B816" s="6"/>
      <c r="C816" s="7"/>
      <c r="D816" s="7"/>
      <c r="E816" s="7"/>
      <c r="F816" s="7"/>
    </row>
    <row r="817">
      <c r="B817" s="6"/>
      <c r="C817" s="7"/>
      <c r="D817" s="7"/>
      <c r="E817" s="7"/>
      <c r="F817" s="7"/>
    </row>
    <row r="818">
      <c r="B818" s="6"/>
      <c r="C818" s="7"/>
      <c r="D818" s="7"/>
      <c r="E818" s="7"/>
      <c r="F818" s="7"/>
    </row>
    <row r="819">
      <c r="B819" s="6"/>
      <c r="C819" s="7"/>
      <c r="D819" s="7"/>
      <c r="E819" s="7"/>
      <c r="F819" s="7"/>
    </row>
    <row r="820">
      <c r="B820" s="6"/>
      <c r="C820" s="7"/>
      <c r="D820" s="7"/>
      <c r="E820" s="7"/>
      <c r="F820" s="7"/>
    </row>
    <row r="821">
      <c r="B821" s="6"/>
      <c r="C821" s="7"/>
      <c r="D821" s="7"/>
      <c r="E821" s="7"/>
      <c r="F821" s="7"/>
    </row>
    <row r="822">
      <c r="B822" s="6"/>
      <c r="C822" s="7"/>
      <c r="D822" s="7"/>
      <c r="E822" s="7"/>
      <c r="F822" s="7"/>
    </row>
    <row r="823">
      <c r="B823" s="6"/>
      <c r="C823" s="7"/>
      <c r="D823" s="7"/>
      <c r="E823" s="7"/>
      <c r="F823" s="7"/>
    </row>
    <row r="824">
      <c r="B824" s="6"/>
      <c r="C824" s="7"/>
      <c r="D824" s="7"/>
      <c r="E824" s="7"/>
      <c r="F824" s="7"/>
    </row>
    <row r="825">
      <c r="B825" s="6"/>
      <c r="C825" s="7"/>
      <c r="D825" s="7"/>
      <c r="E825" s="7"/>
      <c r="F825" s="7"/>
    </row>
    <row r="826">
      <c r="B826" s="6"/>
      <c r="C826" s="7"/>
      <c r="D826" s="7"/>
      <c r="E826" s="7"/>
      <c r="F826" s="7"/>
    </row>
    <row r="827">
      <c r="B827" s="6"/>
      <c r="C827" s="7"/>
      <c r="D827" s="7"/>
      <c r="E827" s="7"/>
      <c r="F827" s="7"/>
    </row>
    <row r="828">
      <c r="B828" s="6"/>
      <c r="C828" s="7"/>
      <c r="D828" s="7"/>
      <c r="E828" s="7"/>
      <c r="F828" s="7"/>
    </row>
    <row r="829">
      <c r="B829" s="6"/>
      <c r="C829" s="7"/>
      <c r="D829" s="7"/>
      <c r="E829" s="7"/>
      <c r="F829" s="7"/>
    </row>
    <row r="830">
      <c r="B830" s="6"/>
      <c r="C830" s="7"/>
      <c r="D830" s="7"/>
      <c r="E830" s="7"/>
      <c r="F830" s="7"/>
    </row>
    <row r="831">
      <c r="B831" s="6"/>
      <c r="C831" s="7"/>
      <c r="D831" s="7"/>
      <c r="E831" s="7"/>
      <c r="F831" s="7"/>
    </row>
    <row r="832">
      <c r="B832" s="6"/>
      <c r="C832" s="7"/>
      <c r="D832" s="7"/>
      <c r="E832" s="7"/>
      <c r="F832" s="7"/>
    </row>
    <row r="833">
      <c r="B833" s="6"/>
      <c r="C833" s="7"/>
      <c r="D833" s="7"/>
      <c r="E833" s="7"/>
      <c r="F833" s="7"/>
    </row>
    <row r="834">
      <c r="B834" s="6"/>
      <c r="C834" s="7"/>
      <c r="D834" s="7"/>
      <c r="E834" s="7"/>
      <c r="F834" s="7"/>
    </row>
    <row r="835">
      <c r="B835" s="6"/>
      <c r="C835" s="7"/>
      <c r="D835" s="7"/>
      <c r="E835" s="7"/>
      <c r="F835" s="7"/>
    </row>
    <row r="836">
      <c r="B836" s="6"/>
      <c r="C836" s="7"/>
      <c r="D836" s="7"/>
      <c r="E836" s="7"/>
      <c r="F836" s="7"/>
    </row>
    <row r="837">
      <c r="B837" s="6"/>
      <c r="C837" s="7"/>
      <c r="D837" s="7"/>
      <c r="E837" s="7"/>
      <c r="F837" s="7"/>
    </row>
    <row r="838">
      <c r="B838" s="6"/>
      <c r="C838" s="7"/>
      <c r="D838" s="7"/>
      <c r="E838" s="7"/>
      <c r="F838" s="7"/>
    </row>
    <row r="839">
      <c r="B839" s="6"/>
      <c r="C839" s="7"/>
      <c r="D839" s="7"/>
      <c r="E839" s="7"/>
      <c r="F839" s="7"/>
    </row>
    <row r="840">
      <c r="B840" s="6"/>
      <c r="C840" s="7"/>
      <c r="D840" s="7"/>
      <c r="E840" s="7"/>
      <c r="F840" s="7"/>
    </row>
    <row r="841">
      <c r="B841" s="6"/>
      <c r="C841" s="7"/>
      <c r="D841" s="7"/>
      <c r="E841" s="7"/>
      <c r="F841" s="7"/>
    </row>
    <row r="842">
      <c r="B842" s="6"/>
      <c r="C842" s="7"/>
      <c r="D842" s="7"/>
      <c r="E842" s="7"/>
      <c r="F842" s="7"/>
    </row>
    <row r="843">
      <c r="B843" s="6"/>
      <c r="C843" s="7"/>
      <c r="D843" s="7"/>
      <c r="E843" s="7"/>
      <c r="F843" s="7"/>
    </row>
    <row r="844">
      <c r="B844" s="6"/>
      <c r="C844" s="7"/>
      <c r="D844" s="7"/>
      <c r="E844" s="7"/>
      <c r="F844" s="7"/>
    </row>
    <row r="845">
      <c r="B845" s="6"/>
      <c r="C845" s="7"/>
      <c r="D845" s="7"/>
      <c r="E845" s="7"/>
      <c r="F845" s="7"/>
    </row>
    <row r="846">
      <c r="B846" s="6"/>
      <c r="C846" s="7"/>
      <c r="D846" s="7"/>
      <c r="E846" s="7"/>
      <c r="F846" s="7"/>
    </row>
    <row r="847">
      <c r="B847" s="6"/>
      <c r="C847" s="7"/>
      <c r="D847" s="7"/>
      <c r="E847" s="7"/>
      <c r="F847" s="7"/>
    </row>
    <row r="848">
      <c r="B848" s="6"/>
      <c r="C848" s="7"/>
      <c r="D848" s="7"/>
      <c r="E848" s="7"/>
      <c r="F848" s="7"/>
    </row>
    <row r="849">
      <c r="B849" s="6"/>
      <c r="C849" s="7"/>
      <c r="D849" s="7"/>
      <c r="E849" s="7"/>
      <c r="F849" s="7"/>
    </row>
    <row r="850">
      <c r="B850" s="6"/>
      <c r="C850" s="7"/>
      <c r="D850" s="7"/>
      <c r="E850" s="7"/>
      <c r="F850" s="7"/>
    </row>
    <row r="851">
      <c r="B851" s="6"/>
      <c r="C851" s="7"/>
      <c r="D851" s="7"/>
      <c r="E851" s="7"/>
      <c r="F851" s="7"/>
    </row>
    <row r="852">
      <c r="B852" s="6"/>
      <c r="C852" s="7"/>
      <c r="D852" s="7"/>
      <c r="E852" s="7"/>
      <c r="F852" s="7"/>
    </row>
    <row r="853">
      <c r="B853" s="6"/>
      <c r="C853" s="7"/>
      <c r="D853" s="7"/>
      <c r="E853" s="7"/>
      <c r="F853" s="7"/>
    </row>
    <row r="854">
      <c r="B854" s="6"/>
      <c r="C854" s="7"/>
      <c r="D854" s="7"/>
      <c r="E854" s="7"/>
      <c r="F854" s="7"/>
    </row>
    <row r="855">
      <c r="B855" s="6"/>
      <c r="C855" s="7"/>
      <c r="D855" s="7"/>
      <c r="E855" s="7"/>
      <c r="F855" s="7"/>
    </row>
    <row r="856">
      <c r="B856" s="6"/>
      <c r="C856" s="7"/>
      <c r="D856" s="7"/>
      <c r="E856" s="7"/>
      <c r="F856" s="7"/>
    </row>
    <row r="857">
      <c r="B857" s="6"/>
      <c r="C857" s="7"/>
      <c r="D857" s="7"/>
      <c r="E857" s="7"/>
      <c r="F857" s="7"/>
    </row>
    <row r="858">
      <c r="B858" s="6"/>
      <c r="C858" s="7"/>
      <c r="D858" s="7"/>
      <c r="E858" s="7"/>
      <c r="F858" s="7"/>
    </row>
    <row r="859">
      <c r="B859" s="6"/>
      <c r="C859" s="7"/>
      <c r="D859" s="7"/>
      <c r="E859" s="7"/>
      <c r="F859" s="7"/>
    </row>
    <row r="860">
      <c r="B860" s="6"/>
      <c r="C860" s="7"/>
      <c r="D860" s="7"/>
      <c r="E860" s="7"/>
      <c r="F860" s="7"/>
    </row>
    <row r="861">
      <c r="B861" s="6"/>
      <c r="C861" s="7"/>
      <c r="D861" s="7"/>
      <c r="E861" s="7"/>
      <c r="F861" s="7"/>
    </row>
    <row r="862">
      <c r="B862" s="6"/>
      <c r="C862" s="7"/>
      <c r="D862" s="7"/>
      <c r="E862" s="7"/>
      <c r="F862" s="7"/>
    </row>
    <row r="863">
      <c r="B863" s="6"/>
      <c r="C863" s="7"/>
      <c r="D863" s="7"/>
      <c r="E863" s="7"/>
      <c r="F863" s="7"/>
    </row>
    <row r="864">
      <c r="B864" s="6"/>
      <c r="C864" s="7"/>
      <c r="D864" s="7"/>
      <c r="E864" s="7"/>
      <c r="F864" s="7"/>
    </row>
    <row r="865">
      <c r="B865" s="6"/>
      <c r="C865" s="7"/>
      <c r="D865" s="7"/>
      <c r="E865" s="7"/>
      <c r="F865" s="7"/>
    </row>
    <row r="866">
      <c r="B866" s="6"/>
      <c r="C866" s="7"/>
      <c r="D866" s="7"/>
      <c r="E866" s="7"/>
      <c r="F866" s="7"/>
    </row>
    <row r="867">
      <c r="B867" s="6"/>
      <c r="C867" s="7"/>
      <c r="D867" s="7"/>
      <c r="E867" s="7"/>
      <c r="F867" s="7"/>
    </row>
    <row r="868">
      <c r="B868" s="6"/>
      <c r="C868" s="7"/>
      <c r="D868" s="7"/>
      <c r="E868" s="7"/>
      <c r="F868" s="7"/>
    </row>
    <row r="869">
      <c r="B869" s="6"/>
      <c r="C869" s="7"/>
      <c r="D869" s="7"/>
      <c r="E869" s="7"/>
      <c r="F869" s="7"/>
    </row>
    <row r="870">
      <c r="B870" s="6"/>
      <c r="C870" s="7"/>
      <c r="D870" s="7"/>
      <c r="E870" s="7"/>
      <c r="F870" s="7"/>
    </row>
    <row r="871">
      <c r="B871" s="6"/>
      <c r="C871" s="7"/>
      <c r="D871" s="7"/>
      <c r="E871" s="7"/>
      <c r="F871" s="7"/>
    </row>
    <row r="872">
      <c r="B872" s="6"/>
      <c r="C872" s="7"/>
      <c r="D872" s="7"/>
      <c r="E872" s="7"/>
      <c r="F872" s="7"/>
    </row>
    <row r="873">
      <c r="B873" s="6"/>
      <c r="C873" s="7"/>
      <c r="D873" s="7"/>
      <c r="E873" s="7"/>
      <c r="F873" s="7"/>
    </row>
    <row r="874">
      <c r="B874" s="6"/>
      <c r="C874" s="7"/>
      <c r="D874" s="7"/>
      <c r="E874" s="7"/>
      <c r="F874" s="7"/>
    </row>
    <row r="875">
      <c r="B875" s="6"/>
      <c r="C875" s="7"/>
      <c r="D875" s="7"/>
      <c r="E875" s="7"/>
      <c r="F875" s="7"/>
    </row>
    <row r="876">
      <c r="B876" s="6"/>
      <c r="C876" s="7"/>
      <c r="D876" s="7"/>
      <c r="E876" s="7"/>
      <c r="F876" s="7"/>
    </row>
    <row r="877">
      <c r="B877" s="6"/>
      <c r="C877" s="7"/>
      <c r="D877" s="7"/>
      <c r="E877" s="7"/>
      <c r="F877" s="7"/>
    </row>
    <row r="878">
      <c r="B878" s="6"/>
      <c r="C878" s="7"/>
      <c r="D878" s="7"/>
      <c r="E878" s="7"/>
      <c r="F878" s="7"/>
    </row>
    <row r="879">
      <c r="B879" s="6"/>
      <c r="C879" s="7"/>
      <c r="D879" s="7"/>
      <c r="E879" s="7"/>
      <c r="F879" s="7"/>
    </row>
    <row r="880">
      <c r="B880" s="6"/>
      <c r="C880" s="7"/>
      <c r="D880" s="7"/>
      <c r="E880" s="7"/>
      <c r="F880" s="7"/>
    </row>
    <row r="881">
      <c r="B881" s="6"/>
      <c r="C881" s="7"/>
      <c r="D881" s="7"/>
      <c r="E881" s="7"/>
      <c r="F881" s="7"/>
    </row>
    <row r="882">
      <c r="B882" s="6"/>
      <c r="C882" s="7"/>
      <c r="D882" s="7"/>
      <c r="E882" s="7"/>
      <c r="F882" s="7"/>
    </row>
    <row r="883">
      <c r="B883" s="6"/>
      <c r="C883" s="7"/>
      <c r="D883" s="7"/>
      <c r="E883" s="7"/>
      <c r="F883" s="7"/>
    </row>
    <row r="884">
      <c r="B884" s="6"/>
      <c r="C884" s="7"/>
      <c r="D884" s="7"/>
      <c r="E884" s="7"/>
      <c r="F884" s="7"/>
    </row>
    <row r="885">
      <c r="B885" s="6"/>
      <c r="C885" s="7"/>
      <c r="D885" s="7"/>
      <c r="E885" s="7"/>
      <c r="F885" s="7"/>
    </row>
    <row r="886">
      <c r="B886" s="6"/>
      <c r="C886" s="7"/>
      <c r="D886" s="7"/>
      <c r="E886" s="7"/>
      <c r="F886" s="7"/>
    </row>
    <row r="887">
      <c r="B887" s="6"/>
      <c r="C887" s="7"/>
      <c r="D887" s="7"/>
      <c r="E887" s="7"/>
      <c r="F887" s="7"/>
    </row>
    <row r="888">
      <c r="B888" s="6"/>
      <c r="C888" s="7"/>
      <c r="D888" s="7"/>
      <c r="E888" s="7"/>
      <c r="F888" s="7"/>
    </row>
    <row r="889">
      <c r="B889" s="6"/>
      <c r="C889" s="7"/>
      <c r="D889" s="7"/>
      <c r="E889" s="7"/>
      <c r="F889" s="7"/>
    </row>
    <row r="890">
      <c r="B890" s="6"/>
      <c r="C890" s="7"/>
      <c r="D890" s="7"/>
      <c r="E890" s="7"/>
      <c r="F890" s="7"/>
    </row>
    <row r="891">
      <c r="B891" s="6"/>
      <c r="C891" s="7"/>
      <c r="D891" s="7"/>
      <c r="E891" s="7"/>
      <c r="F891" s="7"/>
    </row>
    <row r="892">
      <c r="B892" s="6"/>
      <c r="C892" s="7"/>
      <c r="D892" s="7"/>
      <c r="E892" s="7"/>
      <c r="F892" s="7"/>
    </row>
    <row r="893">
      <c r="B893" s="6"/>
      <c r="C893" s="7"/>
      <c r="D893" s="7"/>
      <c r="E893" s="7"/>
      <c r="F893" s="7"/>
    </row>
    <row r="894">
      <c r="B894" s="6"/>
      <c r="C894" s="7"/>
      <c r="D894" s="7"/>
      <c r="E894" s="7"/>
      <c r="F894" s="7"/>
    </row>
    <row r="895">
      <c r="B895" s="6"/>
      <c r="C895" s="7"/>
      <c r="D895" s="7"/>
      <c r="E895" s="7"/>
      <c r="F895" s="7"/>
    </row>
    <row r="896">
      <c r="B896" s="6"/>
      <c r="C896" s="7"/>
      <c r="D896" s="7"/>
      <c r="E896" s="7"/>
      <c r="F896" s="7"/>
    </row>
    <row r="897">
      <c r="B897" s="6"/>
      <c r="C897" s="7"/>
      <c r="D897" s="7"/>
      <c r="E897" s="7"/>
      <c r="F897" s="7"/>
    </row>
    <row r="898">
      <c r="B898" s="6"/>
      <c r="C898" s="7"/>
      <c r="D898" s="7"/>
      <c r="E898" s="7"/>
      <c r="F898" s="7"/>
    </row>
    <row r="899">
      <c r="B899" s="6"/>
      <c r="C899" s="7"/>
      <c r="D899" s="7"/>
      <c r="E899" s="7"/>
      <c r="F899" s="7"/>
    </row>
    <row r="900">
      <c r="B900" s="6"/>
      <c r="C900" s="7"/>
      <c r="D900" s="7"/>
      <c r="E900" s="7"/>
      <c r="F900" s="7"/>
    </row>
    <row r="901">
      <c r="B901" s="6"/>
      <c r="C901" s="7"/>
      <c r="D901" s="7"/>
      <c r="E901" s="7"/>
      <c r="F901" s="7"/>
    </row>
    <row r="902">
      <c r="B902" s="6"/>
      <c r="C902" s="7"/>
      <c r="D902" s="7"/>
      <c r="E902" s="7"/>
      <c r="F902" s="7"/>
    </row>
    <row r="903">
      <c r="B903" s="6"/>
      <c r="C903" s="7"/>
      <c r="D903" s="7"/>
      <c r="E903" s="7"/>
      <c r="F903" s="7"/>
    </row>
    <row r="904">
      <c r="B904" s="6"/>
      <c r="C904" s="7"/>
      <c r="D904" s="7"/>
      <c r="E904" s="7"/>
      <c r="F904" s="7"/>
    </row>
    <row r="905">
      <c r="B905" s="6"/>
      <c r="C905" s="7"/>
      <c r="D905" s="7"/>
      <c r="E905" s="7"/>
      <c r="F905" s="7"/>
    </row>
    <row r="906">
      <c r="B906" s="6"/>
      <c r="C906" s="7"/>
      <c r="D906" s="7"/>
      <c r="E906" s="7"/>
      <c r="F906" s="7"/>
    </row>
    <row r="907">
      <c r="B907" s="6"/>
      <c r="C907" s="7"/>
      <c r="D907" s="7"/>
      <c r="E907" s="7"/>
      <c r="F907" s="7"/>
    </row>
    <row r="908">
      <c r="B908" s="6"/>
      <c r="C908" s="7"/>
      <c r="D908" s="7"/>
      <c r="E908" s="7"/>
      <c r="F908" s="7"/>
    </row>
    <row r="909">
      <c r="B909" s="6"/>
      <c r="C909" s="7"/>
      <c r="D909" s="7"/>
      <c r="E909" s="7"/>
      <c r="F909" s="7"/>
    </row>
    <row r="910">
      <c r="B910" s="6"/>
      <c r="C910" s="7"/>
      <c r="D910" s="7"/>
      <c r="E910" s="7"/>
      <c r="F910" s="7"/>
    </row>
    <row r="911">
      <c r="B911" s="6"/>
      <c r="C911" s="7"/>
      <c r="D911" s="7"/>
      <c r="E911" s="7"/>
      <c r="F911" s="7"/>
    </row>
    <row r="912">
      <c r="B912" s="6"/>
      <c r="C912" s="7"/>
      <c r="D912" s="7"/>
      <c r="E912" s="7"/>
      <c r="F912" s="7"/>
    </row>
    <row r="913">
      <c r="B913" s="6"/>
      <c r="C913" s="7"/>
      <c r="D913" s="7"/>
      <c r="E913" s="7"/>
      <c r="F913" s="7"/>
    </row>
    <row r="914">
      <c r="B914" s="6"/>
      <c r="C914" s="7"/>
      <c r="D914" s="7"/>
      <c r="E914" s="7"/>
      <c r="F914" s="7"/>
    </row>
    <row r="915">
      <c r="B915" s="6"/>
      <c r="C915" s="7"/>
      <c r="D915" s="7"/>
      <c r="E915" s="7"/>
      <c r="F915" s="7"/>
    </row>
    <row r="916">
      <c r="B916" s="6"/>
      <c r="C916" s="7"/>
      <c r="D916" s="7"/>
      <c r="E916" s="7"/>
      <c r="F916" s="7"/>
    </row>
    <row r="917">
      <c r="B917" s="6"/>
      <c r="C917" s="7"/>
      <c r="D917" s="7"/>
      <c r="E917" s="7"/>
      <c r="F917" s="7"/>
    </row>
    <row r="918">
      <c r="B918" s="6"/>
      <c r="C918" s="7"/>
      <c r="D918" s="7"/>
      <c r="E918" s="7"/>
      <c r="F918" s="7"/>
    </row>
    <row r="919">
      <c r="B919" s="6"/>
      <c r="C919" s="7"/>
      <c r="D919" s="7"/>
      <c r="E919" s="7"/>
      <c r="F919" s="7"/>
    </row>
    <row r="920">
      <c r="B920" s="6"/>
      <c r="C920" s="7"/>
      <c r="D920" s="7"/>
      <c r="E920" s="7"/>
      <c r="F920" s="7"/>
    </row>
    <row r="921">
      <c r="B921" s="6"/>
      <c r="C921" s="7"/>
      <c r="D921" s="7"/>
      <c r="E921" s="7"/>
      <c r="F921" s="7"/>
    </row>
    <row r="922">
      <c r="B922" s="6"/>
      <c r="C922" s="7"/>
      <c r="D922" s="7"/>
      <c r="E922" s="7"/>
      <c r="F922" s="7"/>
    </row>
    <row r="923">
      <c r="B923" s="6"/>
      <c r="C923" s="7"/>
      <c r="D923" s="7"/>
      <c r="E923" s="7"/>
      <c r="F923" s="7"/>
    </row>
    <row r="924">
      <c r="B924" s="6"/>
      <c r="C924" s="7"/>
      <c r="D924" s="7"/>
      <c r="E924" s="7"/>
      <c r="F924" s="7"/>
    </row>
    <row r="925">
      <c r="B925" s="6"/>
      <c r="C925" s="7"/>
      <c r="D925" s="7"/>
      <c r="E925" s="7"/>
      <c r="F925" s="7"/>
    </row>
    <row r="926">
      <c r="B926" s="6"/>
      <c r="C926" s="7"/>
      <c r="D926" s="7"/>
      <c r="E926" s="7"/>
      <c r="F926" s="7"/>
    </row>
    <row r="927">
      <c r="B927" s="6"/>
      <c r="C927" s="7"/>
      <c r="D927" s="7"/>
      <c r="E927" s="7"/>
      <c r="F927" s="7"/>
    </row>
    <row r="928">
      <c r="B928" s="6"/>
      <c r="C928" s="7"/>
      <c r="D928" s="7"/>
      <c r="E928" s="7"/>
      <c r="F928" s="7"/>
    </row>
    <row r="929">
      <c r="B929" s="6"/>
      <c r="C929" s="7"/>
      <c r="D929" s="7"/>
      <c r="E929" s="7"/>
      <c r="F929" s="7"/>
    </row>
    <row r="930">
      <c r="B930" s="6"/>
      <c r="C930" s="7"/>
      <c r="D930" s="7"/>
      <c r="E930" s="7"/>
      <c r="F930" s="7"/>
    </row>
    <row r="931">
      <c r="B931" s="6"/>
      <c r="C931" s="7"/>
      <c r="D931" s="7"/>
      <c r="E931" s="7"/>
      <c r="F931" s="7"/>
    </row>
    <row r="932">
      <c r="B932" s="6"/>
      <c r="C932" s="7"/>
      <c r="D932" s="7"/>
      <c r="E932" s="7"/>
      <c r="F932" s="7"/>
    </row>
    <row r="933">
      <c r="B933" s="6"/>
      <c r="C933" s="7"/>
      <c r="D933" s="7"/>
      <c r="E933" s="7"/>
      <c r="F933" s="7"/>
    </row>
    <row r="934">
      <c r="B934" s="6"/>
      <c r="C934" s="7"/>
      <c r="D934" s="7"/>
      <c r="E934" s="7"/>
      <c r="F934" s="7"/>
    </row>
    <row r="935">
      <c r="B935" s="6"/>
      <c r="C935" s="7"/>
      <c r="D935" s="7"/>
      <c r="E935" s="7"/>
      <c r="F935" s="7"/>
    </row>
    <row r="936">
      <c r="B936" s="6"/>
      <c r="C936" s="7"/>
      <c r="D936" s="7"/>
      <c r="E936" s="7"/>
      <c r="F936" s="7"/>
    </row>
    <row r="937">
      <c r="B937" s="6"/>
      <c r="C937" s="7"/>
      <c r="D937" s="7"/>
      <c r="E937" s="7"/>
      <c r="F937" s="7"/>
    </row>
    <row r="938">
      <c r="B938" s="6"/>
      <c r="C938" s="7"/>
      <c r="D938" s="7"/>
      <c r="E938" s="7"/>
      <c r="F938" s="7"/>
    </row>
    <row r="939">
      <c r="B939" s="6"/>
      <c r="C939" s="7"/>
      <c r="D939" s="7"/>
      <c r="E939" s="7"/>
      <c r="F939" s="7"/>
    </row>
    <row r="940">
      <c r="B940" s="6"/>
      <c r="C940" s="7"/>
      <c r="D940" s="7"/>
      <c r="E940" s="7"/>
      <c r="F940" s="7"/>
    </row>
    <row r="941">
      <c r="B941" s="6"/>
      <c r="C941" s="7"/>
      <c r="D941" s="7"/>
      <c r="E941" s="7"/>
      <c r="F941" s="7"/>
    </row>
    <row r="942">
      <c r="B942" s="6"/>
      <c r="C942" s="7"/>
      <c r="D942" s="7"/>
      <c r="E942" s="7"/>
      <c r="F942" s="7"/>
    </row>
    <row r="943">
      <c r="B943" s="6"/>
      <c r="C943" s="7"/>
      <c r="D943" s="7"/>
      <c r="E943" s="7"/>
      <c r="F943" s="7"/>
    </row>
    <row r="944">
      <c r="B944" s="6"/>
      <c r="C944" s="7"/>
      <c r="D944" s="7"/>
      <c r="E944" s="7"/>
      <c r="F944" s="7"/>
    </row>
    <row r="945">
      <c r="B945" s="6"/>
      <c r="C945" s="7"/>
      <c r="D945" s="7"/>
      <c r="E945" s="7"/>
      <c r="F945" s="7"/>
    </row>
    <row r="946">
      <c r="B946" s="6"/>
      <c r="C946" s="7"/>
      <c r="D946" s="7"/>
      <c r="E946" s="7"/>
      <c r="F946" s="7"/>
    </row>
    <row r="947">
      <c r="B947" s="6"/>
      <c r="C947" s="7"/>
      <c r="D947" s="7"/>
      <c r="E947" s="7"/>
      <c r="F947" s="7"/>
    </row>
    <row r="948">
      <c r="B948" s="6"/>
      <c r="C948" s="7"/>
      <c r="D948" s="7"/>
      <c r="E948" s="7"/>
      <c r="F948" s="7"/>
    </row>
    <row r="949">
      <c r="B949" s="6"/>
      <c r="C949" s="7"/>
      <c r="D949" s="7"/>
      <c r="E949" s="7"/>
      <c r="F949" s="7"/>
    </row>
    <row r="950">
      <c r="B950" s="6"/>
      <c r="C950" s="7"/>
      <c r="D950" s="7"/>
      <c r="E950" s="7"/>
      <c r="F950" s="7"/>
    </row>
    <row r="951">
      <c r="B951" s="6"/>
      <c r="C951" s="7"/>
      <c r="D951" s="7"/>
      <c r="E951" s="7"/>
      <c r="F951" s="7"/>
    </row>
    <row r="952">
      <c r="B952" s="6"/>
      <c r="C952" s="7"/>
      <c r="D952" s="7"/>
      <c r="E952" s="7"/>
      <c r="F952" s="7"/>
    </row>
    <row r="953">
      <c r="B953" s="6"/>
      <c r="C953" s="7"/>
      <c r="D953" s="7"/>
      <c r="E953" s="7"/>
      <c r="F953" s="7"/>
    </row>
    <row r="954">
      <c r="B954" s="6"/>
      <c r="C954" s="7"/>
      <c r="D954" s="7"/>
      <c r="E954" s="7"/>
      <c r="F954" s="7"/>
    </row>
    <row r="955">
      <c r="B955" s="6"/>
      <c r="C955" s="7"/>
      <c r="D955" s="7"/>
      <c r="E955" s="7"/>
      <c r="F955" s="7"/>
    </row>
    <row r="956">
      <c r="B956" s="6"/>
      <c r="C956" s="7"/>
      <c r="D956" s="7"/>
      <c r="E956" s="7"/>
      <c r="F956" s="7"/>
    </row>
    <row r="957">
      <c r="B957" s="6"/>
      <c r="C957" s="7"/>
      <c r="D957" s="7"/>
      <c r="E957" s="7"/>
      <c r="F957" s="7"/>
    </row>
    <row r="958">
      <c r="B958" s="6"/>
      <c r="C958" s="7"/>
      <c r="D958" s="7"/>
      <c r="E958" s="7"/>
      <c r="F958" s="7"/>
    </row>
    <row r="959">
      <c r="B959" s="6"/>
      <c r="C959" s="7"/>
      <c r="D959" s="7"/>
      <c r="E959" s="7"/>
      <c r="F959" s="7"/>
    </row>
    <row r="960">
      <c r="B960" s="6"/>
      <c r="C960" s="7"/>
      <c r="D960" s="7"/>
      <c r="E960" s="7"/>
      <c r="F960" s="7"/>
    </row>
    <row r="961">
      <c r="B961" s="6"/>
      <c r="C961" s="7"/>
      <c r="D961" s="7"/>
      <c r="E961" s="7"/>
      <c r="F961" s="7"/>
    </row>
    <row r="962">
      <c r="B962" s="6"/>
      <c r="C962" s="7"/>
      <c r="D962" s="7"/>
      <c r="E962" s="7"/>
      <c r="F962" s="7"/>
    </row>
    <row r="963">
      <c r="B963" s="6"/>
      <c r="C963" s="7"/>
      <c r="D963" s="7"/>
      <c r="E963" s="7"/>
      <c r="F963" s="7"/>
    </row>
    <row r="964">
      <c r="B964" s="6"/>
      <c r="C964" s="7"/>
      <c r="D964" s="7"/>
      <c r="E964" s="7"/>
      <c r="F964" s="7"/>
    </row>
    <row r="965">
      <c r="B965" s="6"/>
      <c r="C965" s="7"/>
      <c r="D965" s="7"/>
      <c r="E965" s="7"/>
      <c r="F965" s="7"/>
    </row>
    <row r="966">
      <c r="B966" s="6"/>
      <c r="C966" s="7"/>
      <c r="D966" s="7"/>
      <c r="E966" s="7"/>
      <c r="F966" s="7"/>
    </row>
    <row r="967">
      <c r="B967" s="6"/>
      <c r="C967" s="7"/>
      <c r="D967" s="7"/>
      <c r="E967" s="7"/>
      <c r="F967" s="7"/>
    </row>
    <row r="968">
      <c r="B968" s="6"/>
      <c r="C968" s="7"/>
      <c r="D968" s="7"/>
      <c r="E968" s="7"/>
      <c r="F968" s="7"/>
    </row>
    <row r="969">
      <c r="B969" s="6"/>
      <c r="C969" s="7"/>
      <c r="D969" s="7"/>
      <c r="E969" s="7"/>
      <c r="F969" s="7"/>
    </row>
    <row r="970">
      <c r="B970" s="6"/>
      <c r="C970" s="7"/>
      <c r="D970" s="7"/>
      <c r="E970" s="7"/>
      <c r="F970" s="7"/>
    </row>
    <row r="971">
      <c r="B971" s="6"/>
      <c r="C971" s="7"/>
      <c r="D971" s="7"/>
      <c r="E971" s="7"/>
      <c r="F971" s="7"/>
    </row>
    <row r="972">
      <c r="B972" s="6"/>
      <c r="C972" s="7"/>
      <c r="D972" s="7"/>
      <c r="E972" s="7"/>
      <c r="F972" s="7"/>
    </row>
    <row r="973">
      <c r="B973" s="6"/>
      <c r="C973" s="7"/>
      <c r="D973" s="7"/>
      <c r="E973" s="7"/>
      <c r="F973" s="7"/>
    </row>
    <row r="974">
      <c r="B974" s="6"/>
      <c r="C974" s="7"/>
      <c r="D974" s="7"/>
      <c r="E974" s="7"/>
      <c r="F974" s="7"/>
    </row>
    <row r="975">
      <c r="B975" s="6"/>
      <c r="C975" s="7"/>
      <c r="D975" s="7"/>
      <c r="E975" s="7"/>
      <c r="F975" s="7"/>
    </row>
    <row r="976">
      <c r="B976" s="6"/>
      <c r="C976" s="7"/>
      <c r="D976" s="7"/>
      <c r="E976" s="7"/>
      <c r="F976" s="7"/>
    </row>
    <row r="977">
      <c r="B977" s="6"/>
      <c r="C977" s="7"/>
      <c r="D977" s="7"/>
      <c r="E977" s="7"/>
      <c r="F977" s="7"/>
    </row>
    <row r="978">
      <c r="B978" s="6"/>
      <c r="C978" s="7"/>
      <c r="D978" s="7"/>
      <c r="E978" s="7"/>
      <c r="F978" s="7"/>
    </row>
    <row r="979">
      <c r="B979" s="6"/>
      <c r="C979" s="7"/>
      <c r="D979" s="7"/>
      <c r="E979" s="7"/>
      <c r="F979" s="7"/>
    </row>
    <row r="980">
      <c r="B980" s="6"/>
      <c r="C980" s="7"/>
      <c r="D980" s="7"/>
      <c r="E980" s="7"/>
      <c r="F980" s="7"/>
    </row>
    <row r="981">
      <c r="B981" s="6"/>
      <c r="C981" s="7"/>
      <c r="D981" s="7"/>
      <c r="E981" s="7"/>
      <c r="F981" s="7"/>
    </row>
    <row r="982">
      <c r="B982" s="6"/>
      <c r="C982" s="7"/>
      <c r="D982" s="7"/>
      <c r="E982" s="7"/>
      <c r="F982" s="7"/>
    </row>
    <row r="983">
      <c r="B983" s="6"/>
      <c r="C983" s="7"/>
      <c r="D983" s="7"/>
      <c r="E983" s="7"/>
      <c r="F983" s="7"/>
    </row>
    <row r="984">
      <c r="B984" s="6"/>
      <c r="C984" s="7"/>
      <c r="D984" s="7"/>
      <c r="E984" s="7"/>
      <c r="F984" s="7"/>
    </row>
    <row r="985">
      <c r="B985" s="6"/>
      <c r="C985" s="7"/>
      <c r="D985" s="7"/>
      <c r="E985" s="7"/>
      <c r="F985" s="7"/>
    </row>
    <row r="986">
      <c r="B986" s="6"/>
      <c r="C986" s="7"/>
      <c r="D986" s="7"/>
      <c r="E986" s="7"/>
      <c r="F986" s="7"/>
    </row>
    <row r="987">
      <c r="B987" s="6"/>
      <c r="C987" s="7"/>
      <c r="D987" s="7"/>
      <c r="E987" s="7"/>
      <c r="F987" s="7"/>
    </row>
    <row r="988">
      <c r="B988" s="6"/>
      <c r="C988" s="7"/>
      <c r="D988" s="7"/>
      <c r="E988" s="7"/>
      <c r="F988" s="7"/>
    </row>
    <row r="989">
      <c r="B989" s="6"/>
      <c r="C989" s="7"/>
      <c r="D989" s="7"/>
      <c r="E989" s="7"/>
      <c r="F989" s="7"/>
    </row>
    <row r="990">
      <c r="B990" s="6"/>
      <c r="C990" s="7"/>
      <c r="D990" s="7"/>
      <c r="E990" s="7"/>
      <c r="F990" s="7"/>
    </row>
    <row r="991">
      <c r="B991" s="6"/>
      <c r="C991" s="7"/>
      <c r="D991" s="7"/>
      <c r="E991" s="7"/>
      <c r="F991" s="7"/>
    </row>
    <row r="992">
      <c r="B992" s="6"/>
      <c r="C992" s="7"/>
      <c r="D992" s="7"/>
      <c r="E992" s="7"/>
      <c r="F992" s="7"/>
    </row>
    <row r="993">
      <c r="B993" s="6"/>
      <c r="C993" s="7"/>
      <c r="D993" s="7"/>
      <c r="E993" s="7"/>
      <c r="F993" s="7"/>
    </row>
    <row r="994">
      <c r="B994" s="6"/>
      <c r="C994" s="7"/>
      <c r="D994" s="7"/>
      <c r="E994" s="7"/>
      <c r="F994" s="7"/>
    </row>
    <row r="995">
      <c r="B995" s="6"/>
      <c r="C995" s="7"/>
      <c r="D995" s="7"/>
      <c r="E995" s="7"/>
      <c r="F995" s="7"/>
    </row>
    <row r="996">
      <c r="B996" s="6"/>
      <c r="C996" s="7"/>
      <c r="D996" s="7"/>
      <c r="E996" s="7"/>
      <c r="F996" s="7"/>
    </row>
    <row r="997">
      <c r="B997" s="6"/>
      <c r="C997" s="7"/>
      <c r="D997" s="7"/>
      <c r="E997" s="7"/>
      <c r="F997" s="7"/>
    </row>
    <row r="998">
      <c r="B998" s="6"/>
      <c r="C998" s="7"/>
      <c r="D998" s="7"/>
      <c r="E998" s="7"/>
      <c r="F998" s="7"/>
    </row>
    <row r="999">
      <c r="B999" s="6"/>
      <c r="C999" s="7"/>
      <c r="D999" s="7"/>
      <c r="E999" s="7"/>
      <c r="F999" s="7"/>
    </row>
    <row r="1000">
      <c r="B1000" s="6"/>
      <c r="C1000" s="7"/>
      <c r="E1000" s="7"/>
      <c r="F1000" s="7"/>
    </row>
  </sheetData>
  <dataValidations>
    <dataValidation type="list" allowBlank="1" showErrorMessage="1" sqref="B2:B1000">
      <formula1>"Pass,Fail"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35"/>
    <hyperlink r:id="rId12" ref="C36"/>
    <hyperlink r:id="rId13" ref="C38"/>
    <hyperlink r:id="rId14" ref="C40"/>
  </hyperlinks>
  <drawing r:id="rId1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