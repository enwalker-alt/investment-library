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Wb4yAULubfAdmNhV0C5OSzxkO4mOyXo2fKOQDn+NkQo="/>
    </ext>
  </extLst>
</workbook>
</file>

<file path=xl/sharedStrings.xml><?xml version="1.0" encoding="utf-8"?>
<sst xmlns="http://schemas.openxmlformats.org/spreadsheetml/2006/main" count="2029" uniqueCount="741">
  <si>
    <t>Entity Name</t>
  </si>
  <si>
    <t>Understandability</t>
  </si>
  <si>
    <t>Revenue</t>
  </si>
  <si>
    <t>Net Income</t>
  </si>
  <si>
    <t>Dilution</t>
  </si>
  <si>
    <t>Debt</t>
  </si>
  <si>
    <t>Moat Potential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</si>
  <si>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</si>
  <si>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</si>
  <si>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</si>
  <si>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</si>
  <si>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</si>
  <si>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</si>
  <si>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</si>
  <si>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</si>
  <si>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</si>
  <si>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</si>
  <si>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</si>
  <si>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</si>
  <si>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</si>
  <si>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</si>
  <si>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</si>
  <si>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</si>
  <si>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</si>
  <si>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</si>
  <si>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</si>
  <si>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</si>
  <si>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</si>
  <si>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</si>
  <si>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</si>
  <si>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</si>
  <si>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</si>
  <si>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</si>
  <si>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</si>
  <si>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</si>
  <si>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</si>
  <si>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</si>
  <si>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</si>
  <si>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</si>
  <si>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</si>
  <si>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</si>
  <si>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</si>
  <si>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</si>
  <si>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</si>
  <si>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</si>
  <si>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</si>
  <si>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</si>
  <si>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</si>
  <si>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</si>
  <si>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</si>
  <si>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</si>
  <si>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</si>
  <si>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</si>
  <si>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</si>
  <si>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</si>
  <si>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</si>
  <si>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</si>
  <si>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</si>
  <si>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</si>
  <si>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</si>
  <si>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</si>
  <si>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</si>
  <si>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</si>
  <si>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</si>
  <si>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</si>
  <si>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</si>
  <si>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</si>
  <si>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</si>
  <si>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</si>
  <si>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</si>
  <si>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</si>
  <si>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</si>
  <si>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</si>
  <si>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</si>
  <si>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</si>
  <si>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</si>
  <si>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</si>
  <si>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</si>
  <si>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</si>
  <si>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</si>
  <si>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</si>
  <si>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</si>
  <si>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</si>
  <si>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</si>
  <si>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</si>
  <si>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</si>
  <si>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</si>
  <si>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</si>
  <si>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</si>
  <si>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</si>
  <si>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</si>
  <si>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</si>
  <si>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</si>
  <si>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</si>
  <si>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</si>
  <si>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</si>
  <si>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</si>
  <si>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</si>
  <si>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</si>
  <si>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</si>
  <si>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</si>
  <si>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</si>
  <si>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</si>
  <si>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</si>
  <si>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</si>
  <si>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</si>
  <si>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</si>
  <si>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</si>
  <si>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</si>
  <si>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</si>
  <si>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</si>
  <si>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</si>
  <si>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</si>
  <si>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</si>
  <si>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</si>
  <si>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</si>
  <si>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</si>
  <si>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</si>
  <si>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</si>
  <si>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</si>
  <si>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</si>
  <si>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</si>
  <si>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</si>
  <si>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</si>
  <si>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</si>
  <si>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</si>
  <si>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</si>
  <si>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</si>
  <si>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</si>
  <si>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</si>
  <si>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</si>
  <si>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</si>
  <si>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</si>
  <si>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</si>
  <si>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</si>
  <si>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</si>
  <si>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</si>
  <si>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</si>
  <si>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</si>
  <si>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</si>
  <si>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</si>
  <si>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</si>
  <si>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</si>
  <si>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</si>
  <si>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</si>
  <si>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</si>
  <si>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</si>
  <si>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</si>
  <si>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</si>
  <si>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</si>
  <si>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</si>
  <si>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</si>
  <si>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</si>
  <si>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</si>
  <si>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</si>
  <si>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</si>
  <si>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</si>
  <si>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</si>
  <si>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</si>
  <si>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</si>
  <si>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</si>
  <si>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</si>
  <si>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</si>
  <si>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</si>
  <si>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</si>
  <si>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</si>
  <si>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</si>
  <si>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</si>
  <si>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</si>
  <si>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</si>
  <si>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</si>
  <si>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</si>
  <si>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</si>
  <si>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</si>
  <si>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</si>
  <si>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</si>
  <si>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</si>
  <si>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</si>
  <si>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</si>
  <si>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</si>
  <si>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</si>
  <si>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</si>
  <si>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</si>
  <si>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</si>
  <si>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</si>
  <si>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</si>
  <si>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</si>
  <si>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</si>
  <si>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</si>
  <si>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</si>
  <si>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</si>
  <si>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</si>
  <si>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</si>
  <si>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</si>
  <si>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</si>
  <si>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</si>
  <si>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</si>
  <si>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</si>
  <si>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</si>
  <si>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</si>
  <si>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</si>
  <si>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</si>
  <si>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</si>
  <si>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</si>
  <si>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</si>
  <si>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</si>
  <si>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</si>
  <si>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</si>
  <si>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</si>
  <si>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</si>
  <si>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</si>
  <si>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</si>
  <si>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</si>
  <si>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</si>
  <si>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</si>
  <si>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</si>
  <si>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</si>
  <si>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</si>
  <si>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</si>
  <si>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</si>
  <si>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</si>
  <si>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</si>
  <si>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</si>
  <si>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</si>
  <si>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</si>
  <si>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</si>
  <si>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</si>
  <si>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</si>
  <si>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</si>
  <si>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</si>
  <si>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</si>
  <si>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</si>
  <si>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</si>
  <si>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</si>
  <si>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</si>
  <si>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</si>
  <si>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</si>
  <si>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</si>
  <si>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</si>
  <si>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</si>
  <si>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</si>
  <si>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</si>
  <si>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</si>
  <si>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</si>
  <si>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</si>
  <si>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</si>
  <si>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</si>
  <si>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</si>
  <si>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</si>
  <si>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</si>
  <si>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</si>
  <si>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</si>
  <si>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</si>
  <si>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</si>
  <si>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</si>
  <si>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</si>
  <si>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</si>
  <si>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</si>
  <si>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</si>
  <si>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</si>
  <si>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</si>
  <si>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</si>
  <si>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</si>
  <si>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</si>
  <si>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</si>
  <si>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</si>
  <si>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</si>
  <si>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</si>
  <si>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</si>
  <si>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</si>
  <si>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</si>
  <si>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</si>
  <si>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</si>
  <si>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</si>
  <si>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</si>
  <si>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</si>
  <si>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</si>
  <si>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</si>
  <si>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</si>
  <si>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</si>
  <si>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</si>
  <si>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</si>
  <si>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</si>
  <si>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</si>
  <si>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</si>
  <si>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</si>
  <si>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</si>
  <si>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</si>
  <si>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</si>
  <si>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</si>
  <si>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</si>
  <si>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</si>
  <si>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</si>
  <si>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</si>
  <si>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</si>
  <si>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</si>
  <si>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</si>
  <si>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</si>
  <si>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</si>
  <si>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</si>
  <si>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</si>
  <si>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</si>
  <si>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</si>
  <si>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</si>
  <si>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</si>
  <si>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</si>
  <si>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</si>
  <si>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</si>
  <si>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</si>
  <si>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PASS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</si>
  <si>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</si>
  <si>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</si>
  <si>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</si>
  <si>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</si>
  <si>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</si>
  <si>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</si>
  <si>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</si>
  <si>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</si>
  <si>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</si>
  <si>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</si>
  <si>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</si>
  <si>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</si>
  <si>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</si>
  <si>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</si>
  <si>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</si>
  <si>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</si>
  <si>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</si>
  <si>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</si>
  <si>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</si>
  <si>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</si>
  <si>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</si>
  <si>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</si>
  <si>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</si>
  <si>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</si>
  <si>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</si>
  <si>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</si>
  <si>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</si>
  <si>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</si>
  <si>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</si>
  <si>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</si>
  <si>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</si>
  <si>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</si>
  <si>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</si>
  <si>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</si>
  <si>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</si>
  <si>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</si>
  <si>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</si>
  <si>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</si>
  <si>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</si>
  <si>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</si>
  <si>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</si>
  <si>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</si>
  <si>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</si>
  <si>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</si>
  <si>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</si>
  <si>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</si>
  <si>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</si>
  <si>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</si>
  <si>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</si>
  <si>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</si>
  <si>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</si>
  <si>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</si>
  <si>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</si>
  <si>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</si>
  <si>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</si>
  <si>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</si>
  <si>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</si>
  <si>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</si>
  <si>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</si>
  <si>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</si>
  <si>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</si>
  <si>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</si>
  <si>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</si>
  <si>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</si>
  <si>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</si>
  <si>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</si>
  <si>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</si>
  <si>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</si>
  <si>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</si>
  <si>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</si>
  <si>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</si>
  <si>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</si>
  <si>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</si>
  <si>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</si>
  <si>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</si>
  <si>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</si>
  <si>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</si>
  <si>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</si>
  <si>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</si>
  <si>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</si>
  <si>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</si>
  <si>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</si>
  <si>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</si>
  <si>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</si>
  <si>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</si>
  <si>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</si>
  <si>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</si>
  <si>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</si>
  <si>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</si>
  <si>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</si>
  <si>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</si>
  <si>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</si>
  <si>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</si>
  <si>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</si>
  <si>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</si>
  <si>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</si>
  <si>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</si>
  <si>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</si>
  <si>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</si>
  <si>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</si>
  <si>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</si>
  <si>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</si>
  <si>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</si>
  <si>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</si>
  <si>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</si>
  <si>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</si>
  <si>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</si>
  <si>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</si>
  <si>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</si>
  <si>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</si>
  <si>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</si>
  <si>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</si>
  <si>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</si>
  <si>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Dillution somewhat increasing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</si>
  <si>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</si>
  <si>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</si>
  <si>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</si>
  <si>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</si>
  <si>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</si>
  <si>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</si>
  <si>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</si>
  <si>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</si>
  <si>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</si>
  <si>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</si>
  <si>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</si>
  <si>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</si>
  <si>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</si>
  <si>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</si>
  <si>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</si>
  <si>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</si>
  <si>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</si>
  <si>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</si>
  <si>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</si>
  <si>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</si>
  <si>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</si>
  <si>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</si>
  <si>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</si>
  <si>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</si>
  <si>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</si>
  <si>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</si>
  <si>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</si>
  <si>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</si>
  <si>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</si>
  <si>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</si>
  <si>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</si>
  <si>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</si>
  <si>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</si>
  <si>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</si>
  <si>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</si>
  <si>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</si>
  <si>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</si>
  <si>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</si>
  <si>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</si>
  <si>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</si>
  <si>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</si>
  <si>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</si>
  <si>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</si>
  <si>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</si>
  <si>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</si>
  <si>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</si>
  <si>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</si>
  <si>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</si>
  <si>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</si>
  <si>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</si>
  <si>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</si>
  <si>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</si>
  <si>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</si>
  <si>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</si>
  <si>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</si>
  <si>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</si>
  <si>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</si>
  <si>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</si>
  <si>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</si>
  <si>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</si>
  <si>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</si>
  <si>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</si>
  <si>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</si>
  <si>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</si>
  <si>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</si>
  <si>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</si>
  <si>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</si>
  <si>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</si>
  <si>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</si>
  <si>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</si>
  <si>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</si>
  <si>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</si>
  <si>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</si>
  <si>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</si>
  <si>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</si>
  <si>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</si>
  <si>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</si>
  <si>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</si>
  <si>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</si>
  <si>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</si>
  <si>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</si>
  <si>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</si>
  <si>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</si>
  <si>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</si>
  <si>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</si>
  <si>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</si>
  <si>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</si>
  <si>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</si>
  <si>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</si>
  <si>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</si>
  <si>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</si>
  <si>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</si>
  <si>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</si>
  <si>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</si>
  <si>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</si>
  <si>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</si>
  <si>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</si>
  <si>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</si>
  <si>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</si>
  <si>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</si>
  <si>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</si>
  <si>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</si>
  <si>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</si>
  <si>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</si>
  <si>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</si>
  <si>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</si>
  <si>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</si>
  <si>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</si>
  <si>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</si>
  <si>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</si>
  <si>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</si>
  <si>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</si>
  <si>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</si>
  <si>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</si>
  <si>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</si>
  <si>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</si>
  <si>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</si>
  <si>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</si>
  <si>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</si>
  <si>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</si>
  <si>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</si>
  <si>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</si>
  <si>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</si>
  <si>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</si>
  <si>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</si>
  <si>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</si>
  <si>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</si>
  <si>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</si>
  <si>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</si>
  <si>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</si>
  <si>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</si>
  <si>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</si>
  <si>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</si>
  <si>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</si>
  <si>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</si>
  <si>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</si>
  <si>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</si>
  <si>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</si>
  <si>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</si>
  <si>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</si>
  <si>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</si>
  <si>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</si>
  <si>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</si>
  <si>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</si>
  <si>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</si>
  <si>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</si>
  <si>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</si>
  <si>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</si>
  <si>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</si>
  <si>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</si>
  <si>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</si>
  <si>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</si>
  <si>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</si>
  <si>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</si>
  <si>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</si>
  <si>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</si>
  <si>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</si>
  <si>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</si>
  <si>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</si>
  <si>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</si>
  <si>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</si>
  <si>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</si>
  <si>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</si>
  <si>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</si>
  <si>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</si>
  <si>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</si>
  <si>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</si>
  <si>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</si>
  <si>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</si>
  <si>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</si>
  <si>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</si>
  <si>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</si>
  <si>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</si>
  <si>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</si>
  <si>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</si>
  <si>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</si>
  <si>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</si>
  <si>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</si>
  <si>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</si>
  <si>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</si>
  <si>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</si>
  <si>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</si>
  <si>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</si>
  <si>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</si>
  <si>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</si>
  <si>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</si>
  <si>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</si>
  <si>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</si>
  <si>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</si>
  <si>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</si>
  <si>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</si>
  <si>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</si>
  <si>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</si>
  <si>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</si>
  <si>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</si>
  <si>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</si>
  <si>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</si>
  <si>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</si>
  <si>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</si>
  <si>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</si>
  <si>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</si>
  <si>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</si>
  <si>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</si>
  <si>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</si>
  <si>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</si>
  <si>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</si>
  <si>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</si>
  <si>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</si>
  <si>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</si>
  <si>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</si>
  <si>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</si>
  <si>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</si>
  <si>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</si>
  <si>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</si>
  <si>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</si>
  <si>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</si>
  <si>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</si>
  <si>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</si>
  <si>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</si>
  <si>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</si>
  <si>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</si>
  <si>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</si>
  <si>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</si>
  <si>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</si>
  <si>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</si>
  <si>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</si>
  <si>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</si>
  <si>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</si>
  <si>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</si>
  <si>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</si>
  <si>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</si>
  <si>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</si>
  <si>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</si>
  <si>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</si>
  <si>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</si>
  <si>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</si>
  <si>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</si>
  <si>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</si>
  <si>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</si>
  <si>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</si>
  <si>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</si>
  <si>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</si>
  <si>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</si>
  <si>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</si>
  <si>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</si>
  <si>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</si>
  <si>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</si>
  <si>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</si>
  <si>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</si>
  <si>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</si>
  <si>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</si>
  <si>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</si>
  <si>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</si>
  <si>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</si>
  <si>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</si>
  <si>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</si>
  <si>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</si>
  <si>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</si>
  <si>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</si>
  <si>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</si>
  <si>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</si>
  <si>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</si>
  <si>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</si>
  <si>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</si>
  <si>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</si>
  <si>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</si>
  <si>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</si>
  <si>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</si>
  <si>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</si>
  <si>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</si>
  <si>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</si>
  <si>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</si>
  <si>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</si>
  <si>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</si>
  <si>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</si>
  <si>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</si>
  <si>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</si>
  <si>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</si>
  <si>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</si>
  <si>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</si>
  <si>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</si>
  <si>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</si>
  <si>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</si>
  <si>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</si>
  <si>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</si>
  <si>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</si>
  <si>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</si>
  <si>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</si>
  <si>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</si>
  <si>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</si>
  <si>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</si>
  <si>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</si>
  <si>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</si>
  <si>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</si>
  <si>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</si>
  <si>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</si>
  <si>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</si>
  <si>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Declining / Cigar-Butt / Runoff Cash Flow Template</t>
  </si>
  <si>
    <t>Fail</t>
  </si>
  <si>
    <t>LINK</t>
  </si>
  <si>
    <t>Technology</t>
  </si>
  <si>
    <t>Consumer Goods</t>
  </si>
  <si>
    <t>Pass</t>
  </si>
  <si>
    <t>Utilities</t>
  </si>
  <si>
    <t>Business Services</t>
  </si>
  <si>
    <t>Delaying Valuation based off P/E</t>
  </si>
  <si>
    <t>Restaurants</t>
  </si>
  <si>
    <t>Retail</t>
  </si>
  <si>
    <t>Watchlist</t>
  </si>
  <si>
    <t>Energy</t>
  </si>
  <si>
    <t>Gaming &amp; Entertainment</t>
  </si>
  <si>
    <t>Industrials</t>
  </si>
  <si>
    <t>Real Estate</t>
  </si>
  <si>
    <t>Healthcare</t>
  </si>
  <si>
    <t>Cigar Butt</t>
  </si>
  <si>
    <t>Education</t>
  </si>
  <si>
    <t>Company passed QA but merger is pending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</si>
</sst>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2" fontId="3" numFmtId="0" xfId="0" applyAlignment="1" applyFill="1" applyFont="1">
      <alignment horizontal="left" vertical="top"/>
    </xf>
    <xf borderId="0" fillId="3" fontId="3" numFmtId="0" xfId="0" applyAlignment="1" applyFill="1" applyFont="1">
      <alignment horizontal="left" vertical="top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document/d/1TaqZaMR7-6Lai5mj0TxY2nFJkTRKACDaMp16XJbvCfY/edit?tab=t.0" TargetMode="External"/><Relationship Id="rId10" Type="http://schemas.openxmlformats.org/officeDocument/2006/relationships/hyperlink" Target="https://docs.google.com/document/d/1uo1IGbG8c42qVwdnyEMSUDxc5iF5EridbW1c6XYS8LI/edit?tab=t.0" TargetMode="External"/><Relationship Id="rId13" Type="http://schemas.openxmlformats.org/officeDocument/2006/relationships/hyperlink" Target="https://docs.google.com/document/d/1i9qI9odJ7QZkLyw5f1MMHDYtLSjA4aqWLc6JGDpPa-M/edit?tab=t.0" TargetMode="External"/><Relationship Id="rId12" Type="http://schemas.openxmlformats.org/officeDocument/2006/relationships/hyperlink" Target="https://docs.google.com/document/d/1SYi5w8UcQKYACDiGNjJeeda1mcshPbeRwZuRMuwFnWY/edit?tab=t.0" TargetMode="External"/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9" Type="http://schemas.openxmlformats.org/officeDocument/2006/relationships/hyperlink" Target="https://docs.google.com/document/d/1ON6ZsI1CQM-3fKUEb5KypLTPWyVOyPPzTD39kPBSJ54/edit?tab=t.0" TargetMode="External"/><Relationship Id="rId15" Type="http://schemas.openxmlformats.org/officeDocument/2006/relationships/hyperlink" Target="https://docs.google.com/document/d/1ZmWW8QKY4xSZOOIPmqmC-9sFRAluaAghS1fXX9lJmGU/edit?tab=t.0" TargetMode="External"/><Relationship Id="rId14" Type="http://schemas.openxmlformats.org/officeDocument/2006/relationships/hyperlink" Target="https://docs.google.com/document/d/1Zul1zEHwzCc2LIXy8c9RvauV2N3KKybuANWhB-xmyyw/edit?tab=t.0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docs.google.com/document/d/1jF2Em2fnNaq7BUeq9g8wNIie6QHJnJFmzhsAntyiaWI/edit?tab=t.0" TargetMode="Externa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15.29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2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10" t="s">
        <v>309</v>
      </c>
      <c r="L246" s="9" t="s">
        <v>310</v>
      </c>
    </row>
    <row r="247" ht="15.75" customHeight="1">
      <c r="A247" s="4" t="s">
        <v>311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ref="K247:K574" si="3">IF(AND(
  $J247="FAIL",
  $B247="Yes",
  OR($C247="Decreasing",$D247="Decreasing"),
  $E247&lt;&gt;"Increasing",
  IFERROR(VALUE($F247)&lt;=2,FALSE),
  $H247&lt;&gt;"Declining",
  OR($I247="Medium",$I247="Large")
),"PASS","FAIL")</f>
        <v>FAIL</v>
      </c>
      <c r="L247" s="8"/>
    </row>
    <row r="248" ht="15.75" customHeight="1">
      <c r="A248" s="4" t="s">
        <v>312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3"/>
        <v>FAIL</v>
      </c>
      <c r="L248" s="8"/>
    </row>
    <row r="249" ht="15.75" customHeight="1">
      <c r="A249" s="4" t="s">
        <v>313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3"/>
        <v>FAIL</v>
      </c>
      <c r="L249" s="8"/>
    </row>
    <row r="250" ht="15.75" customHeight="1">
      <c r="A250" s="4" t="s">
        <v>314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3"/>
        <v>FAIL</v>
      </c>
      <c r="L250" s="8"/>
    </row>
    <row r="251" ht="15.75" customHeight="1">
      <c r="A251" s="4" t="s">
        <v>315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316</v>
      </c>
      <c r="K251" s="7" t="str">
        <f t="shared" si="3"/>
        <v>FAIL</v>
      </c>
      <c r="L251" s="9" t="s">
        <v>317</v>
      </c>
    </row>
    <row r="252" ht="15.75" customHeight="1">
      <c r="A252" s="4" t="s">
        <v>318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4">IF(COUNTBLANK(B252:I252)=8,"",
IF(OR(
B252="No",
C252="Decreasing",
D252="Decreasing",
E252="Increasing",
F252=3,
G252="No",
H252="Declining",
I252="Small"
),"FAIL","PASS"))</f>
        <v>FAIL</v>
      </c>
      <c r="K252" s="7" t="str">
        <f t="shared" si="3"/>
        <v>FAIL</v>
      </c>
      <c r="L252" s="8"/>
    </row>
    <row r="253" ht="15.75" customHeight="1">
      <c r="A253" s="4" t="s">
        <v>319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4"/>
        <v>FAIL</v>
      </c>
      <c r="K253" s="7" t="str">
        <f t="shared" si="3"/>
        <v>FAIL</v>
      </c>
      <c r="L253" s="8"/>
    </row>
    <row r="254" ht="15.75" customHeight="1">
      <c r="A254" s="4" t="s">
        <v>320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4"/>
        <v>FAIL</v>
      </c>
      <c r="K254" s="7" t="str">
        <f t="shared" si="3"/>
        <v>FAIL</v>
      </c>
      <c r="L254" s="8"/>
    </row>
    <row r="255" ht="15.75" customHeight="1">
      <c r="A255" s="4" t="s">
        <v>321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4"/>
        <v>FAIL</v>
      </c>
      <c r="K255" s="7" t="str">
        <f t="shared" si="3"/>
        <v>FAIL</v>
      </c>
      <c r="L255" s="8"/>
    </row>
    <row r="256" ht="15.75" customHeight="1">
      <c r="A256" s="4" t="s">
        <v>322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4"/>
        <v>FAIL</v>
      </c>
      <c r="K256" s="7" t="str">
        <f t="shared" si="3"/>
        <v>FAIL</v>
      </c>
      <c r="L256" s="8"/>
    </row>
    <row r="257" ht="15.75" customHeight="1">
      <c r="A257" s="4" t="s">
        <v>323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4"/>
        <v>FAIL</v>
      </c>
      <c r="K257" s="7" t="str">
        <f t="shared" si="3"/>
        <v>FAIL</v>
      </c>
      <c r="L257" s="8"/>
    </row>
    <row r="258" ht="15.75" customHeight="1">
      <c r="A258" s="4" t="s">
        <v>324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4"/>
        <v>FAIL</v>
      </c>
      <c r="K258" s="7" t="str">
        <f t="shared" si="3"/>
        <v>FAIL</v>
      </c>
      <c r="L258" s="8"/>
    </row>
    <row r="259" ht="15.75" customHeight="1">
      <c r="A259" s="4" t="s">
        <v>325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4"/>
        <v>FAIL</v>
      </c>
      <c r="K259" s="7" t="str">
        <f t="shared" si="3"/>
        <v>FAIL</v>
      </c>
      <c r="L259" s="8"/>
    </row>
    <row r="260" ht="15.75" customHeight="1">
      <c r="A260" s="4" t="s">
        <v>326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4"/>
        <v>PASS</v>
      </c>
      <c r="K260" s="7" t="str">
        <f t="shared" si="3"/>
        <v>FAIL</v>
      </c>
      <c r="L260" s="8"/>
    </row>
    <row r="261" ht="15.75" customHeight="1">
      <c r="A261" s="4" t="s">
        <v>327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4"/>
        <v>FAIL</v>
      </c>
      <c r="K261" s="7" t="str">
        <f t="shared" si="3"/>
        <v>FAIL</v>
      </c>
      <c r="L261" s="8"/>
    </row>
    <row r="262" ht="15.75" customHeight="1">
      <c r="A262" s="4" t="s">
        <v>328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4"/>
        <v>FAIL</v>
      </c>
      <c r="K262" s="7" t="str">
        <f t="shared" si="3"/>
        <v>FAIL</v>
      </c>
      <c r="L262" s="8"/>
    </row>
    <row r="263" ht="15.75" customHeight="1">
      <c r="A263" s="4" t="s">
        <v>329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4"/>
        <v>PASS</v>
      </c>
      <c r="K263" s="7" t="str">
        <f t="shared" si="3"/>
        <v>FAIL</v>
      </c>
      <c r="L263" s="9" t="s">
        <v>330</v>
      </c>
    </row>
    <row r="264" ht="15.75" customHeight="1">
      <c r="A264" s="4" t="s">
        <v>331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4"/>
        <v>FAIL</v>
      </c>
      <c r="K264" s="7" t="str">
        <f t="shared" si="3"/>
        <v>FAIL</v>
      </c>
      <c r="L264" s="8"/>
    </row>
    <row r="265" ht="15.75" customHeight="1">
      <c r="A265" s="4" t="s">
        <v>332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4"/>
        <v>FAIL</v>
      </c>
      <c r="K265" s="7" t="str">
        <f t="shared" si="3"/>
        <v>FAIL</v>
      </c>
      <c r="L265" s="8"/>
    </row>
    <row r="266" ht="15.75" customHeight="1">
      <c r="A266" s="4" t="s">
        <v>333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4"/>
        <v>FAIL</v>
      </c>
      <c r="K266" s="7" t="str">
        <f t="shared" si="3"/>
        <v>FAIL</v>
      </c>
      <c r="L266" s="8"/>
    </row>
    <row r="267" ht="15.75" customHeight="1">
      <c r="A267" s="4" t="s">
        <v>334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4"/>
        <v>FAIL</v>
      </c>
      <c r="K267" s="7" t="str">
        <f t="shared" si="3"/>
        <v>FAIL</v>
      </c>
      <c r="L267" s="8"/>
    </row>
    <row r="268" ht="15.75" customHeight="1">
      <c r="A268" s="4" t="s">
        <v>335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4"/>
        <v>FAIL</v>
      </c>
      <c r="K268" s="7" t="str">
        <f t="shared" si="3"/>
        <v>FAIL</v>
      </c>
      <c r="L268" s="8"/>
    </row>
    <row r="269" ht="15.75" customHeight="1">
      <c r="A269" s="4" t="s">
        <v>336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4"/>
        <v>PASS</v>
      </c>
      <c r="K269" s="7" t="str">
        <f t="shared" si="3"/>
        <v>FAIL</v>
      </c>
      <c r="L269" s="9" t="s">
        <v>337</v>
      </c>
    </row>
    <row r="270" ht="15.75" customHeight="1">
      <c r="A270" s="4" t="s">
        <v>338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4"/>
        <v>FAIL</v>
      </c>
      <c r="K270" s="7" t="str">
        <f t="shared" si="3"/>
        <v>FAIL</v>
      </c>
      <c r="L270" s="8"/>
    </row>
    <row r="271" ht="15.75" customHeight="1">
      <c r="A271" s="4" t="s">
        <v>339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4"/>
        <v>FAIL</v>
      </c>
      <c r="K271" s="7" t="str">
        <f t="shared" si="3"/>
        <v>FAIL</v>
      </c>
      <c r="L271" s="8"/>
    </row>
    <row r="272" ht="15.75" customHeight="1">
      <c r="A272" s="4" t="s">
        <v>340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4"/>
        <v>FAIL</v>
      </c>
      <c r="K272" s="7" t="str">
        <f t="shared" si="3"/>
        <v>FAIL</v>
      </c>
      <c r="L272" s="9" t="s">
        <v>341</v>
      </c>
    </row>
    <row r="273" ht="15.75" customHeight="1">
      <c r="A273" s="4" t="s">
        <v>342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4"/>
        <v>FAIL</v>
      </c>
      <c r="K273" s="7" t="str">
        <f t="shared" si="3"/>
        <v>FAIL</v>
      </c>
      <c r="L273" s="8"/>
    </row>
    <row r="274" ht="15.75" customHeight="1">
      <c r="A274" s="4" t="s">
        <v>343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4"/>
        <v>FAIL</v>
      </c>
      <c r="K274" s="7" t="str">
        <f t="shared" si="3"/>
        <v>FAIL</v>
      </c>
      <c r="L274" s="8"/>
    </row>
    <row r="275" ht="15.75" customHeight="1">
      <c r="A275" s="4" t="s">
        <v>344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4"/>
        <v>FAIL</v>
      </c>
      <c r="K275" s="7" t="str">
        <f t="shared" si="3"/>
        <v>FAIL</v>
      </c>
      <c r="L275" s="8"/>
    </row>
    <row r="276" ht="15.75" customHeight="1">
      <c r="A276" s="4" t="s">
        <v>345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4"/>
        <v>FAIL</v>
      </c>
      <c r="K276" s="7" t="str">
        <f t="shared" si="3"/>
        <v>FAIL</v>
      </c>
      <c r="L276" s="8"/>
    </row>
    <row r="277" ht="15.75" customHeight="1">
      <c r="A277" s="4" t="s">
        <v>346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4"/>
        <v>FAIL</v>
      </c>
      <c r="K277" s="7" t="str">
        <f t="shared" si="3"/>
        <v>FAIL</v>
      </c>
      <c r="L277" s="8"/>
    </row>
    <row r="278" ht="15.75" customHeight="1">
      <c r="A278" s="4" t="s">
        <v>347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4"/>
        <v>FAIL</v>
      </c>
      <c r="K278" s="7" t="str">
        <f t="shared" si="3"/>
        <v>FAIL</v>
      </c>
      <c r="L278" s="8"/>
    </row>
    <row r="279" ht="15.75" customHeight="1">
      <c r="A279" s="4" t="s">
        <v>348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4"/>
        <v>FAIL</v>
      </c>
      <c r="K279" s="7" t="str">
        <f t="shared" si="3"/>
        <v>FAIL</v>
      </c>
      <c r="L279" s="8"/>
    </row>
    <row r="280" ht="15.75" customHeight="1">
      <c r="A280" s="4" t="s">
        <v>349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4"/>
        <v>FAIL</v>
      </c>
      <c r="K280" s="7" t="str">
        <f t="shared" si="3"/>
        <v>FAIL</v>
      </c>
      <c r="L280" s="8"/>
    </row>
    <row r="281" ht="15.75" customHeight="1">
      <c r="A281" s="4" t="s">
        <v>350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4"/>
        <v>FAIL</v>
      </c>
      <c r="K281" s="7" t="str">
        <f t="shared" si="3"/>
        <v>FAIL</v>
      </c>
      <c r="L281" s="8"/>
    </row>
    <row r="282" ht="15.75" customHeight="1">
      <c r="A282" s="4" t="s">
        <v>351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4"/>
        <v>FAIL</v>
      </c>
      <c r="K282" s="7" t="str">
        <f t="shared" si="3"/>
        <v>FAIL</v>
      </c>
      <c r="L282" s="8"/>
    </row>
    <row r="283" ht="15.75" customHeight="1">
      <c r="A283" s="4" t="s">
        <v>352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4"/>
        <v>FAIL</v>
      </c>
      <c r="K283" s="7" t="str">
        <f t="shared" si="3"/>
        <v>FAIL</v>
      </c>
      <c r="L283" s="8"/>
    </row>
    <row r="284" ht="15.75" customHeight="1">
      <c r="A284" s="4" t="s">
        <v>353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4"/>
        <v>FAIL</v>
      </c>
      <c r="K284" s="7" t="str">
        <f t="shared" si="3"/>
        <v>FAIL</v>
      </c>
      <c r="L284" s="8"/>
    </row>
    <row r="285" ht="15.75" customHeight="1">
      <c r="A285" s="4" t="s">
        <v>354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4"/>
        <v>PASS</v>
      </c>
      <c r="K285" s="7" t="str">
        <f t="shared" si="3"/>
        <v>FAIL</v>
      </c>
      <c r="L285" s="9" t="s">
        <v>355</v>
      </c>
    </row>
    <row r="286" ht="15.75" customHeight="1">
      <c r="A286" s="4" t="s">
        <v>356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4"/>
        <v>FAIL</v>
      </c>
      <c r="K286" s="7" t="str">
        <f t="shared" si="3"/>
        <v>FAIL</v>
      </c>
      <c r="L286" s="8"/>
    </row>
    <row r="287" ht="15.75" customHeight="1">
      <c r="A287" s="4" t="s">
        <v>357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4"/>
        <v>FAIL</v>
      </c>
      <c r="K287" s="7" t="str">
        <f t="shared" si="3"/>
        <v>FAIL</v>
      </c>
      <c r="L287" s="8"/>
    </row>
    <row r="288" ht="15.75" customHeight="1">
      <c r="A288" s="4" t="s">
        <v>358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4"/>
        <v>FAIL</v>
      </c>
      <c r="K288" s="7" t="str">
        <f t="shared" si="3"/>
        <v>FAIL</v>
      </c>
      <c r="L288" s="8"/>
    </row>
    <row r="289" ht="15.75" customHeight="1">
      <c r="A289" s="4" t="s">
        <v>359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4"/>
        <v>FAIL</v>
      </c>
      <c r="K289" s="7" t="str">
        <f t="shared" si="3"/>
        <v>FAIL</v>
      </c>
      <c r="L289" s="8"/>
    </row>
    <row r="290" ht="15.75" customHeight="1">
      <c r="A290" s="4" t="s">
        <v>360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4"/>
        <v>FAIL</v>
      </c>
      <c r="K290" s="7" t="str">
        <f t="shared" si="3"/>
        <v>FAIL</v>
      </c>
      <c r="L290" s="8"/>
    </row>
    <row r="291" ht="15.75" customHeight="1">
      <c r="A291" s="4" t="s">
        <v>361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4"/>
        <v>FAIL</v>
      </c>
      <c r="K291" s="7" t="str">
        <f t="shared" si="3"/>
        <v>FAIL</v>
      </c>
      <c r="L291" s="8"/>
    </row>
    <row r="292" ht="15.75" customHeight="1">
      <c r="A292" s="4" t="s">
        <v>362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4"/>
        <v>FAIL</v>
      </c>
      <c r="K292" s="7" t="str">
        <f t="shared" si="3"/>
        <v>FAIL</v>
      </c>
      <c r="L292" s="8"/>
    </row>
    <row r="293" ht="15.75" customHeight="1">
      <c r="A293" s="4" t="s">
        <v>363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4"/>
        <v>FAIL</v>
      </c>
      <c r="K293" s="7" t="str">
        <f t="shared" si="3"/>
        <v>FAIL</v>
      </c>
      <c r="L293" s="8"/>
    </row>
    <row r="294" ht="15.75" customHeight="1">
      <c r="A294" s="4" t="s">
        <v>364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4"/>
        <v>FAIL</v>
      </c>
      <c r="K294" s="7" t="str">
        <f t="shared" si="3"/>
        <v>FAIL</v>
      </c>
      <c r="L294" s="8"/>
    </row>
    <row r="295" ht="15.75" customHeight="1">
      <c r="A295" s="4" t="s">
        <v>365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4"/>
        <v>FAIL</v>
      </c>
      <c r="K295" s="7" t="str">
        <f t="shared" si="3"/>
        <v>FAIL</v>
      </c>
      <c r="L295" s="8"/>
    </row>
    <row r="296" ht="15.75" customHeight="1">
      <c r="A296" s="4" t="s">
        <v>366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4"/>
        <v>FAIL</v>
      </c>
      <c r="K296" s="7" t="str">
        <f t="shared" si="3"/>
        <v>FAIL</v>
      </c>
      <c r="L296" s="8"/>
    </row>
    <row r="297" ht="15.75" customHeight="1">
      <c r="A297" s="4" t="s">
        <v>367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4"/>
        <v>FAIL</v>
      </c>
      <c r="K297" s="7" t="str">
        <f t="shared" si="3"/>
        <v>FAIL</v>
      </c>
      <c r="L297" s="8"/>
    </row>
    <row r="298" ht="15.75" customHeight="1">
      <c r="A298" s="4" t="s">
        <v>368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4"/>
        <v>FAIL</v>
      </c>
      <c r="K298" s="7" t="str">
        <f t="shared" si="3"/>
        <v>FAIL</v>
      </c>
      <c r="L298" s="8"/>
    </row>
    <row r="299" ht="15.75" customHeight="1">
      <c r="A299" s="4" t="s">
        <v>369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4"/>
        <v>FAIL</v>
      </c>
      <c r="K299" s="7" t="str">
        <f t="shared" si="3"/>
        <v>FAIL</v>
      </c>
      <c r="L299" s="8"/>
    </row>
    <row r="300" ht="15.75" customHeight="1">
      <c r="A300" s="4" t="s">
        <v>370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4"/>
        <v/>
      </c>
      <c r="K300" s="7" t="str">
        <f t="shared" si="3"/>
        <v>FAIL</v>
      </c>
      <c r="L300" s="8"/>
    </row>
    <row r="301" ht="15.75" customHeight="1">
      <c r="A301" s="4" t="s">
        <v>371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4"/>
        <v>FAIL</v>
      </c>
      <c r="K301" s="7" t="str">
        <f t="shared" si="3"/>
        <v>FAIL</v>
      </c>
      <c r="L301" s="8"/>
    </row>
    <row r="302" ht="15.75" customHeight="1">
      <c r="A302" s="4" t="s">
        <v>372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4"/>
        <v>FAIL</v>
      </c>
      <c r="K302" s="7" t="str">
        <f t="shared" si="3"/>
        <v>FAIL</v>
      </c>
      <c r="L302" s="8"/>
    </row>
    <row r="303" ht="15.75" customHeight="1">
      <c r="A303" s="4" t="s">
        <v>373</v>
      </c>
      <c r="B303" s="5" t="s">
        <v>19</v>
      </c>
      <c r="C303" s="6"/>
      <c r="D303" s="6"/>
      <c r="E303" s="6"/>
      <c r="F303" s="6"/>
      <c r="G303" s="6"/>
      <c r="H303" s="6"/>
      <c r="I303" s="6"/>
      <c r="J303" s="6" t="str">
        <f t="shared" si="4"/>
        <v>FAIL</v>
      </c>
      <c r="K303" s="7" t="str">
        <f t="shared" si="3"/>
        <v>FAIL</v>
      </c>
      <c r="L303" s="8"/>
    </row>
    <row r="304" ht="15.75" customHeight="1">
      <c r="A304" s="4" t="s">
        <v>374</v>
      </c>
      <c r="B304" s="5" t="s">
        <v>19</v>
      </c>
      <c r="C304" s="6"/>
      <c r="D304" s="6"/>
      <c r="E304" s="6"/>
      <c r="F304" s="6"/>
      <c r="G304" s="6"/>
      <c r="H304" s="6"/>
      <c r="I304" s="6"/>
      <c r="J304" s="6" t="str">
        <f t="shared" si="4"/>
        <v>FAIL</v>
      </c>
      <c r="K304" s="7" t="str">
        <f t="shared" si="3"/>
        <v>FAIL</v>
      </c>
      <c r="L304" s="8"/>
    </row>
    <row r="305" ht="15.75" customHeight="1">
      <c r="A305" s="4" t="s">
        <v>375</v>
      </c>
      <c r="B305" s="5" t="s">
        <v>19</v>
      </c>
      <c r="C305" s="6"/>
      <c r="D305" s="6"/>
      <c r="E305" s="6"/>
      <c r="F305" s="6"/>
      <c r="G305" s="6"/>
      <c r="H305" s="6"/>
      <c r="I305" s="6"/>
      <c r="J305" s="6" t="str">
        <f t="shared" si="4"/>
        <v>FAIL</v>
      </c>
      <c r="K305" s="7" t="str">
        <f t="shared" si="3"/>
        <v>FAIL</v>
      </c>
      <c r="L305" s="8"/>
    </row>
    <row r="306" ht="15.75" customHeight="1">
      <c r="A306" s="4" t="s">
        <v>376</v>
      </c>
      <c r="B306" s="5" t="s">
        <v>19</v>
      </c>
      <c r="C306" s="6"/>
      <c r="D306" s="6"/>
      <c r="E306" s="6"/>
      <c r="F306" s="6"/>
      <c r="G306" s="6"/>
      <c r="H306" s="6"/>
      <c r="I306" s="6"/>
      <c r="J306" s="6" t="str">
        <f t="shared" si="4"/>
        <v>FAIL</v>
      </c>
      <c r="K306" s="7" t="str">
        <f t="shared" si="3"/>
        <v>FAIL</v>
      </c>
      <c r="L306" s="8"/>
    </row>
    <row r="307" ht="15.75" customHeight="1">
      <c r="A307" s="4" t="s">
        <v>377</v>
      </c>
      <c r="B307" s="5" t="s">
        <v>13</v>
      </c>
      <c r="C307" s="5" t="s">
        <v>16</v>
      </c>
      <c r="D307" s="5" t="s">
        <v>59</v>
      </c>
      <c r="E307" s="5" t="s">
        <v>16</v>
      </c>
      <c r="F307" s="5">
        <v>2.0</v>
      </c>
      <c r="G307" s="5" t="s">
        <v>13</v>
      </c>
      <c r="H307" s="5" t="s">
        <v>16</v>
      </c>
      <c r="I307" s="5" t="s">
        <v>17</v>
      </c>
      <c r="J307" s="6" t="str">
        <f t="shared" si="4"/>
        <v>PASS</v>
      </c>
      <c r="K307" s="7" t="str">
        <f t="shared" si="3"/>
        <v>FAIL</v>
      </c>
      <c r="L307" s="8"/>
    </row>
    <row r="308" ht="15.75" customHeight="1">
      <c r="A308" s="4" t="s">
        <v>378</v>
      </c>
      <c r="B308" s="5" t="s">
        <v>19</v>
      </c>
      <c r="C308" s="6"/>
      <c r="D308" s="6"/>
      <c r="E308" s="6"/>
      <c r="F308" s="6"/>
      <c r="G308" s="6"/>
      <c r="H308" s="6"/>
      <c r="I308" s="6"/>
      <c r="J308" s="6" t="str">
        <f t="shared" si="4"/>
        <v>FAIL</v>
      </c>
      <c r="K308" s="7" t="str">
        <f t="shared" si="3"/>
        <v>FAIL</v>
      </c>
      <c r="L308" s="8"/>
    </row>
    <row r="309" ht="15.75" customHeight="1">
      <c r="A309" s="4" t="s">
        <v>379</v>
      </c>
      <c r="B309" s="5" t="s">
        <v>13</v>
      </c>
      <c r="C309" s="5" t="s">
        <v>59</v>
      </c>
      <c r="D309" s="5" t="s">
        <v>59</v>
      </c>
      <c r="E309" s="5" t="s">
        <v>16</v>
      </c>
      <c r="F309" s="5">
        <v>2.0</v>
      </c>
      <c r="G309" s="5" t="s">
        <v>13</v>
      </c>
      <c r="H309" s="5" t="s">
        <v>16</v>
      </c>
      <c r="I309" s="5" t="s">
        <v>17</v>
      </c>
      <c r="J309" s="6" t="str">
        <f t="shared" si="4"/>
        <v>PASS</v>
      </c>
      <c r="K309" s="7" t="str">
        <f t="shared" si="3"/>
        <v>FAIL</v>
      </c>
      <c r="L309" s="8"/>
    </row>
    <row r="310" ht="15.75" customHeight="1">
      <c r="A310" s="4" t="s">
        <v>380</v>
      </c>
      <c r="B310" s="5" t="s">
        <v>13</v>
      </c>
      <c r="C310" s="5" t="s">
        <v>59</v>
      </c>
      <c r="D310" s="5" t="s">
        <v>59</v>
      </c>
      <c r="E310" s="5" t="s">
        <v>16</v>
      </c>
      <c r="F310" s="5">
        <v>3.0</v>
      </c>
      <c r="G310" s="5" t="s">
        <v>13</v>
      </c>
      <c r="H310" s="5" t="s">
        <v>16</v>
      </c>
      <c r="I310" s="5" t="s">
        <v>17</v>
      </c>
      <c r="J310" s="6" t="str">
        <f t="shared" si="4"/>
        <v>FAIL</v>
      </c>
      <c r="K310" s="7" t="str">
        <f t="shared" si="3"/>
        <v>FAIL</v>
      </c>
      <c r="L310" s="8"/>
    </row>
    <row r="311" ht="15.75" customHeight="1">
      <c r="A311" s="4" t="s">
        <v>381</v>
      </c>
      <c r="B311" s="5" t="s">
        <v>19</v>
      </c>
      <c r="C311" s="6"/>
      <c r="D311" s="6"/>
      <c r="E311" s="6"/>
      <c r="F311" s="6"/>
      <c r="G311" s="6"/>
      <c r="H311" s="6"/>
      <c r="I311" s="6"/>
      <c r="J311" s="6" t="str">
        <f t="shared" si="4"/>
        <v>FAIL</v>
      </c>
      <c r="K311" s="7" t="str">
        <f t="shared" si="3"/>
        <v>FAIL</v>
      </c>
      <c r="L311" s="8"/>
    </row>
    <row r="312" ht="15.75" customHeight="1">
      <c r="A312" s="4" t="s">
        <v>382</v>
      </c>
      <c r="B312" s="5" t="s">
        <v>13</v>
      </c>
      <c r="C312" s="5" t="s">
        <v>14</v>
      </c>
      <c r="D312" s="5" t="s">
        <v>14</v>
      </c>
      <c r="E312" s="5" t="s">
        <v>16</v>
      </c>
      <c r="F312" s="5">
        <v>2.0</v>
      </c>
      <c r="G312" s="5" t="s">
        <v>13</v>
      </c>
      <c r="H312" s="5" t="s">
        <v>16</v>
      </c>
      <c r="I312" s="5" t="s">
        <v>17</v>
      </c>
      <c r="J312" s="6" t="str">
        <f t="shared" si="4"/>
        <v>PASS</v>
      </c>
      <c r="K312" s="7" t="str">
        <f t="shared" si="3"/>
        <v>FAIL</v>
      </c>
      <c r="L312" s="8"/>
    </row>
    <row r="313" ht="15.75" customHeight="1">
      <c r="A313" s="4" t="s">
        <v>383</v>
      </c>
      <c r="B313" s="5" t="s">
        <v>19</v>
      </c>
      <c r="C313" s="6"/>
      <c r="D313" s="6"/>
      <c r="E313" s="6"/>
      <c r="F313" s="6"/>
      <c r="G313" s="6"/>
      <c r="H313" s="6"/>
      <c r="I313" s="6"/>
      <c r="J313" s="6" t="str">
        <f t="shared" si="4"/>
        <v>FAIL</v>
      </c>
      <c r="K313" s="7" t="str">
        <f t="shared" si="3"/>
        <v>FAIL</v>
      </c>
      <c r="L313" s="8"/>
    </row>
    <row r="314" ht="15.75" customHeight="1">
      <c r="A314" s="4" t="s">
        <v>384</v>
      </c>
      <c r="B314" s="5" t="s">
        <v>13</v>
      </c>
      <c r="C314" s="5" t="s">
        <v>14</v>
      </c>
      <c r="D314" s="5" t="s">
        <v>14</v>
      </c>
      <c r="E314" s="5" t="s">
        <v>16</v>
      </c>
      <c r="F314" s="5">
        <v>2.0</v>
      </c>
      <c r="G314" s="5" t="s">
        <v>13</v>
      </c>
      <c r="H314" s="5" t="s">
        <v>21</v>
      </c>
      <c r="I314" s="5" t="s">
        <v>17</v>
      </c>
      <c r="J314" s="6" t="str">
        <f t="shared" si="4"/>
        <v>PASS</v>
      </c>
      <c r="K314" s="7" t="str">
        <f t="shared" si="3"/>
        <v>FAIL</v>
      </c>
      <c r="L314" s="8"/>
    </row>
    <row r="315" ht="15.75" customHeight="1">
      <c r="A315" s="4" t="s">
        <v>385</v>
      </c>
      <c r="B315" s="5" t="s">
        <v>19</v>
      </c>
      <c r="C315" s="6"/>
      <c r="D315" s="6"/>
      <c r="E315" s="6"/>
      <c r="F315" s="6"/>
      <c r="G315" s="6"/>
      <c r="H315" s="6"/>
      <c r="I315" s="6"/>
      <c r="J315" s="6" t="str">
        <f t="shared" si="4"/>
        <v>FAIL</v>
      </c>
      <c r="K315" s="7" t="str">
        <f t="shared" si="3"/>
        <v>FAIL</v>
      </c>
      <c r="L315" s="8"/>
    </row>
    <row r="316" ht="15.75" customHeight="1">
      <c r="A316" s="4" t="s">
        <v>386</v>
      </c>
      <c r="B316" s="5" t="s">
        <v>19</v>
      </c>
      <c r="C316" s="6"/>
      <c r="D316" s="6"/>
      <c r="E316" s="6"/>
      <c r="F316" s="6"/>
      <c r="G316" s="6"/>
      <c r="H316" s="6"/>
      <c r="I316" s="6"/>
      <c r="J316" s="6" t="str">
        <f t="shared" si="4"/>
        <v>FAIL</v>
      </c>
      <c r="K316" s="7" t="str">
        <f t="shared" si="3"/>
        <v>FAIL</v>
      </c>
      <c r="L316" s="8"/>
    </row>
    <row r="317" ht="15.75" customHeight="1">
      <c r="A317" s="4" t="s">
        <v>387</v>
      </c>
      <c r="B317" s="5" t="s">
        <v>19</v>
      </c>
      <c r="C317" s="6"/>
      <c r="D317" s="6"/>
      <c r="E317" s="6"/>
      <c r="F317" s="6"/>
      <c r="G317" s="6"/>
      <c r="H317" s="6"/>
      <c r="I317" s="6"/>
      <c r="J317" s="6" t="str">
        <f t="shared" si="4"/>
        <v>FAIL</v>
      </c>
      <c r="K317" s="7" t="str">
        <f t="shared" si="3"/>
        <v>FAIL</v>
      </c>
      <c r="L317" s="8"/>
    </row>
    <row r="318" ht="15.75" customHeight="1">
      <c r="A318" s="4" t="s">
        <v>388</v>
      </c>
      <c r="B318" s="5" t="s">
        <v>13</v>
      </c>
      <c r="C318" s="5" t="s">
        <v>14</v>
      </c>
      <c r="D318" s="5" t="s">
        <v>59</v>
      </c>
      <c r="E318" s="5" t="s">
        <v>16</v>
      </c>
      <c r="F318" s="5">
        <v>3.0</v>
      </c>
      <c r="G318" s="5" t="s">
        <v>13</v>
      </c>
      <c r="H318" s="5" t="s">
        <v>16</v>
      </c>
      <c r="I318" s="5" t="s">
        <v>22</v>
      </c>
      <c r="J318" s="6" t="str">
        <f t="shared" si="4"/>
        <v>FAIL</v>
      </c>
      <c r="K318" s="7" t="str">
        <f t="shared" si="3"/>
        <v>FAIL</v>
      </c>
      <c r="L318" s="8"/>
    </row>
    <row r="319" ht="15.75" customHeight="1">
      <c r="A319" s="4" t="s">
        <v>389</v>
      </c>
      <c r="B319" s="5" t="s">
        <v>19</v>
      </c>
      <c r="C319" s="6"/>
      <c r="D319" s="6"/>
      <c r="E319" s="6"/>
      <c r="F319" s="6"/>
      <c r="G319" s="6"/>
      <c r="H319" s="6"/>
      <c r="I319" s="6"/>
      <c r="J319" s="6" t="str">
        <f t="shared" si="4"/>
        <v>FAIL</v>
      </c>
      <c r="K319" s="7" t="str">
        <f t="shared" si="3"/>
        <v>FAIL</v>
      </c>
      <c r="L319" s="8"/>
    </row>
    <row r="320" ht="15.75" customHeight="1">
      <c r="A320" s="4" t="s">
        <v>390</v>
      </c>
      <c r="B320" s="5" t="s">
        <v>19</v>
      </c>
      <c r="C320" s="6"/>
      <c r="D320" s="6"/>
      <c r="E320" s="6"/>
      <c r="F320" s="6"/>
      <c r="G320" s="6"/>
      <c r="H320" s="6"/>
      <c r="I320" s="6"/>
      <c r="J320" s="6" t="str">
        <f t="shared" si="4"/>
        <v>FAIL</v>
      </c>
      <c r="K320" s="7" t="str">
        <f t="shared" si="3"/>
        <v>FAIL</v>
      </c>
      <c r="L320" s="8"/>
    </row>
    <row r="321" ht="15.75" customHeight="1">
      <c r="A321" s="4" t="s">
        <v>391</v>
      </c>
      <c r="B321" s="5" t="s">
        <v>19</v>
      </c>
      <c r="C321" s="6"/>
      <c r="D321" s="6"/>
      <c r="E321" s="6"/>
      <c r="F321" s="6"/>
      <c r="G321" s="6"/>
      <c r="H321" s="6"/>
      <c r="I321" s="6"/>
      <c r="J321" s="6" t="str">
        <f t="shared" si="4"/>
        <v>FAIL</v>
      </c>
      <c r="K321" s="7" t="str">
        <f t="shared" si="3"/>
        <v>FAIL</v>
      </c>
      <c r="L321" s="8"/>
    </row>
    <row r="322" ht="15.75" customHeight="1">
      <c r="A322" s="4" t="s">
        <v>392</v>
      </c>
      <c r="B322" s="5" t="s">
        <v>19</v>
      </c>
      <c r="C322" s="6"/>
      <c r="D322" s="6"/>
      <c r="E322" s="6"/>
      <c r="F322" s="6"/>
      <c r="G322" s="6"/>
      <c r="H322" s="6"/>
      <c r="I322" s="6"/>
      <c r="J322" s="6" t="str">
        <f t="shared" si="4"/>
        <v>FAIL</v>
      </c>
      <c r="K322" s="7" t="str">
        <f t="shared" si="3"/>
        <v>FAIL</v>
      </c>
      <c r="L322" s="8"/>
    </row>
    <row r="323" ht="15.75" customHeight="1">
      <c r="A323" s="4" t="s">
        <v>393</v>
      </c>
      <c r="B323" s="5" t="s">
        <v>19</v>
      </c>
      <c r="C323" s="6"/>
      <c r="D323" s="6"/>
      <c r="E323" s="6"/>
      <c r="F323" s="6"/>
      <c r="G323" s="6"/>
      <c r="H323" s="6"/>
      <c r="I323" s="6"/>
      <c r="J323" s="6" t="str">
        <f t="shared" si="4"/>
        <v>FAIL</v>
      </c>
      <c r="K323" s="7" t="str">
        <f t="shared" si="3"/>
        <v>FAIL</v>
      </c>
      <c r="L323" s="8"/>
    </row>
    <row r="324" ht="15.75" customHeight="1">
      <c r="A324" s="4" t="s">
        <v>394</v>
      </c>
      <c r="B324" s="5" t="s">
        <v>19</v>
      </c>
      <c r="C324" s="6"/>
      <c r="D324" s="6"/>
      <c r="E324" s="6"/>
      <c r="F324" s="6"/>
      <c r="G324" s="6"/>
      <c r="H324" s="6"/>
      <c r="I324" s="6"/>
      <c r="J324" s="6" t="str">
        <f t="shared" si="4"/>
        <v>FAIL</v>
      </c>
      <c r="K324" s="7" t="str">
        <f t="shared" si="3"/>
        <v>FAIL</v>
      </c>
      <c r="L324" s="8"/>
    </row>
    <row r="325" ht="15.75" customHeight="1">
      <c r="A325" s="4" t="s">
        <v>395</v>
      </c>
      <c r="B325" s="5" t="s">
        <v>13</v>
      </c>
      <c r="C325" s="5" t="s">
        <v>14</v>
      </c>
      <c r="D325" s="5" t="s">
        <v>15</v>
      </c>
      <c r="E325" s="5" t="s">
        <v>14</v>
      </c>
      <c r="F325" s="5">
        <v>3.0</v>
      </c>
      <c r="G325" s="5" t="s">
        <v>13</v>
      </c>
      <c r="H325" s="5" t="s">
        <v>21</v>
      </c>
      <c r="I325" s="5" t="s">
        <v>17</v>
      </c>
      <c r="J325" s="6" t="str">
        <f t="shared" si="4"/>
        <v>FAIL</v>
      </c>
      <c r="K325" s="7" t="str">
        <f t="shared" si="3"/>
        <v>FAIL</v>
      </c>
      <c r="L325" s="8"/>
    </row>
    <row r="326" ht="15.75" customHeight="1">
      <c r="A326" s="4" t="s">
        <v>396</v>
      </c>
      <c r="B326" s="5" t="s">
        <v>19</v>
      </c>
      <c r="C326" s="6"/>
      <c r="D326" s="6"/>
      <c r="E326" s="6"/>
      <c r="F326" s="6"/>
      <c r="G326" s="6"/>
      <c r="H326" s="6"/>
      <c r="I326" s="6"/>
      <c r="J326" s="6" t="str">
        <f t="shared" si="4"/>
        <v>FAIL</v>
      </c>
      <c r="K326" s="7" t="str">
        <f t="shared" si="3"/>
        <v>FAIL</v>
      </c>
      <c r="L326" s="8"/>
    </row>
    <row r="327" ht="15.75" customHeight="1">
      <c r="A327" s="4" t="s">
        <v>397</v>
      </c>
      <c r="B327" s="5" t="s">
        <v>19</v>
      </c>
      <c r="C327" s="6"/>
      <c r="D327" s="6"/>
      <c r="E327" s="6"/>
      <c r="F327" s="6"/>
      <c r="G327" s="6"/>
      <c r="H327" s="6"/>
      <c r="I327" s="6"/>
      <c r="J327" s="6" t="str">
        <f t="shared" si="4"/>
        <v>FAIL</v>
      </c>
      <c r="K327" s="7" t="str">
        <f t="shared" si="3"/>
        <v>FAIL</v>
      </c>
      <c r="L327" s="8"/>
    </row>
    <row r="328" ht="15.75" customHeight="1">
      <c r="A328" s="4" t="s">
        <v>398</v>
      </c>
      <c r="B328" s="5" t="s">
        <v>19</v>
      </c>
      <c r="C328" s="6"/>
      <c r="D328" s="6"/>
      <c r="E328" s="6"/>
      <c r="F328" s="6"/>
      <c r="G328" s="6"/>
      <c r="H328" s="6"/>
      <c r="I328" s="6"/>
      <c r="J328" s="6" t="str">
        <f t="shared" si="4"/>
        <v>FAIL</v>
      </c>
      <c r="K328" s="7" t="str">
        <f t="shared" si="3"/>
        <v>FAIL</v>
      </c>
      <c r="L328" s="8"/>
    </row>
    <row r="329" ht="15.75" customHeight="1">
      <c r="A329" s="4" t="s">
        <v>399</v>
      </c>
      <c r="B329" s="5" t="s">
        <v>19</v>
      </c>
      <c r="C329" s="6"/>
      <c r="D329" s="6"/>
      <c r="E329" s="6"/>
      <c r="F329" s="6"/>
      <c r="G329" s="6"/>
      <c r="H329" s="6"/>
      <c r="I329" s="6"/>
      <c r="J329" s="6" t="str">
        <f t="shared" si="4"/>
        <v>FAIL</v>
      </c>
      <c r="K329" s="7" t="str">
        <f t="shared" si="3"/>
        <v>FAIL</v>
      </c>
      <c r="L329" s="8"/>
    </row>
    <row r="330" ht="15.75" customHeight="1">
      <c r="A330" s="4" t="s">
        <v>400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 t="str">
        <f t="shared" si="4"/>
        <v>FAIL</v>
      </c>
      <c r="K330" s="7" t="str">
        <f t="shared" si="3"/>
        <v>FAIL</v>
      </c>
      <c r="L330" s="8"/>
    </row>
    <row r="331" ht="15.75" customHeight="1">
      <c r="A331" s="4" t="s">
        <v>401</v>
      </c>
      <c r="B331" s="5" t="s">
        <v>13</v>
      </c>
      <c r="C331" s="5" t="s">
        <v>16</v>
      </c>
      <c r="D331" s="5" t="s">
        <v>59</v>
      </c>
      <c r="E331" s="5" t="s">
        <v>15</v>
      </c>
      <c r="F331" s="5">
        <v>3.0</v>
      </c>
      <c r="G331" s="5" t="s">
        <v>13</v>
      </c>
      <c r="H331" s="5" t="s">
        <v>16</v>
      </c>
      <c r="I331" s="5" t="s">
        <v>17</v>
      </c>
      <c r="J331" s="6" t="str">
        <f t="shared" si="4"/>
        <v>FAIL</v>
      </c>
      <c r="K331" s="7" t="str">
        <f t="shared" si="3"/>
        <v>FAIL</v>
      </c>
      <c r="L331" s="8"/>
    </row>
    <row r="332" ht="15.75" customHeight="1">
      <c r="A332" s="4" t="s">
        <v>402</v>
      </c>
      <c r="B332" s="5" t="s">
        <v>19</v>
      </c>
      <c r="C332" s="6"/>
      <c r="D332" s="6"/>
      <c r="E332" s="6"/>
      <c r="F332" s="6"/>
      <c r="G332" s="6"/>
      <c r="H332" s="6"/>
      <c r="I332" s="6"/>
      <c r="J332" s="6" t="str">
        <f t="shared" si="4"/>
        <v>FAIL</v>
      </c>
      <c r="K332" s="7" t="str">
        <f t="shared" si="3"/>
        <v>FAIL</v>
      </c>
      <c r="L332" s="8"/>
    </row>
    <row r="333" ht="15.75" customHeight="1">
      <c r="A333" s="4" t="s">
        <v>403</v>
      </c>
      <c r="B333" s="5" t="s">
        <v>19</v>
      </c>
      <c r="C333" s="6"/>
      <c r="D333" s="6"/>
      <c r="E333" s="6"/>
      <c r="F333" s="6"/>
      <c r="G333" s="6"/>
      <c r="H333" s="6"/>
      <c r="I333" s="6"/>
      <c r="J333" s="6" t="str">
        <f t="shared" si="4"/>
        <v>FAIL</v>
      </c>
      <c r="K333" s="7" t="str">
        <f t="shared" si="3"/>
        <v>FAIL</v>
      </c>
      <c r="L333" s="8"/>
    </row>
    <row r="334" ht="15.75" customHeight="1">
      <c r="A334" s="4" t="s">
        <v>404</v>
      </c>
      <c r="B334" s="5" t="s">
        <v>19</v>
      </c>
      <c r="C334" s="6"/>
      <c r="D334" s="6"/>
      <c r="E334" s="6"/>
      <c r="F334" s="6"/>
      <c r="G334" s="6"/>
      <c r="H334" s="6"/>
      <c r="I334" s="6"/>
      <c r="J334" s="6" t="str">
        <f t="shared" si="4"/>
        <v>FAIL</v>
      </c>
      <c r="K334" s="7" t="str">
        <f t="shared" si="3"/>
        <v>FAIL</v>
      </c>
      <c r="L334" s="8"/>
    </row>
    <row r="335" ht="15.75" customHeight="1">
      <c r="A335" s="4" t="s">
        <v>405</v>
      </c>
      <c r="B335" s="5" t="s">
        <v>13</v>
      </c>
      <c r="C335" s="5" t="s">
        <v>59</v>
      </c>
      <c r="D335" s="5" t="s">
        <v>16</v>
      </c>
      <c r="E335" s="5" t="s">
        <v>16</v>
      </c>
      <c r="F335" s="5">
        <v>1.0</v>
      </c>
      <c r="G335" s="5" t="s">
        <v>13</v>
      </c>
      <c r="H335" s="5" t="s">
        <v>21</v>
      </c>
      <c r="I335" s="5" t="s">
        <v>22</v>
      </c>
      <c r="J335" s="6" t="str">
        <f t="shared" si="4"/>
        <v>PASS</v>
      </c>
      <c r="K335" s="7" t="str">
        <f t="shared" si="3"/>
        <v>FAIL</v>
      </c>
      <c r="L335" s="8"/>
    </row>
    <row r="336" ht="15.75" customHeight="1">
      <c r="A336" s="4" t="s">
        <v>406</v>
      </c>
      <c r="B336" s="5" t="s">
        <v>19</v>
      </c>
      <c r="C336" s="6"/>
      <c r="D336" s="6"/>
      <c r="E336" s="6"/>
      <c r="F336" s="6"/>
      <c r="G336" s="6"/>
      <c r="H336" s="6"/>
      <c r="I336" s="6"/>
      <c r="J336" s="6" t="str">
        <f t="shared" si="4"/>
        <v>FAIL</v>
      </c>
      <c r="K336" s="7" t="str">
        <f t="shared" si="3"/>
        <v>FAIL</v>
      </c>
      <c r="L336" s="8"/>
    </row>
    <row r="337" ht="15.75" customHeight="1">
      <c r="A337" s="4" t="s">
        <v>407</v>
      </c>
      <c r="B337" s="5" t="s">
        <v>13</v>
      </c>
      <c r="C337" s="5" t="s">
        <v>14</v>
      </c>
      <c r="D337" s="5" t="s">
        <v>59</v>
      </c>
      <c r="E337" s="5" t="s">
        <v>15</v>
      </c>
      <c r="F337" s="5">
        <v>1.0</v>
      </c>
      <c r="G337" s="5" t="s">
        <v>13</v>
      </c>
      <c r="H337" s="5" t="s">
        <v>21</v>
      </c>
      <c r="I337" s="5" t="s">
        <v>17</v>
      </c>
      <c r="J337" s="6" t="str">
        <f t="shared" si="4"/>
        <v>PASS</v>
      </c>
      <c r="K337" s="7" t="str">
        <f t="shared" si="3"/>
        <v>FAIL</v>
      </c>
      <c r="L337" s="8"/>
    </row>
    <row r="338" ht="15.75" customHeight="1">
      <c r="A338" s="4" t="s">
        <v>408</v>
      </c>
      <c r="B338" s="5" t="s">
        <v>13</v>
      </c>
      <c r="C338" s="5" t="s">
        <v>59</v>
      </c>
      <c r="D338" s="5" t="s">
        <v>59</v>
      </c>
      <c r="E338" s="5" t="s">
        <v>16</v>
      </c>
      <c r="F338" s="5">
        <v>1.0</v>
      </c>
      <c r="G338" s="5" t="s">
        <v>13</v>
      </c>
      <c r="H338" s="5" t="s">
        <v>21</v>
      </c>
      <c r="I338" s="5" t="s">
        <v>17</v>
      </c>
      <c r="J338" s="6" t="str">
        <f t="shared" si="4"/>
        <v>PASS</v>
      </c>
      <c r="K338" s="7" t="str">
        <f t="shared" si="3"/>
        <v>FAIL</v>
      </c>
      <c r="L338" s="8"/>
    </row>
    <row r="339" ht="15.75" customHeight="1">
      <c r="A339" s="4" t="s">
        <v>409</v>
      </c>
      <c r="B339" s="5" t="s">
        <v>19</v>
      </c>
      <c r="C339" s="6"/>
      <c r="D339" s="6"/>
      <c r="E339" s="6"/>
      <c r="F339" s="6"/>
      <c r="G339" s="6"/>
      <c r="H339" s="6"/>
      <c r="I339" s="6"/>
      <c r="J339" s="6" t="str">
        <f t="shared" si="4"/>
        <v>FAIL</v>
      </c>
      <c r="K339" s="7" t="str">
        <f t="shared" si="3"/>
        <v>FAIL</v>
      </c>
      <c r="L339" s="8"/>
    </row>
    <row r="340" ht="15.75" customHeight="1">
      <c r="A340" s="4" t="s">
        <v>410</v>
      </c>
      <c r="B340" s="5" t="s">
        <v>19</v>
      </c>
      <c r="C340" s="6"/>
      <c r="D340" s="6"/>
      <c r="E340" s="6"/>
      <c r="F340" s="6"/>
      <c r="G340" s="6"/>
      <c r="H340" s="6"/>
      <c r="I340" s="6"/>
      <c r="J340" s="6" t="str">
        <f t="shared" si="4"/>
        <v>FAIL</v>
      </c>
      <c r="K340" s="7" t="str">
        <f t="shared" si="3"/>
        <v>FAIL</v>
      </c>
      <c r="L340" s="8"/>
    </row>
    <row r="341" ht="15.75" customHeight="1">
      <c r="A341" s="4" t="s">
        <v>411</v>
      </c>
      <c r="B341" s="5" t="s">
        <v>19</v>
      </c>
      <c r="C341" s="6"/>
      <c r="D341" s="6"/>
      <c r="E341" s="6"/>
      <c r="F341" s="6"/>
      <c r="G341" s="6"/>
      <c r="H341" s="6"/>
      <c r="I341" s="6"/>
      <c r="J341" s="6" t="str">
        <f t="shared" si="4"/>
        <v>FAIL</v>
      </c>
      <c r="K341" s="7" t="str">
        <f t="shared" si="3"/>
        <v>FAIL</v>
      </c>
      <c r="L341" s="8"/>
    </row>
    <row r="342" ht="15.75" customHeight="1">
      <c r="A342" s="4" t="s">
        <v>412</v>
      </c>
      <c r="B342" s="5" t="s">
        <v>19</v>
      </c>
      <c r="C342" s="6"/>
      <c r="D342" s="6"/>
      <c r="E342" s="6"/>
      <c r="F342" s="6"/>
      <c r="G342" s="6"/>
      <c r="H342" s="6"/>
      <c r="I342" s="6"/>
      <c r="J342" s="6" t="str">
        <f t="shared" si="4"/>
        <v>FAIL</v>
      </c>
      <c r="K342" s="7" t="str">
        <f t="shared" si="3"/>
        <v>FAIL</v>
      </c>
      <c r="L342" s="8"/>
    </row>
    <row r="343" ht="15.75" customHeight="1">
      <c r="A343" s="4" t="s">
        <v>413</v>
      </c>
      <c r="B343" s="5" t="s">
        <v>19</v>
      </c>
      <c r="C343" s="6"/>
      <c r="D343" s="6"/>
      <c r="E343" s="6"/>
      <c r="F343" s="6"/>
      <c r="G343" s="6"/>
      <c r="H343" s="6"/>
      <c r="I343" s="6"/>
      <c r="J343" s="6" t="str">
        <f t="shared" si="4"/>
        <v>FAIL</v>
      </c>
      <c r="K343" s="7" t="str">
        <f t="shared" si="3"/>
        <v>FAIL</v>
      </c>
      <c r="L343" s="8"/>
    </row>
    <row r="344" ht="15.75" customHeight="1">
      <c r="A344" s="4" t="s">
        <v>414</v>
      </c>
      <c r="B344" s="5" t="s">
        <v>19</v>
      </c>
      <c r="C344" s="6"/>
      <c r="D344" s="6"/>
      <c r="E344" s="6"/>
      <c r="F344" s="6"/>
      <c r="G344" s="6"/>
      <c r="H344" s="6"/>
      <c r="I344" s="6"/>
      <c r="J344" s="6" t="str">
        <f t="shared" si="4"/>
        <v>FAIL</v>
      </c>
      <c r="K344" s="7" t="str">
        <f t="shared" si="3"/>
        <v>FAIL</v>
      </c>
      <c r="L344" s="8"/>
    </row>
    <row r="345" ht="15.75" customHeight="1">
      <c r="A345" s="4" t="s">
        <v>415</v>
      </c>
      <c r="B345" s="5" t="s">
        <v>19</v>
      </c>
      <c r="C345" s="6"/>
      <c r="D345" s="6"/>
      <c r="E345" s="6"/>
      <c r="F345" s="6"/>
      <c r="G345" s="6"/>
      <c r="H345" s="6"/>
      <c r="I345" s="6"/>
      <c r="J345" s="6" t="str">
        <f t="shared" si="4"/>
        <v>FAIL</v>
      </c>
      <c r="K345" s="7" t="str">
        <f t="shared" si="3"/>
        <v>FAIL</v>
      </c>
      <c r="L345" s="8"/>
    </row>
    <row r="346" ht="15.75" customHeight="1">
      <c r="A346" s="4" t="s">
        <v>416</v>
      </c>
      <c r="B346" s="5" t="s">
        <v>19</v>
      </c>
      <c r="C346" s="6"/>
      <c r="D346" s="6"/>
      <c r="E346" s="6"/>
      <c r="F346" s="6"/>
      <c r="G346" s="6"/>
      <c r="H346" s="6"/>
      <c r="I346" s="6"/>
      <c r="J346" s="6" t="str">
        <f t="shared" si="4"/>
        <v>FAIL</v>
      </c>
      <c r="K346" s="7" t="str">
        <f t="shared" si="3"/>
        <v>FAIL</v>
      </c>
      <c r="L346" s="8"/>
    </row>
    <row r="347" ht="15.75" customHeight="1">
      <c r="A347" s="4" t="s">
        <v>417</v>
      </c>
      <c r="B347" s="5" t="s">
        <v>19</v>
      </c>
      <c r="C347" s="6"/>
      <c r="D347" s="6"/>
      <c r="E347" s="6"/>
      <c r="F347" s="6"/>
      <c r="G347" s="6"/>
      <c r="H347" s="6"/>
      <c r="I347" s="6"/>
      <c r="J347" s="6" t="str">
        <f t="shared" si="4"/>
        <v>FAIL</v>
      </c>
      <c r="K347" s="7" t="str">
        <f t="shared" si="3"/>
        <v>FAIL</v>
      </c>
      <c r="L347" s="8"/>
    </row>
    <row r="348" ht="15.75" customHeight="1">
      <c r="A348" s="4" t="s">
        <v>418</v>
      </c>
      <c r="B348" s="5" t="s">
        <v>19</v>
      </c>
      <c r="C348" s="6"/>
      <c r="D348" s="6"/>
      <c r="E348" s="6"/>
      <c r="F348" s="6"/>
      <c r="G348" s="6"/>
      <c r="H348" s="6"/>
      <c r="I348" s="6"/>
      <c r="J348" s="6" t="str">
        <f t="shared" si="4"/>
        <v>FAIL</v>
      </c>
      <c r="K348" s="7" t="str">
        <f t="shared" si="3"/>
        <v>FAIL</v>
      </c>
      <c r="L348" s="8"/>
    </row>
    <row r="349" ht="15.75" customHeight="1">
      <c r="A349" s="4" t="s">
        <v>419</v>
      </c>
      <c r="B349" s="5" t="s">
        <v>19</v>
      </c>
      <c r="C349" s="6"/>
      <c r="D349" s="6"/>
      <c r="E349" s="6"/>
      <c r="F349" s="6"/>
      <c r="G349" s="6"/>
      <c r="H349" s="6"/>
      <c r="I349" s="6"/>
      <c r="J349" s="6" t="str">
        <f t="shared" si="4"/>
        <v>FAIL</v>
      </c>
      <c r="K349" s="7" t="str">
        <f t="shared" si="3"/>
        <v>FAIL</v>
      </c>
      <c r="L349" s="8"/>
    </row>
    <row r="350" ht="15.75" customHeight="1">
      <c r="A350" s="4" t="s">
        <v>420</v>
      </c>
      <c r="B350" s="5" t="s">
        <v>13</v>
      </c>
      <c r="C350" s="5" t="s">
        <v>14</v>
      </c>
      <c r="D350" s="5" t="s">
        <v>59</v>
      </c>
      <c r="E350" s="5" t="s">
        <v>16</v>
      </c>
      <c r="F350" s="5">
        <v>2.0</v>
      </c>
      <c r="G350" s="5" t="s">
        <v>13</v>
      </c>
      <c r="H350" s="5" t="s">
        <v>16</v>
      </c>
      <c r="I350" s="5" t="s">
        <v>17</v>
      </c>
      <c r="J350" s="6" t="str">
        <f t="shared" si="4"/>
        <v>PASS</v>
      </c>
      <c r="K350" s="7" t="str">
        <f t="shared" si="3"/>
        <v>FAIL</v>
      </c>
      <c r="L350" s="8"/>
    </row>
    <row r="351" ht="15.75" customHeight="1">
      <c r="A351" s="4" t="s">
        <v>421</v>
      </c>
      <c r="B351" s="5" t="s">
        <v>13</v>
      </c>
      <c r="C351" s="5" t="s">
        <v>14</v>
      </c>
      <c r="D351" s="5" t="s">
        <v>59</v>
      </c>
      <c r="E351" s="5" t="s">
        <v>16</v>
      </c>
      <c r="F351" s="5">
        <v>1.0</v>
      </c>
      <c r="G351" s="5" t="s">
        <v>13</v>
      </c>
      <c r="H351" s="5" t="s">
        <v>16</v>
      </c>
      <c r="I351" s="5" t="s">
        <v>22</v>
      </c>
      <c r="J351" s="6" t="str">
        <f t="shared" si="4"/>
        <v>PASS</v>
      </c>
      <c r="K351" s="7" t="str">
        <f t="shared" si="3"/>
        <v>FAIL</v>
      </c>
      <c r="L351" s="8"/>
    </row>
    <row r="352" ht="15.75" customHeight="1">
      <c r="A352" s="4" t="s">
        <v>422</v>
      </c>
      <c r="B352" s="5" t="s">
        <v>13</v>
      </c>
      <c r="C352" s="5" t="s">
        <v>14</v>
      </c>
      <c r="D352" s="5" t="s">
        <v>59</v>
      </c>
      <c r="E352" s="5" t="s">
        <v>16</v>
      </c>
      <c r="F352" s="5">
        <v>1.0</v>
      </c>
      <c r="G352" s="5" t="s">
        <v>13</v>
      </c>
      <c r="H352" s="5" t="s">
        <v>21</v>
      </c>
      <c r="I352" s="5" t="s">
        <v>17</v>
      </c>
      <c r="J352" s="6" t="str">
        <f t="shared" si="4"/>
        <v>PASS</v>
      </c>
      <c r="K352" s="7" t="str">
        <f t="shared" si="3"/>
        <v>FAIL</v>
      </c>
      <c r="L352" s="9" t="s">
        <v>423</v>
      </c>
    </row>
    <row r="353" ht="15.75" customHeight="1">
      <c r="A353" s="4" t="s">
        <v>424</v>
      </c>
      <c r="B353" s="5" t="s">
        <v>19</v>
      </c>
      <c r="C353" s="6"/>
      <c r="D353" s="6"/>
      <c r="E353" s="6"/>
      <c r="F353" s="6"/>
      <c r="G353" s="6"/>
      <c r="H353" s="6"/>
      <c r="I353" s="6"/>
      <c r="J353" s="6" t="str">
        <f t="shared" si="4"/>
        <v>FAIL</v>
      </c>
      <c r="K353" s="7" t="str">
        <f t="shared" si="3"/>
        <v>FAIL</v>
      </c>
      <c r="L353" s="8"/>
    </row>
    <row r="354" ht="15.75" customHeight="1">
      <c r="A354" s="4" t="s">
        <v>425</v>
      </c>
      <c r="B354" s="5" t="s">
        <v>19</v>
      </c>
      <c r="C354" s="6"/>
      <c r="D354" s="6"/>
      <c r="E354" s="6"/>
      <c r="F354" s="6"/>
      <c r="G354" s="6"/>
      <c r="H354" s="6"/>
      <c r="I354" s="6"/>
      <c r="J354" s="6" t="str">
        <f t="shared" si="4"/>
        <v>FAIL</v>
      </c>
      <c r="K354" s="7" t="str">
        <f t="shared" si="3"/>
        <v>FAIL</v>
      </c>
      <c r="L354" s="8"/>
    </row>
    <row r="355" ht="15.75" customHeight="1">
      <c r="A355" s="4" t="s">
        <v>426</v>
      </c>
      <c r="B355" s="5" t="s">
        <v>19</v>
      </c>
      <c r="C355" s="6"/>
      <c r="D355" s="6"/>
      <c r="E355" s="6"/>
      <c r="F355" s="6"/>
      <c r="G355" s="6"/>
      <c r="H355" s="6"/>
      <c r="I355" s="6"/>
      <c r="J355" s="6" t="str">
        <f t="shared" si="4"/>
        <v>FAIL</v>
      </c>
      <c r="K355" s="7" t="str">
        <f t="shared" si="3"/>
        <v>FAIL</v>
      </c>
      <c r="L355" s="8"/>
    </row>
    <row r="356" ht="15.75" customHeight="1">
      <c r="A356" s="4" t="s">
        <v>427</v>
      </c>
      <c r="B356" s="5" t="s">
        <v>19</v>
      </c>
      <c r="C356" s="6"/>
      <c r="D356" s="6"/>
      <c r="E356" s="6"/>
      <c r="F356" s="6"/>
      <c r="G356" s="6"/>
      <c r="H356" s="6"/>
      <c r="I356" s="6"/>
      <c r="J356" s="6" t="str">
        <f t="shared" si="4"/>
        <v>FAIL</v>
      </c>
      <c r="K356" s="7" t="str">
        <f t="shared" si="3"/>
        <v>FAIL</v>
      </c>
      <c r="L356" s="8"/>
    </row>
    <row r="357" ht="15.75" customHeight="1">
      <c r="A357" s="4" t="s">
        <v>428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4"/>
        <v/>
      </c>
      <c r="K357" s="7" t="str">
        <f t="shared" si="3"/>
        <v>FAIL</v>
      </c>
      <c r="L357" s="8"/>
    </row>
    <row r="358" ht="15.75" customHeight="1">
      <c r="A358" s="4" t="s">
        <v>429</v>
      </c>
      <c r="B358" s="5" t="s">
        <v>19</v>
      </c>
      <c r="C358" s="6"/>
      <c r="D358" s="6"/>
      <c r="E358" s="6"/>
      <c r="F358" s="6"/>
      <c r="G358" s="6"/>
      <c r="H358" s="6"/>
      <c r="I358" s="6"/>
      <c r="J358" s="6" t="str">
        <f t="shared" si="4"/>
        <v>FAIL</v>
      </c>
      <c r="K358" s="7" t="str">
        <f t="shared" si="3"/>
        <v>FAIL</v>
      </c>
      <c r="L358" s="8"/>
    </row>
    <row r="359" ht="15.75" customHeight="1">
      <c r="A359" s="4" t="s">
        <v>430</v>
      </c>
      <c r="B359" s="5" t="s">
        <v>13</v>
      </c>
      <c r="C359" s="5" t="s">
        <v>15</v>
      </c>
      <c r="D359" s="5" t="s">
        <v>15</v>
      </c>
      <c r="E359" s="5" t="s">
        <v>14</v>
      </c>
      <c r="F359" s="5">
        <v>2.0</v>
      </c>
      <c r="G359" s="5" t="s">
        <v>13</v>
      </c>
      <c r="H359" s="5" t="s">
        <v>16</v>
      </c>
      <c r="I359" s="5" t="s">
        <v>17</v>
      </c>
      <c r="J359" s="6" t="str">
        <f t="shared" si="4"/>
        <v>FAIL</v>
      </c>
      <c r="K359" s="7" t="str">
        <f t="shared" si="3"/>
        <v>FAIL</v>
      </c>
      <c r="L359" s="8"/>
    </row>
    <row r="360" ht="15.75" customHeight="1">
      <c r="A360" s="4" t="s">
        <v>431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4"/>
        <v/>
      </c>
      <c r="K360" s="7" t="str">
        <f t="shared" si="3"/>
        <v>FAIL</v>
      </c>
      <c r="L360" s="8"/>
    </row>
    <row r="361" ht="15.75" customHeight="1">
      <c r="A361" s="4" t="s">
        <v>432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4"/>
        <v/>
      </c>
      <c r="K361" s="7" t="str">
        <f t="shared" si="3"/>
        <v>FAIL</v>
      </c>
      <c r="L361" s="8"/>
    </row>
    <row r="362" ht="15.75" customHeight="1">
      <c r="A362" s="4" t="s">
        <v>433</v>
      </c>
      <c r="B362" s="5" t="s">
        <v>19</v>
      </c>
      <c r="C362" s="6"/>
      <c r="D362" s="6"/>
      <c r="E362" s="6"/>
      <c r="F362" s="6"/>
      <c r="G362" s="6"/>
      <c r="H362" s="6"/>
      <c r="I362" s="6"/>
      <c r="J362" s="6" t="str">
        <f t="shared" si="4"/>
        <v>FAIL</v>
      </c>
      <c r="K362" s="7" t="str">
        <f t="shared" si="3"/>
        <v>FAIL</v>
      </c>
      <c r="L362" s="8"/>
    </row>
    <row r="363" ht="15.75" customHeight="1">
      <c r="A363" s="4" t="s">
        <v>434</v>
      </c>
      <c r="B363" s="5" t="s">
        <v>19</v>
      </c>
      <c r="C363" s="6"/>
      <c r="D363" s="6"/>
      <c r="E363" s="6"/>
      <c r="F363" s="6"/>
      <c r="G363" s="6"/>
      <c r="H363" s="6"/>
      <c r="I363" s="6"/>
      <c r="J363" s="6" t="str">
        <f t="shared" si="4"/>
        <v>FAIL</v>
      </c>
      <c r="K363" s="7" t="str">
        <f t="shared" si="3"/>
        <v>FAIL</v>
      </c>
      <c r="L363" s="8"/>
    </row>
    <row r="364" ht="15.75" customHeight="1">
      <c r="A364" s="4" t="s">
        <v>435</v>
      </c>
      <c r="B364" s="5" t="s">
        <v>19</v>
      </c>
      <c r="C364" s="6"/>
      <c r="D364" s="6"/>
      <c r="E364" s="6"/>
      <c r="F364" s="6"/>
      <c r="G364" s="6"/>
      <c r="H364" s="6"/>
      <c r="I364" s="6"/>
      <c r="J364" s="6" t="str">
        <f t="shared" si="4"/>
        <v>FAIL</v>
      </c>
      <c r="K364" s="7" t="str">
        <f t="shared" si="3"/>
        <v>FAIL</v>
      </c>
      <c r="L364" s="8"/>
    </row>
    <row r="365" ht="15.75" customHeight="1">
      <c r="A365" s="4" t="s">
        <v>436</v>
      </c>
      <c r="B365" s="5" t="s">
        <v>19</v>
      </c>
      <c r="C365" s="6"/>
      <c r="D365" s="6"/>
      <c r="E365" s="6"/>
      <c r="F365" s="6"/>
      <c r="G365" s="6"/>
      <c r="H365" s="6"/>
      <c r="I365" s="6"/>
      <c r="J365" s="6" t="str">
        <f t="shared" si="4"/>
        <v>FAIL</v>
      </c>
      <c r="K365" s="7" t="str">
        <f t="shared" si="3"/>
        <v>FAIL</v>
      </c>
      <c r="L365" s="8"/>
    </row>
    <row r="366" ht="15.75" customHeight="1">
      <c r="A366" s="4" t="s">
        <v>437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4"/>
        <v/>
      </c>
      <c r="K366" s="7" t="str">
        <f t="shared" si="3"/>
        <v>FAIL</v>
      </c>
      <c r="L366" s="8"/>
    </row>
    <row r="367" ht="15.75" customHeight="1">
      <c r="A367" s="4" t="s">
        <v>438</v>
      </c>
      <c r="B367" s="5" t="s">
        <v>19</v>
      </c>
      <c r="C367" s="6"/>
      <c r="D367" s="6"/>
      <c r="E367" s="6"/>
      <c r="F367" s="6"/>
      <c r="G367" s="6"/>
      <c r="H367" s="6"/>
      <c r="I367" s="6"/>
      <c r="J367" s="6" t="str">
        <f t="shared" si="4"/>
        <v>FAIL</v>
      </c>
      <c r="K367" s="7" t="str">
        <f t="shared" si="3"/>
        <v>FAIL</v>
      </c>
      <c r="L367" s="8"/>
    </row>
    <row r="368" ht="15.75" customHeight="1">
      <c r="A368" s="4" t="s">
        <v>439</v>
      </c>
      <c r="B368" s="5" t="s">
        <v>19</v>
      </c>
      <c r="C368" s="6"/>
      <c r="D368" s="6"/>
      <c r="E368" s="6"/>
      <c r="F368" s="6"/>
      <c r="G368" s="6"/>
      <c r="H368" s="6"/>
      <c r="I368" s="6"/>
      <c r="J368" s="6" t="str">
        <f t="shared" si="4"/>
        <v>FAIL</v>
      </c>
      <c r="K368" s="7" t="str">
        <f t="shared" si="3"/>
        <v>FAIL</v>
      </c>
      <c r="L368" s="8"/>
    </row>
    <row r="369" ht="15.75" customHeight="1">
      <c r="A369" s="4" t="s">
        <v>440</v>
      </c>
      <c r="B369" s="5" t="s">
        <v>19</v>
      </c>
      <c r="C369" s="6"/>
      <c r="D369" s="6"/>
      <c r="E369" s="6"/>
      <c r="F369" s="6"/>
      <c r="G369" s="6"/>
      <c r="H369" s="6"/>
      <c r="I369" s="6"/>
      <c r="J369" s="6" t="str">
        <f t="shared" si="4"/>
        <v>FAIL</v>
      </c>
      <c r="K369" s="7" t="str">
        <f t="shared" si="3"/>
        <v>FAIL</v>
      </c>
      <c r="L369" s="8"/>
    </row>
    <row r="370" ht="15.75" customHeight="1">
      <c r="A370" s="4" t="s">
        <v>441</v>
      </c>
      <c r="B370" s="5" t="s">
        <v>19</v>
      </c>
      <c r="C370" s="6"/>
      <c r="D370" s="6"/>
      <c r="E370" s="6"/>
      <c r="F370" s="6"/>
      <c r="G370" s="6"/>
      <c r="H370" s="6"/>
      <c r="I370" s="6"/>
      <c r="J370" s="6" t="str">
        <f t="shared" si="4"/>
        <v>FAIL</v>
      </c>
      <c r="K370" s="7" t="str">
        <f t="shared" si="3"/>
        <v>FAIL</v>
      </c>
      <c r="L370" s="8"/>
    </row>
    <row r="371" ht="15.75" customHeight="1">
      <c r="A371" s="4" t="s">
        <v>442</v>
      </c>
      <c r="B371" s="5" t="s">
        <v>19</v>
      </c>
      <c r="C371" s="6"/>
      <c r="D371" s="6"/>
      <c r="E371" s="6"/>
      <c r="F371" s="6"/>
      <c r="G371" s="6"/>
      <c r="H371" s="6"/>
      <c r="I371" s="6"/>
      <c r="J371" s="6" t="str">
        <f t="shared" si="4"/>
        <v>FAIL</v>
      </c>
      <c r="K371" s="7" t="str">
        <f t="shared" si="3"/>
        <v>FAIL</v>
      </c>
      <c r="L371" s="8"/>
    </row>
    <row r="372" ht="15.75" customHeight="1">
      <c r="A372" s="4" t="s">
        <v>443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4"/>
        <v/>
      </c>
      <c r="K372" s="7" t="str">
        <f t="shared" si="3"/>
        <v>FAIL</v>
      </c>
      <c r="L372" s="8"/>
    </row>
    <row r="373" ht="15.75" customHeight="1">
      <c r="A373" s="4" t="s">
        <v>444</v>
      </c>
      <c r="B373" s="5" t="s">
        <v>19</v>
      </c>
      <c r="C373" s="6"/>
      <c r="D373" s="6"/>
      <c r="E373" s="6"/>
      <c r="F373" s="6"/>
      <c r="G373" s="6"/>
      <c r="H373" s="6"/>
      <c r="I373" s="6"/>
      <c r="J373" s="6" t="str">
        <f t="shared" si="4"/>
        <v>FAIL</v>
      </c>
      <c r="K373" s="7" t="str">
        <f t="shared" si="3"/>
        <v>FAIL</v>
      </c>
      <c r="L373" s="8"/>
    </row>
    <row r="374" ht="15.75" customHeight="1">
      <c r="A374" s="4" t="s">
        <v>445</v>
      </c>
      <c r="B374" s="5" t="s">
        <v>19</v>
      </c>
      <c r="C374" s="6"/>
      <c r="D374" s="6"/>
      <c r="E374" s="6"/>
      <c r="F374" s="6"/>
      <c r="G374" s="6"/>
      <c r="H374" s="6"/>
      <c r="I374" s="6"/>
      <c r="J374" s="6" t="str">
        <f t="shared" si="4"/>
        <v>FAIL</v>
      </c>
      <c r="K374" s="7" t="str">
        <f t="shared" si="3"/>
        <v>FAIL</v>
      </c>
      <c r="L374" s="8"/>
    </row>
    <row r="375" ht="15.75" customHeight="1">
      <c r="A375" s="4" t="s">
        <v>446</v>
      </c>
      <c r="B375" s="5" t="s">
        <v>19</v>
      </c>
      <c r="C375" s="6"/>
      <c r="D375" s="6"/>
      <c r="E375" s="6"/>
      <c r="F375" s="6"/>
      <c r="G375" s="6"/>
      <c r="H375" s="6"/>
      <c r="I375" s="6"/>
      <c r="J375" s="6" t="str">
        <f t="shared" si="4"/>
        <v>FAIL</v>
      </c>
      <c r="K375" s="7" t="str">
        <f t="shared" si="3"/>
        <v>FAIL</v>
      </c>
      <c r="L375" s="8"/>
    </row>
    <row r="376" ht="15.75" customHeight="1">
      <c r="A376" s="4" t="s">
        <v>447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4"/>
        <v/>
      </c>
      <c r="K376" s="7" t="str">
        <f t="shared" si="3"/>
        <v>FAIL</v>
      </c>
      <c r="L376" s="8"/>
    </row>
    <row r="377" ht="15.75" customHeight="1">
      <c r="A377" s="4" t="s">
        <v>448</v>
      </c>
      <c r="B377" s="5" t="s">
        <v>19</v>
      </c>
      <c r="C377" s="6"/>
      <c r="D377" s="6"/>
      <c r="E377" s="6"/>
      <c r="F377" s="6"/>
      <c r="G377" s="6"/>
      <c r="H377" s="6"/>
      <c r="I377" s="6"/>
      <c r="J377" s="6" t="str">
        <f t="shared" si="4"/>
        <v>FAIL</v>
      </c>
      <c r="K377" s="7" t="str">
        <f t="shared" si="3"/>
        <v>FAIL</v>
      </c>
      <c r="L377" s="8"/>
    </row>
    <row r="378" ht="15.75" customHeight="1">
      <c r="A378" s="4" t="s">
        <v>449</v>
      </c>
      <c r="B378" s="5" t="s">
        <v>19</v>
      </c>
      <c r="C378" s="6"/>
      <c r="D378" s="6"/>
      <c r="E378" s="6"/>
      <c r="F378" s="6"/>
      <c r="G378" s="6"/>
      <c r="H378" s="6"/>
      <c r="I378" s="6"/>
      <c r="J378" s="6" t="str">
        <f t="shared" si="4"/>
        <v>FAIL</v>
      </c>
      <c r="K378" s="7" t="str">
        <f t="shared" si="3"/>
        <v>FAIL</v>
      </c>
      <c r="L378" s="8"/>
    </row>
    <row r="379" ht="15.75" customHeight="1">
      <c r="A379" s="4" t="s">
        <v>450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4"/>
        <v/>
      </c>
      <c r="K379" s="7" t="str">
        <f t="shared" si="3"/>
        <v>FAIL</v>
      </c>
      <c r="L379" s="8"/>
    </row>
    <row r="380" ht="15.75" customHeight="1">
      <c r="A380" s="4" t="s">
        <v>451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4"/>
        <v/>
      </c>
      <c r="K380" s="7" t="str">
        <f t="shared" si="3"/>
        <v>FAIL</v>
      </c>
      <c r="L380" s="8"/>
    </row>
    <row r="381" ht="15.75" customHeight="1">
      <c r="A381" s="4" t="s">
        <v>452</v>
      </c>
      <c r="B381" s="5" t="s">
        <v>19</v>
      </c>
      <c r="C381" s="6"/>
      <c r="D381" s="6"/>
      <c r="E381" s="6"/>
      <c r="F381" s="6"/>
      <c r="G381" s="6"/>
      <c r="H381" s="6"/>
      <c r="I381" s="6"/>
      <c r="J381" s="6" t="str">
        <f t="shared" si="4"/>
        <v>FAIL</v>
      </c>
      <c r="K381" s="7" t="str">
        <f t="shared" si="3"/>
        <v>FAIL</v>
      </c>
      <c r="L381" s="8"/>
    </row>
    <row r="382" ht="15.75" customHeight="1">
      <c r="A382" s="4" t="s">
        <v>453</v>
      </c>
      <c r="B382" s="5" t="s">
        <v>19</v>
      </c>
      <c r="C382" s="6"/>
      <c r="D382" s="6"/>
      <c r="E382" s="6"/>
      <c r="F382" s="6"/>
      <c r="G382" s="6"/>
      <c r="H382" s="6"/>
      <c r="I382" s="6"/>
      <c r="J382" s="6" t="str">
        <f t="shared" si="4"/>
        <v>FAIL</v>
      </c>
      <c r="K382" s="7" t="str">
        <f t="shared" si="3"/>
        <v>FAIL</v>
      </c>
      <c r="L382" s="8"/>
    </row>
    <row r="383" ht="15.75" customHeight="1">
      <c r="A383" s="4" t="s">
        <v>454</v>
      </c>
      <c r="B383" s="5" t="s">
        <v>19</v>
      </c>
      <c r="C383" s="6"/>
      <c r="D383" s="6"/>
      <c r="E383" s="6"/>
      <c r="F383" s="6"/>
      <c r="G383" s="6"/>
      <c r="H383" s="6"/>
      <c r="I383" s="6"/>
      <c r="J383" s="6" t="str">
        <f t="shared" si="4"/>
        <v>FAIL</v>
      </c>
      <c r="K383" s="7" t="str">
        <f t="shared" si="3"/>
        <v>FAIL</v>
      </c>
      <c r="L383" s="8"/>
    </row>
    <row r="384" ht="15.75" customHeight="1">
      <c r="A384" s="11" t="s">
        <v>455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4"/>
        <v/>
      </c>
      <c r="K384" s="7" t="str">
        <f t="shared" si="3"/>
        <v>FAIL</v>
      </c>
      <c r="L384" s="8"/>
    </row>
    <row r="385" ht="15.75" customHeight="1">
      <c r="A385" s="4" t="s">
        <v>456</v>
      </c>
      <c r="B385" s="5" t="s">
        <v>19</v>
      </c>
      <c r="C385" s="6"/>
      <c r="D385" s="6"/>
      <c r="E385" s="6"/>
      <c r="F385" s="6"/>
      <c r="G385" s="6"/>
      <c r="H385" s="6"/>
      <c r="I385" s="6"/>
      <c r="J385" s="6" t="str">
        <f t="shared" si="4"/>
        <v>FAIL</v>
      </c>
      <c r="K385" s="7" t="str">
        <f t="shared" si="3"/>
        <v>FAIL</v>
      </c>
      <c r="L385" s="8"/>
    </row>
    <row r="386" ht="15.75" customHeight="1">
      <c r="A386" s="4" t="s">
        <v>457</v>
      </c>
      <c r="B386" s="5" t="s">
        <v>19</v>
      </c>
      <c r="C386" s="6"/>
      <c r="D386" s="6"/>
      <c r="E386" s="6"/>
      <c r="F386" s="6"/>
      <c r="G386" s="6"/>
      <c r="H386" s="6"/>
      <c r="I386" s="6"/>
      <c r="J386" s="6" t="str">
        <f t="shared" si="4"/>
        <v>FAIL</v>
      </c>
      <c r="K386" s="7" t="str">
        <f t="shared" si="3"/>
        <v>FAIL</v>
      </c>
      <c r="L386" s="8"/>
    </row>
    <row r="387" ht="15.75" customHeight="1">
      <c r="A387" s="4" t="s">
        <v>458</v>
      </c>
      <c r="B387" s="5" t="s">
        <v>19</v>
      </c>
      <c r="C387" s="6"/>
      <c r="D387" s="6"/>
      <c r="E387" s="6"/>
      <c r="F387" s="6"/>
      <c r="G387" s="6"/>
      <c r="H387" s="6"/>
      <c r="I387" s="6"/>
      <c r="J387" s="6" t="str">
        <f t="shared" si="4"/>
        <v>FAIL</v>
      </c>
      <c r="K387" s="7" t="str">
        <f t="shared" si="3"/>
        <v>FAIL</v>
      </c>
      <c r="L387" s="8"/>
    </row>
    <row r="388" ht="15.75" customHeight="1">
      <c r="A388" s="4" t="s">
        <v>459</v>
      </c>
      <c r="B388" s="5" t="s">
        <v>13</v>
      </c>
      <c r="C388" s="5" t="s">
        <v>14</v>
      </c>
      <c r="D388" s="5" t="s">
        <v>59</v>
      </c>
      <c r="E388" s="5" t="s">
        <v>16</v>
      </c>
      <c r="F388" s="5">
        <v>1.0</v>
      </c>
      <c r="G388" s="5" t="s">
        <v>13</v>
      </c>
      <c r="H388" s="5" t="s">
        <v>21</v>
      </c>
      <c r="I388" s="5" t="s">
        <v>17</v>
      </c>
      <c r="J388" s="6" t="str">
        <f t="shared" si="4"/>
        <v>PASS</v>
      </c>
      <c r="K388" s="7" t="str">
        <f t="shared" si="3"/>
        <v>FAIL</v>
      </c>
      <c r="L388" s="8"/>
    </row>
    <row r="389" ht="15.75" customHeight="1">
      <c r="A389" s="4" t="s">
        <v>460</v>
      </c>
      <c r="B389" s="5" t="s">
        <v>19</v>
      </c>
      <c r="C389" s="6"/>
      <c r="D389" s="6"/>
      <c r="E389" s="6"/>
      <c r="F389" s="6"/>
      <c r="G389" s="6"/>
      <c r="H389" s="6"/>
      <c r="I389" s="6"/>
      <c r="J389" s="6" t="str">
        <f t="shared" si="4"/>
        <v>FAIL</v>
      </c>
      <c r="K389" s="7" t="str">
        <f t="shared" si="3"/>
        <v>FAIL</v>
      </c>
      <c r="L389" s="8"/>
    </row>
    <row r="390" ht="15.75" customHeight="1">
      <c r="A390" s="4" t="s">
        <v>461</v>
      </c>
      <c r="B390" s="5" t="s">
        <v>19</v>
      </c>
      <c r="C390" s="6"/>
      <c r="D390" s="6"/>
      <c r="E390" s="6"/>
      <c r="F390" s="6"/>
      <c r="G390" s="6"/>
      <c r="H390" s="6"/>
      <c r="I390" s="6"/>
      <c r="J390" s="6" t="str">
        <f t="shared" si="4"/>
        <v>FAIL</v>
      </c>
      <c r="K390" s="7" t="str">
        <f t="shared" si="3"/>
        <v>FAIL</v>
      </c>
      <c r="L390" s="8"/>
    </row>
    <row r="391" ht="15.75" customHeight="1">
      <c r="A391" s="4" t="s">
        <v>462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4"/>
        <v/>
      </c>
      <c r="K391" s="7" t="str">
        <f t="shared" si="3"/>
        <v>FAIL</v>
      </c>
      <c r="L391" s="8"/>
    </row>
    <row r="392" ht="15.75" customHeight="1">
      <c r="A392" s="4" t="s">
        <v>463</v>
      </c>
      <c r="B392" s="5" t="s">
        <v>19</v>
      </c>
      <c r="C392" s="6"/>
      <c r="D392" s="6"/>
      <c r="E392" s="6"/>
      <c r="F392" s="6"/>
      <c r="G392" s="6"/>
      <c r="H392" s="6"/>
      <c r="I392" s="6"/>
      <c r="J392" s="6" t="str">
        <f t="shared" si="4"/>
        <v>FAIL</v>
      </c>
      <c r="K392" s="7" t="str">
        <f t="shared" si="3"/>
        <v>FAIL</v>
      </c>
      <c r="L392" s="8"/>
    </row>
    <row r="393" ht="15.75" customHeight="1">
      <c r="A393" s="4" t="s">
        <v>464</v>
      </c>
      <c r="B393" s="5" t="s">
        <v>19</v>
      </c>
      <c r="C393" s="6"/>
      <c r="D393" s="6"/>
      <c r="E393" s="6"/>
      <c r="F393" s="6"/>
      <c r="G393" s="6"/>
      <c r="H393" s="6"/>
      <c r="I393" s="6"/>
      <c r="J393" s="6" t="str">
        <f t="shared" si="4"/>
        <v>FAIL</v>
      </c>
      <c r="K393" s="7" t="str">
        <f t="shared" si="3"/>
        <v>FAIL</v>
      </c>
      <c r="L393" s="8"/>
    </row>
    <row r="394" ht="15.75" customHeight="1">
      <c r="A394" s="4" t="s">
        <v>465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4"/>
        <v/>
      </c>
      <c r="K394" s="7" t="str">
        <f t="shared" si="3"/>
        <v>FAIL</v>
      </c>
      <c r="L394" s="8"/>
    </row>
    <row r="395" ht="15.75" customHeight="1">
      <c r="A395" s="4" t="s">
        <v>466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4"/>
        <v/>
      </c>
      <c r="K395" s="7" t="str">
        <f t="shared" si="3"/>
        <v>FAIL</v>
      </c>
      <c r="L395" s="8"/>
    </row>
    <row r="396" ht="15.75" customHeight="1">
      <c r="A396" s="4" t="s">
        <v>467</v>
      </c>
      <c r="B396" s="5" t="s">
        <v>13</v>
      </c>
      <c r="C396" s="5" t="s">
        <v>14</v>
      </c>
      <c r="D396" s="5" t="s">
        <v>14</v>
      </c>
      <c r="E396" s="5" t="s">
        <v>15</v>
      </c>
      <c r="F396" s="5">
        <v>1.0</v>
      </c>
      <c r="G396" s="5" t="s">
        <v>13</v>
      </c>
      <c r="H396" s="5" t="s">
        <v>16</v>
      </c>
      <c r="I396" s="5" t="s">
        <v>17</v>
      </c>
      <c r="J396" s="6" t="str">
        <f t="shared" si="4"/>
        <v>PASS</v>
      </c>
      <c r="K396" s="7" t="str">
        <f t="shared" si="3"/>
        <v>FAIL</v>
      </c>
      <c r="L396" s="8"/>
    </row>
    <row r="397" ht="15.75" customHeight="1">
      <c r="A397" s="4" t="s">
        <v>468</v>
      </c>
      <c r="B397" s="5" t="s">
        <v>19</v>
      </c>
      <c r="C397" s="6"/>
      <c r="D397" s="6"/>
      <c r="E397" s="6"/>
      <c r="F397" s="6"/>
      <c r="G397" s="6"/>
      <c r="H397" s="6"/>
      <c r="I397" s="6"/>
      <c r="J397" s="6" t="str">
        <f t="shared" si="4"/>
        <v>FAIL</v>
      </c>
      <c r="K397" s="7" t="str">
        <f t="shared" si="3"/>
        <v>FAIL</v>
      </c>
      <c r="L397" s="8"/>
    </row>
    <row r="398" ht="15.75" customHeight="1">
      <c r="A398" s="4" t="s">
        <v>469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4"/>
        <v/>
      </c>
      <c r="K398" s="7" t="str">
        <f t="shared" si="3"/>
        <v>FAIL</v>
      </c>
      <c r="L398" s="8"/>
    </row>
    <row r="399" ht="15.75" customHeight="1">
      <c r="A399" s="4" t="s">
        <v>470</v>
      </c>
      <c r="B399" s="5" t="s">
        <v>19</v>
      </c>
      <c r="C399" s="5" t="s">
        <v>15</v>
      </c>
      <c r="D399" s="5" t="s">
        <v>59</v>
      </c>
      <c r="E399" s="5" t="s">
        <v>15</v>
      </c>
      <c r="F399" s="5">
        <v>2.0</v>
      </c>
      <c r="G399" s="5" t="s">
        <v>13</v>
      </c>
      <c r="H399" s="5" t="s">
        <v>21</v>
      </c>
      <c r="I399" s="5" t="s">
        <v>17</v>
      </c>
      <c r="J399" s="6" t="str">
        <f t="shared" si="4"/>
        <v>FAIL</v>
      </c>
      <c r="K399" s="7" t="str">
        <f t="shared" si="3"/>
        <v>FAIL</v>
      </c>
      <c r="L399" s="8"/>
    </row>
    <row r="400" ht="15.75" customHeight="1">
      <c r="A400" s="4" t="s">
        <v>471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4"/>
        <v/>
      </c>
      <c r="K400" s="7" t="str">
        <f t="shared" si="3"/>
        <v>FAIL</v>
      </c>
      <c r="L400" s="8"/>
    </row>
    <row r="401" ht="15.75" customHeight="1">
      <c r="A401" s="11" t="s">
        <v>472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4"/>
        <v/>
      </c>
      <c r="K401" s="7" t="str">
        <f t="shared" si="3"/>
        <v>FAIL</v>
      </c>
      <c r="L401" s="8"/>
    </row>
    <row r="402" ht="15.75" customHeight="1">
      <c r="A402" s="4" t="s">
        <v>473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4"/>
        <v/>
      </c>
      <c r="K402" s="7" t="str">
        <f t="shared" si="3"/>
        <v>FAIL</v>
      </c>
      <c r="L402" s="8"/>
    </row>
    <row r="403" ht="15.75" customHeight="1">
      <c r="A403" s="4" t="s">
        <v>474</v>
      </c>
      <c r="B403" s="5" t="s">
        <v>19</v>
      </c>
      <c r="C403" s="6"/>
      <c r="D403" s="6"/>
      <c r="E403" s="6"/>
      <c r="F403" s="6"/>
      <c r="G403" s="6"/>
      <c r="H403" s="6"/>
      <c r="I403" s="6"/>
      <c r="J403" s="6" t="str">
        <f t="shared" si="4"/>
        <v>FAIL</v>
      </c>
      <c r="K403" s="7" t="str">
        <f t="shared" si="3"/>
        <v>FAIL</v>
      </c>
      <c r="L403" s="8"/>
    </row>
    <row r="404" ht="15.75" customHeight="1">
      <c r="A404" s="4" t="s">
        <v>475</v>
      </c>
      <c r="B404" s="5" t="s">
        <v>19</v>
      </c>
      <c r="C404" s="6"/>
      <c r="D404" s="6"/>
      <c r="E404" s="6"/>
      <c r="F404" s="6"/>
      <c r="G404" s="6"/>
      <c r="H404" s="6"/>
      <c r="I404" s="6"/>
      <c r="J404" s="6" t="str">
        <f t="shared" si="4"/>
        <v>FAIL</v>
      </c>
      <c r="K404" s="7" t="str">
        <f t="shared" si="3"/>
        <v>FAIL</v>
      </c>
      <c r="L404" s="8"/>
    </row>
    <row r="405" ht="15.75" customHeight="1">
      <c r="A405" s="4" t="s">
        <v>476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4"/>
        <v/>
      </c>
      <c r="K405" s="7" t="str">
        <f t="shared" si="3"/>
        <v>FAIL</v>
      </c>
      <c r="L405" s="8"/>
    </row>
    <row r="406" ht="15.75" customHeight="1">
      <c r="A406" s="4" t="s">
        <v>477</v>
      </c>
      <c r="B406" s="5" t="s">
        <v>19</v>
      </c>
      <c r="C406" s="6"/>
      <c r="D406" s="6"/>
      <c r="E406" s="6"/>
      <c r="F406" s="6"/>
      <c r="G406" s="6"/>
      <c r="H406" s="6"/>
      <c r="I406" s="6"/>
      <c r="J406" s="6" t="str">
        <f t="shared" si="4"/>
        <v>FAIL</v>
      </c>
      <c r="K406" s="7" t="str">
        <f t="shared" si="3"/>
        <v>FAIL</v>
      </c>
      <c r="L406" s="8"/>
    </row>
    <row r="407" ht="15.75" customHeight="1">
      <c r="A407" s="4" t="s">
        <v>478</v>
      </c>
      <c r="B407" s="5" t="s">
        <v>19</v>
      </c>
      <c r="C407" s="6"/>
      <c r="D407" s="6"/>
      <c r="E407" s="6"/>
      <c r="F407" s="6"/>
      <c r="G407" s="6"/>
      <c r="H407" s="6"/>
      <c r="I407" s="6"/>
      <c r="J407" s="6" t="str">
        <f t="shared" si="4"/>
        <v>FAIL</v>
      </c>
      <c r="K407" s="7" t="str">
        <f t="shared" si="3"/>
        <v>FAIL</v>
      </c>
      <c r="L407" s="8"/>
    </row>
    <row r="408" ht="15.75" customHeight="1">
      <c r="A408" s="4" t="s">
        <v>479</v>
      </c>
      <c r="B408" s="5" t="s">
        <v>19</v>
      </c>
      <c r="C408" s="6"/>
      <c r="D408" s="6"/>
      <c r="E408" s="6"/>
      <c r="F408" s="6"/>
      <c r="G408" s="6"/>
      <c r="H408" s="6"/>
      <c r="I408" s="6"/>
      <c r="J408" s="6" t="str">
        <f t="shared" si="4"/>
        <v>FAIL</v>
      </c>
      <c r="K408" s="7" t="str">
        <f t="shared" si="3"/>
        <v>FAIL</v>
      </c>
      <c r="L408" s="8"/>
    </row>
    <row r="409" ht="15.75" customHeight="1">
      <c r="A409" s="4" t="s">
        <v>480</v>
      </c>
      <c r="B409" s="5" t="s">
        <v>19</v>
      </c>
      <c r="C409" s="6"/>
      <c r="D409" s="6"/>
      <c r="E409" s="6"/>
      <c r="F409" s="6"/>
      <c r="G409" s="6"/>
      <c r="H409" s="6"/>
      <c r="I409" s="6"/>
      <c r="J409" s="6" t="str">
        <f t="shared" si="4"/>
        <v>FAIL</v>
      </c>
      <c r="K409" s="7" t="str">
        <f t="shared" si="3"/>
        <v>FAIL</v>
      </c>
      <c r="L409" s="8"/>
    </row>
    <row r="410" ht="15.75" customHeight="1">
      <c r="A410" s="4" t="s">
        <v>481</v>
      </c>
      <c r="B410" s="5" t="s">
        <v>19</v>
      </c>
      <c r="C410" s="6"/>
      <c r="D410" s="6"/>
      <c r="E410" s="6"/>
      <c r="F410" s="6"/>
      <c r="G410" s="6"/>
      <c r="H410" s="6"/>
      <c r="I410" s="6"/>
      <c r="J410" s="6" t="str">
        <f t="shared" si="4"/>
        <v>FAIL</v>
      </c>
      <c r="K410" s="7" t="str">
        <f t="shared" si="3"/>
        <v>FAIL</v>
      </c>
      <c r="L410" s="8"/>
    </row>
    <row r="411" ht="15.75" customHeight="1">
      <c r="A411" s="4" t="s">
        <v>482</v>
      </c>
      <c r="B411" s="5" t="s">
        <v>19</v>
      </c>
      <c r="C411" s="6"/>
      <c r="D411" s="6"/>
      <c r="E411" s="6"/>
      <c r="F411" s="6"/>
      <c r="G411" s="6"/>
      <c r="H411" s="6"/>
      <c r="I411" s="6"/>
      <c r="J411" s="6" t="str">
        <f t="shared" si="4"/>
        <v>FAIL</v>
      </c>
      <c r="K411" s="7" t="str">
        <f t="shared" si="3"/>
        <v>FAIL</v>
      </c>
      <c r="L411" s="8"/>
    </row>
    <row r="412" ht="15.75" customHeight="1">
      <c r="A412" s="4" t="s">
        <v>483</v>
      </c>
      <c r="B412" s="5" t="s">
        <v>19</v>
      </c>
      <c r="C412" s="6"/>
      <c r="D412" s="6"/>
      <c r="E412" s="6"/>
      <c r="F412" s="6"/>
      <c r="G412" s="6"/>
      <c r="H412" s="6"/>
      <c r="I412" s="6"/>
      <c r="J412" s="6" t="str">
        <f t="shared" si="4"/>
        <v>FAIL</v>
      </c>
      <c r="K412" s="7" t="str">
        <f t="shared" si="3"/>
        <v>FAIL</v>
      </c>
      <c r="L412" s="8"/>
    </row>
    <row r="413" ht="15.75" customHeight="1">
      <c r="A413" s="4" t="s">
        <v>484</v>
      </c>
      <c r="B413" s="5" t="s">
        <v>19</v>
      </c>
      <c r="C413" s="6"/>
      <c r="D413" s="6"/>
      <c r="E413" s="6"/>
      <c r="F413" s="6"/>
      <c r="G413" s="6"/>
      <c r="H413" s="6"/>
      <c r="I413" s="6"/>
      <c r="J413" s="6" t="str">
        <f t="shared" si="4"/>
        <v>FAIL</v>
      </c>
      <c r="K413" s="7" t="str">
        <f t="shared" si="3"/>
        <v>FAIL</v>
      </c>
      <c r="L413" s="8"/>
    </row>
    <row r="414" ht="15.75" customHeight="1">
      <c r="A414" s="4" t="s">
        <v>485</v>
      </c>
      <c r="B414" s="5" t="s">
        <v>19</v>
      </c>
      <c r="C414" s="6"/>
      <c r="D414" s="6"/>
      <c r="E414" s="6"/>
      <c r="F414" s="6"/>
      <c r="G414" s="6"/>
      <c r="H414" s="6"/>
      <c r="I414" s="6"/>
      <c r="J414" s="6" t="str">
        <f t="shared" si="4"/>
        <v>FAIL</v>
      </c>
      <c r="K414" s="7" t="str">
        <f t="shared" si="3"/>
        <v>FAIL</v>
      </c>
      <c r="L414" s="8"/>
    </row>
    <row r="415" ht="15.75" customHeight="1">
      <c r="A415" s="4" t="s">
        <v>486</v>
      </c>
      <c r="B415" s="5" t="s">
        <v>19</v>
      </c>
      <c r="C415" s="6"/>
      <c r="D415" s="6"/>
      <c r="E415" s="6"/>
      <c r="F415" s="6"/>
      <c r="G415" s="6"/>
      <c r="H415" s="6"/>
      <c r="I415" s="6"/>
      <c r="J415" s="6" t="str">
        <f t="shared" si="4"/>
        <v>FAIL</v>
      </c>
      <c r="K415" s="7" t="str">
        <f t="shared" si="3"/>
        <v>FAIL</v>
      </c>
      <c r="L415" s="8"/>
    </row>
    <row r="416" ht="15.75" customHeight="1">
      <c r="A416" s="4" t="s">
        <v>487</v>
      </c>
      <c r="B416" s="5" t="s">
        <v>19</v>
      </c>
      <c r="C416" s="6"/>
      <c r="D416" s="6"/>
      <c r="E416" s="6"/>
      <c r="F416" s="6"/>
      <c r="G416" s="6"/>
      <c r="H416" s="6"/>
      <c r="I416" s="6"/>
      <c r="J416" s="6" t="str">
        <f t="shared" si="4"/>
        <v>FAIL</v>
      </c>
      <c r="K416" s="7" t="str">
        <f t="shared" si="3"/>
        <v>FAIL</v>
      </c>
      <c r="L416" s="8"/>
    </row>
    <row r="417" ht="15.75" customHeight="1">
      <c r="A417" s="4" t="s">
        <v>488</v>
      </c>
      <c r="B417" s="5" t="s">
        <v>19</v>
      </c>
      <c r="C417" s="6"/>
      <c r="D417" s="6"/>
      <c r="E417" s="6"/>
      <c r="F417" s="6"/>
      <c r="G417" s="6"/>
      <c r="H417" s="6"/>
      <c r="I417" s="6"/>
      <c r="J417" s="6" t="str">
        <f t="shared" si="4"/>
        <v>FAIL</v>
      </c>
      <c r="K417" s="7" t="str">
        <f t="shared" si="3"/>
        <v>FAIL</v>
      </c>
      <c r="L417" s="8"/>
    </row>
    <row r="418" ht="15.75" customHeight="1">
      <c r="A418" s="4" t="s">
        <v>489</v>
      </c>
      <c r="B418" s="5" t="s">
        <v>19</v>
      </c>
      <c r="C418" s="6"/>
      <c r="D418" s="6"/>
      <c r="E418" s="6"/>
      <c r="F418" s="6"/>
      <c r="G418" s="6"/>
      <c r="H418" s="6"/>
      <c r="I418" s="6"/>
      <c r="J418" s="6" t="str">
        <f t="shared" si="4"/>
        <v>FAIL</v>
      </c>
      <c r="K418" s="7" t="str">
        <f t="shared" si="3"/>
        <v>FAIL</v>
      </c>
      <c r="L418" s="8"/>
    </row>
    <row r="419" ht="15.75" customHeight="1">
      <c r="A419" s="4" t="s">
        <v>490</v>
      </c>
      <c r="B419" s="5" t="s">
        <v>19</v>
      </c>
      <c r="C419" s="6"/>
      <c r="D419" s="6"/>
      <c r="E419" s="6"/>
      <c r="F419" s="6"/>
      <c r="G419" s="6"/>
      <c r="H419" s="6"/>
      <c r="I419" s="6"/>
      <c r="J419" s="6" t="str">
        <f t="shared" si="4"/>
        <v>FAIL</v>
      </c>
      <c r="K419" s="7" t="str">
        <f t="shared" si="3"/>
        <v>FAIL</v>
      </c>
      <c r="L419" s="8"/>
    </row>
    <row r="420" ht="15.75" customHeight="1">
      <c r="A420" s="4" t="s">
        <v>491</v>
      </c>
      <c r="B420" s="5" t="s">
        <v>19</v>
      </c>
      <c r="C420" s="6"/>
      <c r="D420" s="6"/>
      <c r="E420" s="6"/>
      <c r="F420" s="6"/>
      <c r="G420" s="6"/>
      <c r="H420" s="6"/>
      <c r="I420" s="6"/>
      <c r="J420" s="6" t="str">
        <f t="shared" si="4"/>
        <v>FAIL</v>
      </c>
      <c r="K420" s="7" t="str">
        <f t="shared" si="3"/>
        <v>FAIL</v>
      </c>
      <c r="L420" s="8"/>
    </row>
    <row r="421" ht="15.75" customHeight="1">
      <c r="A421" s="4" t="s">
        <v>492</v>
      </c>
      <c r="B421" s="5" t="s">
        <v>19</v>
      </c>
      <c r="C421" s="6"/>
      <c r="D421" s="6"/>
      <c r="E421" s="6"/>
      <c r="F421" s="6"/>
      <c r="G421" s="6"/>
      <c r="H421" s="6"/>
      <c r="I421" s="6"/>
      <c r="J421" s="6" t="str">
        <f t="shared" si="4"/>
        <v>FAIL</v>
      </c>
      <c r="K421" s="7" t="str">
        <f t="shared" si="3"/>
        <v>FAIL</v>
      </c>
      <c r="L421" s="8"/>
    </row>
    <row r="422" ht="15.75" customHeight="1">
      <c r="A422" s="4" t="s">
        <v>493</v>
      </c>
      <c r="B422" s="5" t="s">
        <v>19</v>
      </c>
      <c r="C422" s="6"/>
      <c r="D422" s="6"/>
      <c r="E422" s="6"/>
      <c r="F422" s="6"/>
      <c r="G422" s="6"/>
      <c r="H422" s="6"/>
      <c r="I422" s="6"/>
      <c r="J422" s="6" t="str">
        <f t="shared" si="4"/>
        <v>FAIL</v>
      </c>
      <c r="K422" s="7" t="str">
        <f t="shared" si="3"/>
        <v>FAIL</v>
      </c>
      <c r="L422" s="8"/>
    </row>
    <row r="423" ht="15.75" customHeight="1">
      <c r="A423" s="4" t="s">
        <v>494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4"/>
        <v/>
      </c>
      <c r="K423" s="7" t="str">
        <f t="shared" si="3"/>
        <v>FAIL</v>
      </c>
      <c r="L423" s="8"/>
    </row>
    <row r="424" ht="15.75" customHeight="1">
      <c r="A424" s="4" t="s">
        <v>495</v>
      </c>
      <c r="B424" s="5" t="s">
        <v>19</v>
      </c>
      <c r="C424" s="6"/>
      <c r="D424" s="6"/>
      <c r="E424" s="6"/>
      <c r="F424" s="6"/>
      <c r="G424" s="6"/>
      <c r="H424" s="6"/>
      <c r="I424" s="6"/>
      <c r="J424" s="6" t="str">
        <f t="shared" si="4"/>
        <v>FAIL</v>
      </c>
      <c r="K424" s="7" t="str">
        <f t="shared" si="3"/>
        <v>FAIL</v>
      </c>
      <c r="L424" s="8"/>
    </row>
    <row r="425" ht="15.75" customHeight="1">
      <c r="A425" s="4" t="s">
        <v>496</v>
      </c>
      <c r="B425" s="5" t="s">
        <v>19</v>
      </c>
      <c r="C425" s="6"/>
      <c r="D425" s="6"/>
      <c r="E425" s="6"/>
      <c r="F425" s="6"/>
      <c r="G425" s="6"/>
      <c r="H425" s="6"/>
      <c r="I425" s="6"/>
      <c r="J425" s="6" t="str">
        <f t="shared" si="4"/>
        <v>FAIL</v>
      </c>
      <c r="K425" s="7" t="str">
        <f t="shared" si="3"/>
        <v>FAIL</v>
      </c>
      <c r="L425" s="8"/>
    </row>
    <row r="426" ht="15.75" customHeight="1">
      <c r="A426" s="4" t="s">
        <v>497</v>
      </c>
      <c r="B426" s="5" t="s">
        <v>19</v>
      </c>
      <c r="C426" s="6"/>
      <c r="D426" s="6"/>
      <c r="E426" s="6"/>
      <c r="F426" s="6"/>
      <c r="G426" s="6"/>
      <c r="H426" s="6"/>
      <c r="I426" s="6"/>
      <c r="J426" s="6" t="str">
        <f t="shared" si="4"/>
        <v>FAIL</v>
      </c>
      <c r="K426" s="7" t="str">
        <f t="shared" si="3"/>
        <v>FAIL</v>
      </c>
      <c r="L426" s="8"/>
    </row>
    <row r="427" ht="15.75" customHeight="1">
      <c r="A427" s="4" t="s">
        <v>498</v>
      </c>
      <c r="B427" s="5" t="s">
        <v>19</v>
      </c>
      <c r="C427" s="6"/>
      <c r="D427" s="6"/>
      <c r="E427" s="6"/>
      <c r="F427" s="6"/>
      <c r="G427" s="6"/>
      <c r="H427" s="6"/>
      <c r="I427" s="6"/>
      <c r="J427" s="6" t="str">
        <f t="shared" si="4"/>
        <v>FAIL</v>
      </c>
      <c r="K427" s="7" t="str">
        <f t="shared" si="3"/>
        <v>FAIL</v>
      </c>
      <c r="L427" s="8"/>
    </row>
    <row r="428" ht="15.75" customHeight="1">
      <c r="A428" s="4" t="s">
        <v>499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4"/>
        <v/>
      </c>
      <c r="K428" s="7" t="str">
        <f t="shared" si="3"/>
        <v>FAIL</v>
      </c>
      <c r="L428" s="8"/>
    </row>
    <row r="429" ht="15.75" customHeight="1">
      <c r="A429" s="4" t="s">
        <v>500</v>
      </c>
      <c r="B429" s="5" t="s">
        <v>13</v>
      </c>
      <c r="C429" s="5" t="s">
        <v>15</v>
      </c>
      <c r="D429" s="5" t="s">
        <v>59</v>
      </c>
      <c r="E429" s="5" t="s">
        <v>16</v>
      </c>
      <c r="F429" s="5">
        <v>2.0</v>
      </c>
      <c r="G429" s="5" t="s">
        <v>13</v>
      </c>
      <c r="H429" s="5" t="s">
        <v>16</v>
      </c>
      <c r="I429" s="5" t="s">
        <v>17</v>
      </c>
      <c r="J429" s="6" t="str">
        <f t="shared" si="4"/>
        <v>FAIL</v>
      </c>
      <c r="K429" s="7" t="str">
        <f t="shared" si="3"/>
        <v>PASS</v>
      </c>
      <c r="L429" s="8"/>
    </row>
    <row r="430" ht="15.75" customHeight="1">
      <c r="A430" s="4" t="s">
        <v>501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4"/>
        <v/>
      </c>
      <c r="K430" s="7" t="str">
        <f t="shared" si="3"/>
        <v>FAIL</v>
      </c>
      <c r="L430" s="8"/>
    </row>
    <row r="431" ht="15.75" customHeight="1">
      <c r="A431" s="4" t="s">
        <v>502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4"/>
        <v/>
      </c>
      <c r="K431" s="7" t="str">
        <f t="shared" si="3"/>
        <v>FAIL</v>
      </c>
      <c r="L431" s="8"/>
    </row>
    <row r="432" ht="15.75" customHeight="1">
      <c r="A432" s="4" t="s">
        <v>503</v>
      </c>
      <c r="B432" s="5" t="s">
        <v>19</v>
      </c>
      <c r="C432" s="6"/>
      <c r="D432" s="6"/>
      <c r="E432" s="6"/>
      <c r="F432" s="6"/>
      <c r="G432" s="6"/>
      <c r="H432" s="6"/>
      <c r="I432" s="6"/>
      <c r="J432" s="6" t="str">
        <f t="shared" si="4"/>
        <v>FAIL</v>
      </c>
      <c r="K432" s="7" t="str">
        <f t="shared" si="3"/>
        <v>FAIL</v>
      </c>
      <c r="L432" s="8"/>
    </row>
    <row r="433" ht="15.75" customHeight="1">
      <c r="A433" s="4" t="s">
        <v>504</v>
      </c>
      <c r="B433" s="5" t="s">
        <v>19</v>
      </c>
      <c r="C433" s="6"/>
      <c r="D433" s="6"/>
      <c r="E433" s="6"/>
      <c r="F433" s="6"/>
      <c r="G433" s="6"/>
      <c r="H433" s="6"/>
      <c r="I433" s="6"/>
      <c r="J433" s="6" t="str">
        <f t="shared" si="4"/>
        <v>FAIL</v>
      </c>
      <c r="K433" s="7" t="str">
        <f t="shared" si="3"/>
        <v>FAIL</v>
      </c>
      <c r="L433" s="8"/>
    </row>
    <row r="434" ht="15.75" customHeight="1">
      <c r="A434" s="4" t="s">
        <v>505</v>
      </c>
      <c r="B434" s="5" t="s">
        <v>19</v>
      </c>
      <c r="C434" s="6"/>
      <c r="D434" s="6"/>
      <c r="E434" s="6"/>
      <c r="F434" s="6"/>
      <c r="G434" s="6"/>
      <c r="H434" s="6"/>
      <c r="I434" s="6"/>
      <c r="J434" s="6" t="str">
        <f t="shared" si="4"/>
        <v>FAIL</v>
      </c>
      <c r="K434" s="7" t="str">
        <f t="shared" si="3"/>
        <v>FAIL</v>
      </c>
      <c r="L434" s="8"/>
    </row>
    <row r="435" ht="15.75" customHeight="1">
      <c r="A435" s="4" t="s">
        <v>506</v>
      </c>
      <c r="B435" s="5" t="s">
        <v>19</v>
      </c>
      <c r="C435" s="6"/>
      <c r="D435" s="6"/>
      <c r="E435" s="6"/>
      <c r="F435" s="6"/>
      <c r="G435" s="6"/>
      <c r="H435" s="6"/>
      <c r="I435" s="6"/>
      <c r="J435" s="6" t="str">
        <f t="shared" si="4"/>
        <v>FAIL</v>
      </c>
      <c r="K435" s="7" t="str">
        <f t="shared" si="3"/>
        <v>FAIL</v>
      </c>
      <c r="L435" s="8"/>
    </row>
    <row r="436" ht="15.75" customHeight="1">
      <c r="A436" s="4" t="s">
        <v>507</v>
      </c>
      <c r="B436" s="5" t="s">
        <v>19</v>
      </c>
      <c r="C436" s="6"/>
      <c r="D436" s="6"/>
      <c r="E436" s="6"/>
      <c r="F436" s="6"/>
      <c r="G436" s="6"/>
      <c r="H436" s="6"/>
      <c r="I436" s="6"/>
      <c r="J436" s="6" t="str">
        <f t="shared" si="4"/>
        <v>FAIL</v>
      </c>
      <c r="K436" s="7" t="str">
        <f t="shared" si="3"/>
        <v>FAIL</v>
      </c>
      <c r="L436" s="8"/>
    </row>
    <row r="437" ht="15.75" customHeight="1">
      <c r="A437" s="4" t="s">
        <v>508</v>
      </c>
      <c r="B437" s="5" t="s">
        <v>19</v>
      </c>
      <c r="C437" s="6"/>
      <c r="D437" s="6"/>
      <c r="E437" s="6"/>
      <c r="F437" s="6"/>
      <c r="G437" s="6"/>
      <c r="H437" s="6"/>
      <c r="I437" s="6"/>
      <c r="J437" s="6" t="str">
        <f t="shared" si="4"/>
        <v>FAIL</v>
      </c>
      <c r="K437" s="7" t="str">
        <f t="shared" si="3"/>
        <v>FAIL</v>
      </c>
      <c r="L437" s="8"/>
    </row>
    <row r="438" ht="15.75" customHeight="1">
      <c r="A438" s="4" t="s">
        <v>509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 t="str">
        <f t="shared" si="4"/>
        <v>FAIL</v>
      </c>
      <c r="K438" s="7" t="str">
        <f t="shared" si="3"/>
        <v>FAIL</v>
      </c>
      <c r="L438" s="8"/>
    </row>
    <row r="439" ht="15.75" customHeight="1">
      <c r="A439" s="4" t="s">
        <v>510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4"/>
        <v/>
      </c>
      <c r="K439" s="7" t="str">
        <f t="shared" si="3"/>
        <v>FAIL</v>
      </c>
      <c r="L439" s="8"/>
    </row>
    <row r="440" ht="15.75" customHeight="1">
      <c r="A440" s="4" t="s">
        <v>511</v>
      </c>
      <c r="B440" s="5" t="s">
        <v>19</v>
      </c>
      <c r="C440" s="6"/>
      <c r="D440" s="6"/>
      <c r="E440" s="6"/>
      <c r="F440" s="6"/>
      <c r="G440" s="6"/>
      <c r="H440" s="6"/>
      <c r="I440" s="6"/>
      <c r="J440" s="6" t="str">
        <f t="shared" si="4"/>
        <v>FAIL</v>
      </c>
      <c r="K440" s="7" t="str">
        <f t="shared" si="3"/>
        <v>FAIL</v>
      </c>
      <c r="L440" s="8"/>
    </row>
    <row r="441" ht="15.75" customHeight="1">
      <c r="A441" s="4" t="s">
        <v>512</v>
      </c>
      <c r="B441" s="5" t="s">
        <v>19</v>
      </c>
      <c r="C441" s="6"/>
      <c r="D441" s="6"/>
      <c r="E441" s="6"/>
      <c r="F441" s="6"/>
      <c r="G441" s="6"/>
      <c r="H441" s="6"/>
      <c r="I441" s="6"/>
      <c r="J441" s="6" t="str">
        <f t="shared" si="4"/>
        <v>FAIL</v>
      </c>
      <c r="K441" s="7" t="str">
        <f t="shared" si="3"/>
        <v>FAIL</v>
      </c>
      <c r="L441" s="8"/>
    </row>
    <row r="442" ht="15.75" customHeight="1">
      <c r="A442" s="4" t="s">
        <v>513</v>
      </c>
      <c r="B442" s="5" t="s">
        <v>19</v>
      </c>
      <c r="C442" s="6"/>
      <c r="D442" s="6"/>
      <c r="E442" s="6"/>
      <c r="F442" s="6"/>
      <c r="G442" s="6"/>
      <c r="H442" s="6"/>
      <c r="I442" s="6"/>
      <c r="J442" s="6" t="str">
        <f t="shared" si="4"/>
        <v>FAIL</v>
      </c>
      <c r="K442" s="7" t="str">
        <f t="shared" si="3"/>
        <v>FAIL</v>
      </c>
      <c r="L442" s="8"/>
    </row>
    <row r="443" ht="15.75" customHeight="1">
      <c r="A443" s="11" t="s">
        <v>514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4"/>
        <v/>
      </c>
      <c r="K443" s="7" t="str">
        <f t="shared" si="3"/>
        <v>FAIL</v>
      </c>
      <c r="L443" s="8"/>
    </row>
    <row r="444" ht="15.75" customHeight="1">
      <c r="A444" s="4" t="s">
        <v>515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4"/>
        <v/>
      </c>
      <c r="K444" s="7" t="str">
        <f t="shared" si="3"/>
        <v>FAIL</v>
      </c>
      <c r="L444" s="8"/>
    </row>
    <row r="445" ht="15.75" customHeight="1">
      <c r="A445" s="4" t="s">
        <v>516</v>
      </c>
      <c r="B445" s="5" t="s">
        <v>19</v>
      </c>
      <c r="C445" s="6"/>
      <c r="D445" s="6"/>
      <c r="E445" s="6"/>
      <c r="F445" s="6"/>
      <c r="G445" s="6"/>
      <c r="H445" s="6"/>
      <c r="I445" s="6"/>
      <c r="J445" s="6" t="str">
        <f t="shared" si="4"/>
        <v>FAIL</v>
      </c>
      <c r="K445" s="7" t="str">
        <f t="shared" si="3"/>
        <v>FAIL</v>
      </c>
      <c r="L445" s="8"/>
    </row>
    <row r="446" ht="15.75" customHeight="1">
      <c r="A446" s="4" t="s">
        <v>517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4"/>
        <v/>
      </c>
      <c r="K446" s="7" t="str">
        <f t="shared" si="3"/>
        <v>FAIL</v>
      </c>
      <c r="L446" s="8"/>
    </row>
    <row r="447" ht="15.75" customHeight="1">
      <c r="A447" s="4" t="s">
        <v>518</v>
      </c>
      <c r="B447" s="5" t="s">
        <v>19</v>
      </c>
      <c r="C447" s="6"/>
      <c r="D447" s="6"/>
      <c r="E447" s="6"/>
      <c r="F447" s="6"/>
      <c r="G447" s="6"/>
      <c r="H447" s="6"/>
      <c r="I447" s="6"/>
      <c r="J447" s="6" t="str">
        <f t="shared" si="4"/>
        <v>FAIL</v>
      </c>
      <c r="K447" s="7" t="str">
        <f t="shared" si="3"/>
        <v>FAIL</v>
      </c>
      <c r="L447" s="8"/>
    </row>
    <row r="448" ht="15.75" customHeight="1">
      <c r="A448" s="4" t="s">
        <v>519</v>
      </c>
      <c r="B448" s="5" t="s">
        <v>19</v>
      </c>
      <c r="C448" s="6"/>
      <c r="D448" s="6"/>
      <c r="E448" s="6"/>
      <c r="F448" s="6"/>
      <c r="G448" s="6"/>
      <c r="H448" s="6"/>
      <c r="I448" s="6"/>
      <c r="J448" s="6" t="str">
        <f t="shared" si="4"/>
        <v>FAIL</v>
      </c>
      <c r="K448" s="7" t="str">
        <f t="shared" si="3"/>
        <v>FAIL</v>
      </c>
      <c r="L448" s="8"/>
    </row>
    <row r="449" ht="15.75" customHeight="1">
      <c r="A449" s="4" t="s">
        <v>520</v>
      </c>
      <c r="B449" s="5" t="s">
        <v>19</v>
      </c>
      <c r="C449" s="6"/>
      <c r="D449" s="6"/>
      <c r="E449" s="6"/>
      <c r="F449" s="6"/>
      <c r="G449" s="6"/>
      <c r="H449" s="6"/>
      <c r="I449" s="6"/>
      <c r="J449" s="6" t="str">
        <f t="shared" si="4"/>
        <v>FAIL</v>
      </c>
      <c r="K449" s="7" t="str">
        <f t="shared" si="3"/>
        <v>FAIL</v>
      </c>
      <c r="L449" s="8"/>
    </row>
    <row r="450" ht="15.75" customHeight="1">
      <c r="A450" s="4" t="s">
        <v>521</v>
      </c>
      <c r="B450" s="5" t="s">
        <v>19</v>
      </c>
      <c r="C450" s="6"/>
      <c r="D450" s="6"/>
      <c r="E450" s="6"/>
      <c r="F450" s="6"/>
      <c r="G450" s="6"/>
      <c r="H450" s="6"/>
      <c r="I450" s="6"/>
      <c r="J450" s="6" t="str">
        <f t="shared" si="4"/>
        <v>FAIL</v>
      </c>
      <c r="K450" s="7" t="str">
        <f t="shared" si="3"/>
        <v>FAIL</v>
      </c>
      <c r="L450" s="8"/>
    </row>
    <row r="451" ht="15.75" customHeight="1">
      <c r="A451" s="4" t="s">
        <v>522</v>
      </c>
      <c r="B451" s="5" t="s">
        <v>19</v>
      </c>
      <c r="C451" s="6"/>
      <c r="D451" s="6"/>
      <c r="E451" s="6"/>
      <c r="F451" s="6"/>
      <c r="G451" s="6"/>
      <c r="H451" s="6"/>
      <c r="I451" s="6"/>
      <c r="J451" s="6" t="str">
        <f t="shared" si="4"/>
        <v>FAIL</v>
      </c>
      <c r="K451" s="7" t="str">
        <f t="shared" si="3"/>
        <v>FAIL</v>
      </c>
      <c r="L451" s="8"/>
    </row>
    <row r="452" ht="15.75" customHeight="1">
      <c r="A452" s="4" t="s">
        <v>523</v>
      </c>
      <c r="B452" s="5" t="s">
        <v>19</v>
      </c>
      <c r="C452" s="6"/>
      <c r="D452" s="6"/>
      <c r="E452" s="6"/>
      <c r="F452" s="6"/>
      <c r="G452" s="6"/>
      <c r="H452" s="6"/>
      <c r="I452" s="6"/>
      <c r="J452" s="6" t="str">
        <f t="shared" si="4"/>
        <v>FAIL</v>
      </c>
      <c r="K452" s="7" t="str">
        <f t="shared" si="3"/>
        <v>FAIL</v>
      </c>
      <c r="L452" s="8"/>
    </row>
    <row r="453" ht="15.75" customHeight="1">
      <c r="A453" s="4" t="s">
        <v>524</v>
      </c>
      <c r="B453" s="5" t="s">
        <v>19</v>
      </c>
      <c r="C453" s="6"/>
      <c r="D453" s="6"/>
      <c r="E453" s="6"/>
      <c r="F453" s="6"/>
      <c r="G453" s="6"/>
      <c r="H453" s="6"/>
      <c r="I453" s="6"/>
      <c r="J453" s="6" t="str">
        <f t="shared" si="4"/>
        <v>FAIL</v>
      </c>
      <c r="K453" s="7" t="str">
        <f t="shared" si="3"/>
        <v>FAIL</v>
      </c>
      <c r="L453" s="8"/>
    </row>
    <row r="454" ht="15.75" customHeight="1">
      <c r="A454" s="4" t="s">
        <v>525</v>
      </c>
      <c r="B454" s="5" t="s">
        <v>19</v>
      </c>
      <c r="C454" s="6"/>
      <c r="D454" s="6"/>
      <c r="E454" s="6"/>
      <c r="F454" s="6"/>
      <c r="G454" s="6"/>
      <c r="H454" s="6"/>
      <c r="I454" s="6"/>
      <c r="J454" s="6" t="str">
        <f t="shared" si="4"/>
        <v>FAIL</v>
      </c>
      <c r="K454" s="7" t="str">
        <f t="shared" si="3"/>
        <v>FAIL</v>
      </c>
      <c r="L454" s="8"/>
    </row>
    <row r="455" ht="15.75" customHeight="1">
      <c r="A455" s="4" t="s">
        <v>526</v>
      </c>
      <c r="B455" s="5" t="s">
        <v>19</v>
      </c>
      <c r="C455" s="6"/>
      <c r="D455" s="6"/>
      <c r="E455" s="6"/>
      <c r="F455" s="6"/>
      <c r="G455" s="6"/>
      <c r="H455" s="6"/>
      <c r="I455" s="6"/>
      <c r="J455" s="6" t="str">
        <f t="shared" si="4"/>
        <v>FAIL</v>
      </c>
      <c r="K455" s="7" t="str">
        <f t="shared" si="3"/>
        <v>FAIL</v>
      </c>
      <c r="L455" s="8"/>
    </row>
    <row r="456" ht="15.75" customHeight="1">
      <c r="A456" s="4" t="s">
        <v>527</v>
      </c>
      <c r="B456" s="5" t="s">
        <v>19</v>
      </c>
      <c r="C456" s="6"/>
      <c r="D456" s="6"/>
      <c r="E456" s="6"/>
      <c r="F456" s="6"/>
      <c r="G456" s="6"/>
      <c r="H456" s="6"/>
      <c r="I456" s="6"/>
      <c r="J456" s="6" t="str">
        <f t="shared" si="4"/>
        <v>FAIL</v>
      </c>
      <c r="K456" s="7" t="str">
        <f t="shared" si="3"/>
        <v>FAIL</v>
      </c>
      <c r="L456" s="8"/>
    </row>
    <row r="457" ht="15.75" customHeight="1">
      <c r="A457" s="4" t="s">
        <v>528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4"/>
        <v/>
      </c>
      <c r="K457" s="7" t="str">
        <f t="shared" si="3"/>
        <v>FAIL</v>
      </c>
      <c r="L457" s="8"/>
    </row>
    <row r="458" ht="15.75" customHeight="1">
      <c r="A458" s="4" t="s">
        <v>529</v>
      </c>
      <c r="B458" s="5" t="s">
        <v>19</v>
      </c>
      <c r="C458" s="6"/>
      <c r="D458" s="6"/>
      <c r="E458" s="6"/>
      <c r="F458" s="6"/>
      <c r="G458" s="6"/>
      <c r="H458" s="6"/>
      <c r="I458" s="6"/>
      <c r="J458" s="6" t="str">
        <f t="shared" si="4"/>
        <v>FAIL</v>
      </c>
      <c r="K458" s="7" t="str">
        <f t="shared" si="3"/>
        <v>FAIL</v>
      </c>
      <c r="L458" s="8"/>
    </row>
    <row r="459" ht="15.75" customHeight="1">
      <c r="A459" s="4" t="s">
        <v>530</v>
      </c>
      <c r="B459" s="5" t="s">
        <v>19</v>
      </c>
      <c r="C459" s="6"/>
      <c r="D459" s="6"/>
      <c r="E459" s="6"/>
      <c r="F459" s="6"/>
      <c r="G459" s="6"/>
      <c r="H459" s="6"/>
      <c r="I459" s="6"/>
      <c r="J459" s="6" t="str">
        <f t="shared" si="4"/>
        <v>FAIL</v>
      </c>
      <c r="K459" s="7" t="str">
        <f t="shared" si="3"/>
        <v>FAIL</v>
      </c>
      <c r="L459" s="8"/>
    </row>
    <row r="460" ht="15.75" customHeight="1">
      <c r="A460" s="4" t="s">
        <v>531</v>
      </c>
      <c r="B460" s="5" t="s">
        <v>19</v>
      </c>
      <c r="C460" s="6"/>
      <c r="D460" s="6"/>
      <c r="E460" s="6"/>
      <c r="F460" s="6"/>
      <c r="G460" s="6"/>
      <c r="H460" s="6"/>
      <c r="I460" s="6"/>
      <c r="J460" s="6" t="str">
        <f t="shared" si="4"/>
        <v>FAIL</v>
      </c>
      <c r="K460" s="7" t="str">
        <f t="shared" si="3"/>
        <v>FAIL</v>
      </c>
      <c r="L460" s="8"/>
    </row>
    <row r="461" ht="15.75" customHeight="1">
      <c r="A461" s="4" t="s">
        <v>532</v>
      </c>
      <c r="B461" s="5" t="s">
        <v>19</v>
      </c>
      <c r="C461" s="6"/>
      <c r="D461" s="6"/>
      <c r="E461" s="6"/>
      <c r="F461" s="6"/>
      <c r="G461" s="6"/>
      <c r="H461" s="6"/>
      <c r="I461" s="6"/>
      <c r="J461" s="6" t="str">
        <f t="shared" si="4"/>
        <v>FAIL</v>
      </c>
      <c r="K461" s="7" t="str">
        <f t="shared" si="3"/>
        <v>FAIL</v>
      </c>
      <c r="L461" s="8"/>
    </row>
    <row r="462" ht="15.75" customHeight="1">
      <c r="A462" s="4" t="s">
        <v>533</v>
      </c>
      <c r="B462" s="5" t="s">
        <v>19</v>
      </c>
      <c r="C462" s="6"/>
      <c r="D462" s="6"/>
      <c r="E462" s="6"/>
      <c r="F462" s="6"/>
      <c r="G462" s="6"/>
      <c r="H462" s="6"/>
      <c r="I462" s="6"/>
      <c r="J462" s="6" t="str">
        <f t="shared" si="4"/>
        <v>FAIL</v>
      </c>
      <c r="K462" s="7" t="str">
        <f t="shared" si="3"/>
        <v>FAIL</v>
      </c>
      <c r="L462" s="8"/>
    </row>
    <row r="463" ht="15.75" customHeight="1">
      <c r="A463" s="4" t="s">
        <v>534</v>
      </c>
      <c r="B463" s="5" t="s">
        <v>19</v>
      </c>
      <c r="C463" s="6"/>
      <c r="D463" s="6"/>
      <c r="E463" s="6"/>
      <c r="F463" s="6"/>
      <c r="G463" s="6"/>
      <c r="H463" s="6"/>
      <c r="I463" s="6"/>
      <c r="J463" s="6" t="str">
        <f t="shared" si="4"/>
        <v>FAIL</v>
      </c>
      <c r="K463" s="7" t="str">
        <f t="shared" si="3"/>
        <v>FAIL</v>
      </c>
      <c r="L463" s="8"/>
    </row>
    <row r="464" ht="15.75" customHeight="1">
      <c r="A464" s="4" t="s">
        <v>535</v>
      </c>
      <c r="B464" s="5" t="s">
        <v>13</v>
      </c>
      <c r="C464" s="5" t="s">
        <v>14</v>
      </c>
      <c r="D464" s="5" t="s">
        <v>59</v>
      </c>
      <c r="E464" s="5" t="s">
        <v>16</v>
      </c>
      <c r="F464" s="5">
        <v>1.0</v>
      </c>
      <c r="G464" s="5" t="s">
        <v>13</v>
      </c>
      <c r="H464" s="5" t="s">
        <v>21</v>
      </c>
      <c r="I464" s="5" t="s">
        <v>22</v>
      </c>
      <c r="J464" s="6" t="str">
        <f t="shared" si="4"/>
        <v>PASS</v>
      </c>
      <c r="K464" s="7" t="str">
        <f t="shared" si="3"/>
        <v>FAIL</v>
      </c>
      <c r="L464" s="8"/>
    </row>
    <row r="465" ht="15.75" customHeight="1">
      <c r="A465" s="4" t="s">
        <v>536</v>
      </c>
      <c r="B465" s="5" t="s">
        <v>19</v>
      </c>
      <c r="C465" s="6"/>
      <c r="D465" s="6"/>
      <c r="E465" s="6"/>
      <c r="F465" s="6"/>
      <c r="G465" s="6"/>
      <c r="H465" s="6"/>
      <c r="I465" s="6"/>
      <c r="J465" s="6" t="str">
        <f t="shared" si="4"/>
        <v>FAIL</v>
      </c>
      <c r="K465" s="7" t="str">
        <f t="shared" si="3"/>
        <v>FAIL</v>
      </c>
      <c r="L465" s="8"/>
    </row>
    <row r="466" ht="15.75" customHeight="1">
      <c r="A466" s="4" t="s">
        <v>537</v>
      </c>
      <c r="B466" s="5" t="s">
        <v>19</v>
      </c>
      <c r="C466" s="6"/>
      <c r="D466" s="6"/>
      <c r="E466" s="6"/>
      <c r="F466" s="6"/>
      <c r="G466" s="6"/>
      <c r="H466" s="6"/>
      <c r="I466" s="6"/>
      <c r="J466" s="6" t="str">
        <f t="shared" si="4"/>
        <v>FAIL</v>
      </c>
      <c r="K466" s="7" t="str">
        <f t="shared" si="3"/>
        <v>FAIL</v>
      </c>
      <c r="L466" s="8"/>
    </row>
    <row r="467" ht="15.75" customHeight="1">
      <c r="A467" s="4" t="s">
        <v>538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4"/>
        <v/>
      </c>
      <c r="K467" s="7" t="str">
        <f t="shared" si="3"/>
        <v>FAIL</v>
      </c>
      <c r="L467" s="8"/>
    </row>
    <row r="468" ht="15.75" customHeight="1">
      <c r="A468" s="4" t="s">
        <v>539</v>
      </c>
      <c r="B468" s="5" t="s">
        <v>19</v>
      </c>
      <c r="C468" s="6"/>
      <c r="D468" s="6"/>
      <c r="E468" s="6"/>
      <c r="F468" s="6"/>
      <c r="G468" s="6"/>
      <c r="H468" s="6"/>
      <c r="I468" s="6"/>
      <c r="J468" s="6" t="str">
        <f t="shared" si="4"/>
        <v>FAIL</v>
      </c>
      <c r="K468" s="7" t="str">
        <f t="shared" si="3"/>
        <v>FAIL</v>
      </c>
      <c r="L468" s="8"/>
    </row>
    <row r="469" ht="15.75" customHeight="1">
      <c r="A469" s="4" t="s">
        <v>540</v>
      </c>
      <c r="B469" s="5" t="s">
        <v>19</v>
      </c>
      <c r="C469" s="6"/>
      <c r="D469" s="6"/>
      <c r="E469" s="6"/>
      <c r="F469" s="6"/>
      <c r="G469" s="6"/>
      <c r="H469" s="6"/>
      <c r="I469" s="6"/>
      <c r="J469" s="6" t="str">
        <f t="shared" si="4"/>
        <v>FAIL</v>
      </c>
      <c r="K469" s="7" t="str">
        <f t="shared" si="3"/>
        <v>FAIL</v>
      </c>
      <c r="L469" s="8"/>
    </row>
    <row r="470" ht="15.75" customHeight="1">
      <c r="A470" s="4" t="s">
        <v>541</v>
      </c>
      <c r="B470" s="5" t="s">
        <v>19</v>
      </c>
      <c r="C470" s="6"/>
      <c r="D470" s="6"/>
      <c r="E470" s="6"/>
      <c r="F470" s="6"/>
      <c r="G470" s="6"/>
      <c r="H470" s="6"/>
      <c r="I470" s="6"/>
      <c r="J470" s="6" t="str">
        <f t="shared" si="4"/>
        <v>FAIL</v>
      </c>
      <c r="K470" s="7" t="str">
        <f t="shared" si="3"/>
        <v>FAIL</v>
      </c>
      <c r="L470" s="8"/>
    </row>
    <row r="471" ht="15.75" customHeight="1">
      <c r="A471" s="4" t="s">
        <v>542</v>
      </c>
      <c r="B471" s="5" t="s">
        <v>19</v>
      </c>
      <c r="C471" s="6"/>
      <c r="D471" s="6"/>
      <c r="E471" s="6"/>
      <c r="F471" s="6"/>
      <c r="G471" s="6"/>
      <c r="H471" s="6"/>
      <c r="I471" s="6"/>
      <c r="J471" s="6" t="str">
        <f t="shared" si="4"/>
        <v>FAIL</v>
      </c>
      <c r="K471" s="7" t="str">
        <f t="shared" si="3"/>
        <v>FAIL</v>
      </c>
      <c r="L471" s="8"/>
    </row>
    <row r="472" ht="15.75" customHeight="1">
      <c r="A472" s="4" t="s">
        <v>543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4"/>
        <v/>
      </c>
      <c r="K472" s="7" t="str">
        <f t="shared" si="3"/>
        <v>FAIL</v>
      </c>
      <c r="L472" s="8"/>
    </row>
    <row r="473" ht="15.75" customHeight="1">
      <c r="A473" s="4" t="s">
        <v>544</v>
      </c>
      <c r="B473" s="5" t="s">
        <v>19</v>
      </c>
      <c r="C473" s="6"/>
      <c r="D473" s="6"/>
      <c r="E473" s="6"/>
      <c r="F473" s="6"/>
      <c r="G473" s="6"/>
      <c r="H473" s="6"/>
      <c r="I473" s="6"/>
      <c r="J473" s="6" t="str">
        <f t="shared" si="4"/>
        <v>FAIL</v>
      </c>
      <c r="K473" s="7" t="str">
        <f t="shared" si="3"/>
        <v>FAIL</v>
      </c>
      <c r="L473" s="8"/>
    </row>
    <row r="474" ht="15.75" customHeight="1">
      <c r="A474" s="4" t="s">
        <v>545</v>
      </c>
      <c r="B474" s="5" t="s">
        <v>19</v>
      </c>
      <c r="C474" s="6"/>
      <c r="D474" s="6"/>
      <c r="E474" s="6"/>
      <c r="F474" s="6"/>
      <c r="G474" s="6"/>
      <c r="H474" s="6"/>
      <c r="I474" s="6"/>
      <c r="J474" s="6" t="str">
        <f t="shared" si="4"/>
        <v>FAIL</v>
      </c>
      <c r="K474" s="7" t="str">
        <f t="shared" si="3"/>
        <v>FAIL</v>
      </c>
      <c r="L474" s="8"/>
    </row>
    <row r="475" ht="15.75" customHeight="1">
      <c r="A475" s="4" t="s">
        <v>546</v>
      </c>
      <c r="B475" s="5" t="s">
        <v>19</v>
      </c>
      <c r="C475" s="6"/>
      <c r="D475" s="6"/>
      <c r="E475" s="6"/>
      <c r="F475" s="6"/>
      <c r="G475" s="6"/>
      <c r="H475" s="6"/>
      <c r="I475" s="6"/>
      <c r="J475" s="6" t="str">
        <f t="shared" si="4"/>
        <v>FAIL</v>
      </c>
      <c r="K475" s="7" t="str">
        <f t="shared" si="3"/>
        <v>FAIL</v>
      </c>
      <c r="L475" s="8"/>
    </row>
    <row r="476" ht="15.75" customHeight="1">
      <c r="A476" s="4" t="s">
        <v>547</v>
      </c>
      <c r="B476" s="5" t="s">
        <v>19</v>
      </c>
      <c r="C476" s="6"/>
      <c r="D476" s="6"/>
      <c r="E476" s="6"/>
      <c r="F476" s="6"/>
      <c r="G476" s="6"/>
      <c r="H476" s="6"/>
      <c r="I476" s="6"/>
      <c r="J476" s="6" t="str">
        <f t="shared" si="4"/>
        <v>FAIL</v>
      </c>
      <c r="K476" s="7" t="str">
        <f t="shared" si="3"/>
        <v>FAIL</v>
      </c>
      <c r="L476" s="8"/>
    </row>
    <row r="477" ht="15.75" customHeight="1">
      <c r="A477" s="4" t="s">
        <v>548</v>
      </c>
      <c r="B477" s="5" t="s">
        <v>19</v>
      </c>
      <c r="C477" s="6"/>
      <c r="D477" s="6"/>
      <c r="E477" s="6"/>
      <c r="F477" s="6"/>
      <c r="G477" s="6"/>
      <c r="H477" s="6"/>
      <c r="I477" s="6"/>
      <c r="J477" s="6" t="str">
        <f t="shared" si="4"/>
        <v>FAIL</v>
      </c>
      <c r="K477" s="7" t="str">
        <f t="shared" si="3"/>
        <v>FAIL</v>
      </c>
      <c r="L477" s="8"/>
    </row>
    <row r="478" ht="15.75" customHeight="1">
      <c r="A478" s="4" t="s">
        <v>549</v>
      </c>
      <c r="B478" s="5" t="s">
        <v>19</v>
      </c>
      <c r="C478" s="6"/>
      <c r="D478" s="6"/>
      <c r="E478" s="6"/>
      <c r="F478" s="6"/>
      <c r="G478" s="6"/>
      <c r="H478" s="6"/>
      <c r="I478" s="6"/>
      <c r="J478" s="6" t="str">
        <f t="shared" si="4"/>
        <v>FAIL</v>
      </c>
      <c r="K478" s="7" t="str">
        <f t="shared" si="3"/>
        <v>FAIL</v>
      </c>
      <c r="L478" s="8"/>
    </row>
    <row r="479" ht="15.75" customHeight="1">
      <c r="A479" s="4" t="s">
        <v>550</v>
      </c>
      <c r="B479" s="5" t="s">
        <v>19</v>
      </c>
      <c r="C479" s="6"/>
      <c r="D479" s="6"/>
      <c r="E479" s="6"/>
      <c r="F479" s="6"/>
      <c r="G479" s="6"/>
      <c r="H479" s="6"/>
      <c r="I479" s="6"/>
      <c r="J479" s="6" t="str">
        <f t="shared" si="4"/>
        <v>FAIL</v>
      </c>
      <c r="K479" s="7" t="str">
        <f t="shared" si="3"/>
        <v>FAIL</v>
      </c>
      <c r="L479" s="8"/>
    </row>
    <row r="480" ht="15.75" customHeight="1">
      <c r="A480" s="4" t="s">
        <v>551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4"/>
        <v/>
      </c>
      <c r="K480" s="7" t="str">
        <f t="shared" si="3"/>
        <v>FAIL</v>
      </c>
      <c r="L480" s="8"/>
    </row>
    <row r="481" ht="15.75" customHeight="1">
      <c r="A481" s="4" t="s">
        <v>552</v>
      </c>
      <c r="B481" s="5" t="s">
        <v>19</v>
      </c>
      <c r="C481" s="6"/>
      <c r="D481" s="6"/>
      <c r="E481" s="6"/>
      <c r="F481" s="6"/>
      <c r="G481" s="6"/>
      <c r="H481" s="6"/>
      <c r="I481" s="6"/>
      <c r="J481" s="6" t="str">
        <f t="shared" si="4"/>
        <v>FAIL</v>
      </c>
      <c r="K481" s="7" t="str">
        <f t="shared" si="3"/>
        <v>FAIL</v>
      </c>
      <c r="L481" s="8"/>
    </row>
    <row r="482" ht="15.75" customHeight="1">
      <c r="A482" s="4" t="s">
        <v>553</v>
      </c>
      <c r="B482" s="5" t="s">
        <v>19</v>
      </c>
      <c r="C482" s="6"/>
      <c r="D482" s="6"/>
      <c r="E482" s="6"/>
      <c r="F482" s="6"/>
      <c r="G482" s="6"/>
      <c r="H482" s="6"/>
      <c r="I482" s="6"/>
      <c r="J482" s="6" t="str">
        <f t="shared" si="4"/>
        <v>FAIL</v>
      </c>
      <c r="K482" s="7" t="str">
        <f t="shared" si="3"/>
        <v>FAIL</v>
      </c>
      <c r="L482" s="8"/>
    </row>
    <row r="483" ht="15.75" customHeight="1">
      <c r="A483" s="4" t="s">
        <v>554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4"/>
        <v/>
      </c>
      <c r="K483" s="7" t="str">
        <f t="shared" si="3"/>
        <v>FAIL</v>
      </c>
      <c r="L483" s="8"/>
    </row>
    <row r="484" ht="15.75" customHeight="1">
      <c r="A484" s="4" t="s">
        <v>555</v>
      </c>
      <c r="B484" s="5" t="s">
        <v>19</v>
      </c>
      <c r="C484" s="6"/>
      <c r="D484" s="6"/>
      <c r="E484" s="6"/>
      <c r="F484" s="6"/>
      <c r="G484" s="6"/>
      <c r="H484" s="6"/>
      <c r="I484" s="6"/>
      <c r="J484" s="6" t="str">
        <f t="shared" si="4"/>
        <v>FAIL</v>
      </c>
      <c r="K484" s="7" t="str">
        <f t="shared" si="3"/>
        <v>FAIL</v>
      </c>
      <c r="L484" s="8"/>
    </row>
    <row r="485" ht="15.75" customHeight="1">
      <c r="A485" s="11" t="s">
        <v>556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4"/>
        <v/>
      </c>
      <c r="K485" s="7" t="str">
        <f t="shared" si="3"/>
        <v>FAIL</v>
      </c>
      <c r="L485" s="8"/>
    </row>
    <row r="486" ht="15.75" customHeight="1">
      <c r="A486" s="4" t="s">
        <v>557</v>
      </c>
      <c r="B486" s="5" t="s">
        <v>19</v>
      </c>
      <c r="C486" s="6"/>
      <c r="D486" s="6"/>
      <c r="E486" s="6"/>
      <c r="F486" s="6"/>
      <c r="G486" s="6"/>
      <c r="H486" s="6"/>
      <c r="I486" s="6"/>
      <c r="J486" s="6" t="str">
        <f t="shared" si="4"/>
        <v>FAIL</v>
      </c>
      <c r="K486" s="7" t="str">
        <f t="shared" si="3"/>
        <v>FAIL</v>
      </c>
      <c r="L486" s="8"/>
    </row>
    <row r="487" ht="15.75" customHeight="1">
      <c r="A487" s="4" t="s">
        <v>558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4"/>
        <v/>
      </c>
      <c r="K487" s="7" t="str">
        <f t="shared" si="3"/>
        <v>FAIL</v>
      </c>
      <c r="L487" s="8"/>
    </row>
    <row r="488" ht="15.75" customHeight="1">
      <c r="A488" s="4" t="s">
        <v>559</v>
      </c>
      <c r="B488" s="5" t="s">
        <v>19</v>
      </c>
      <c r="C488" s="6"/>
      <c r="D488" s="6"/>
      <c r="E488" s="6"/>
      <c r="F488" s="6"/>
      <c r="G488" s="6"/>
      <c r="H488" s="6"/>
      <c r="I488" s="6"/>
      <c r="J488" s="6" t="str">
        <f t="shared" si="4"/>
        <v>FAIL</v>
      </c>
      <c r="K488" s="7" t="str">
        <f t="shared" si="3"/>
        <v>FAIL</v>
      </c>
      <c r="L488" s="8"/>
    </row>
    <row r="489" ht="15.75" customHeight="1">
      <c r="A489" s="4" t="s">
        <v>560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4"/>
        <v/>
      </c>
      <c r="K489" s="7" t="str">
        <f t="shared" si="3"/>
        <v>FAIL</v>
      </c>
      <c r="L489" s="8"/>
    </row>
    <row r="490" ht="15.75" customHeight="1">
      <c r="A490" s="4" t="s">
        <v>561</v>
      </c>
      <c r="B490" s="5" t="s">
        <v>19</v>
      </c>
      <c r="C490" s="6"/>
      <c r="D490" s="6"/>
      <c r="E490" s="6"/>
      <c r="F490" s="6"/>
      <c r="G490" s="6"/>
      <c r="H490" s="6"/>
      <c r="I490" s="6"/>
      <c r="J490" s="6" t="str">
        <f t="shared" si="4"/>
        <v>FAIL</v>
      </c>
      <c r="K490" s="7" t="str">
        <f t="shared" si="3"/>
        <v>FAIL</v>
      </c>
      <c r="L490" s="8"/>
    </row>
    <row r="491" ht="15.75" customHeight="1">
      <c r="A491" s="4" t="s">
        <v>562</v>
      </c>
      <c r="B491" s="5" t="s">
        <v>19</v>
      </c>
      <c r="C491" s="6"/>
      <c r="D491" s="6"/>
      <c r="E491" s="6"/>
      <c r="F491" s="6"/>
      <c r="G491" s="6"/>
      <c r="H491" s="6"/>
      <c r="I491" s="6"/>
      <c r="J491" s="6" t="str">
        <f t="shared" si="4"/>
        <v>FAIL</v>
      </c>
      <c r="K491" s="7" t="str">
        <f t="shared" si="3"/>
        <v>FAIL</v>
      </c>
      <c r="L491" s="8"/>
    </row>
    <row r="492" ht="15.75" customHeight="1">
      <c r="A492" s="4" t="s">
        <v>563</v>
      </c>
      <c r="B492" s="5" t="s">
        <v>19</v>
      </c>
      <c r="C492" s="6"/>
      <c r="D492" s="6"/>
      <c r="E492" s="6"/>
      <c r="F492" s="6"/>
      <c r="G492" s="6"/>
      <c r="H492" s="6"/>
      <c r="I492" s="6"/>
      <c r="J492" s="6" t="str">
        <f t="shared" si="4"/>
        <v>FAIL</v>
      </c>
      <c r="K492" s="7" t="str">
        <f t="shared" si="3"/>
        <v>FAIL</v>
      </c>
      <c r="L492" s="8"/>
    </row>
    <row r="493" ht="15.75" customHeight="1">
      <c r="A493" s="4" t="s">
        <v>564</v>
      </c>
      <c r="B493" s="5" t="s">
        <v>19</v>
      </c>
      <c r="C493" s="6"/>
      <c r="D493" s="6"/>
      <c r="E493" s="6"/>
      <c r="F493" s="6"/>
      <c r="G493" s="6"/>
      <c r="H493" s="6"/>
      <c r="I493" s="6"/>
      <c r="J493" s="6" t="str">
        <f t="shared" si="4"/>
        <v>FAIL</v>
      </c>
      <c r="K493" s="7" t="str">
        <f t="shared" si="3"/>
        <v>FAIL</v>
      </c>
      <c r="L493" s="8"/>
    </row>
    <row r="494" ht="15.75" customHeight="1">
      <c r="A494" s="4" t="s">
        <v>565</v>
      </c>
      <c r="B494" s="5" t="s">
        <v>13</v>
      </c>
      <c r="C494" s="5" t="s">
        <v>15</v>
      </c>
      <c r="D494" s="5" t="s">
        <v>59</v>
      </c>
      <c r="E494" s="5" t="s">
        <v>16</v>
      </c>
      <c r="F494" s="5">
        <v>3.0</v>
      </c>
      <c r="G494" s="5" t="s">
        <v>13</v>
      </c>
      <c r="H494" s="5" t="s">
        <v>16</v>
      </c>
      <c r="I494" s="5" t="s">
        <v>17</v>
      </c>
      <c r="J494" s="6" t="str">
        <f t="shared" si="4"/>
        <v>FAIL</v>
      </c>
      <c r="K494" s="7" t="str">
        <f t="shared" si="3"/>
        <v>FAIL</v>
      </c>
      <c r="L494" s="8"/>
    </row>
    <row r="495" ht="15.75" customHeight="1">
      <c r="A495" s="4" t="s">
        <v>566</v>
      </c>
      <c r="B495" s="5" t="s">
        <v>19</v>
      </c>
      <c r="C495" s="6"/>
      <c r="D495" s="6"/>
      <c r="E495" s="6"/>
      <c r="F495" s="6"/>
      <c r="G495" s="6"/>
      <c r="H495" s="6"/>
      <c r="I495" s="6"/>
      <c r="J495" s="6" t="str">
        <f t="shared" si="4"/>
        <v>FAIL</v>
      </c>
      <c r="K495" s="7" t="str">
        <f t="shared" si="3"/>
        <v>FAIL</v>
      </c>
      <c r="L495" s="8"/>
    </row>
    <row r="496" ht="15.75" customHeight="1">
      <c r="A496" s="4" t="s">
        <v>567</v>
      </c>
      <c r="B496" s="5" t="s">
        <v>19</v>
      </c>
      <c r="C496" s="6"/>
      <c r="D496" s="6"/>
      <c r="E496" s="6"/>
      <c r="F496" s="6"/>
      <c r="G496" s="6"/>
      <c r="H496" s="6"/>
      <c r="I496" s="6"/>
      <c r="J496" s="6" t="str">
        <f t="shared" si="4"/>
        <v>FAIL</v>
      </c>
      <c r="K496" s="7" t="str">
        <f t="shared" si="3"/>
        <v>FAIL</v>
      </c>
      <c r="L496" s="8"/>
    </row>
    <row r="497" ht="15.75" customHeight="1">
      <c r="A497" s="4" t="s">
        <v>568</v>
      </c>
      <c r="B497" s="5" t="s">
        <v>19</v>
      </c>
      <c r="C497" s="6"/>
      <c r="D497" s="6"/>
      <c r="E497" s="6"/>
      <c r="F497" s="6"/>
      <c r="G497" s="6"/>
      <c r="H497" s="6"/>
      <c r="I497" s="6"/>
      <c r="J497" s="6" t="str">
        <f t="shared" si="4"/>
        <v>FAIL</v>
      </c>
      <c r="K497" s="7" t="str">
        <f t="shared" si="3"/>
        <v>FAIL</v>
      </c>
      <c r="L497" s="8"/>
    </row>
    <row r="498" ht="15.75" customHeight="1">
      <c r="A498" s="4" t="s">
        <v>569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4"/>
        <v/>
      </c>
      <c r="K498" s="7" t="str">
        <f t="shared" si="3"/>
        <v>FAIL</v>
      </c>
      <c r="L498" s="8"/>
    </row>
    <row r="499" ht="15.75" customHeight="1">
      <c r="A499" s="4" t="s">
        <v>570</v>
      </c>
      <c r="B499" s="5" t="s">
        <v>19</v>
      </c>
      <c r="C499" s="6"/>
      <c r="D499" s="6"/>
      <c r="E499" s="6"/>
      <c r="F499" s="6"/>
      <c r="G499" s="6"/>
      <c r="H499" s="6"/>
      <c r="I499" s="6"/>
      <c r="J499" s="6" t="str">
        <f t="shared" si="4"/>
        <v>FAIL</v>
      </c>
      <c r="K499" s="7" t="str">
        <f t="shared" si="3"/>
        <v>FAIL</v>
      </c>
      <c r="L499" s="8"/>
    </row>
    <row r="500" ht="15.75" customHeight="1">
      <c r="A500" s="4" t="s">
        <v>571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4"/>
        <v/>
      </c>
      <c r="K500" s="7" t="str">
        <f t="shared" si="3"/>
        <v>FAIL</v>
      </c>
      <c r="L500" s="8"/>
    </row>
    <row r="501" ht="15.75" customHeight="1">
      <c r="A501" s="4" t="s">
        <v>572</v>
      </c>
      <c r="B501" s="5" t="s">
        <v>19</v>
      </c>
      <c r="C501" s="6"/>
      <c r="D501" s="6"/>
      <c r="E501" s="6"/>
      <c r="F501" s="6"/>
      <c r="G501" s="6"/>
      <c r="H501" s="6"/>
      <c r="I501" s="6"/>
      <c r="J501" s="6" t="str">
        <f t="shared" si="4"/>
        <v>FAIL</v>
      </c>
      <c r="K501" s="7" t="str">
        <f t="shared" si="3"/>
        <v>FAIL</v>
      </c>
      <c r="L501" s="8"/>
    </row>
    <row r="502" ht="15.75" customHeight="1">
      <c r="A502" s="4" t="s">
        <v>573</v>
      </c>
      <c r="B502" s="5" t="s">
        <v>19</v>
      </c>
      <c r="C502" s="6"/>
      <c r="D502" s="6"/>
      <c r="E502" s="6"/>
      <c r="F502" s="6"/>
      <c r="G502" s="6"/>
      <c r="H502" s="6"/>
      <c r="I502" s="6"/>
      <c r="J502" s="6" t="str">
        <f t="shared" si="4"/>
        <v>FAIL</v>
      </c>
      <c r="K502" s="7" t="str">
        <f t="shared" si="3"/>
        <v>FAIL</v>
      </c>
      <c r="L502" s="8"/>
    </row>
    <row r="503" ht="15.75" customHeight="1">
      <c r="A503" s="4" t="s">
        <v>574</v>
      </c>
      <c r="B503" s="5" t="s">
        <v>19</v>
      </c>
      <c r="C503" s="6"/>
      <c r="D503" s="6"/>
      <c r="E503" s="6"/>
      <c r="F503" s="6"/>
      <c r="G503" s="6"/>
      <c r="H503" s="6"/>
      <c r="I503" s="6"/>
      <c r="J503" s="6" t="str">
        <f t="shared" si="4"/>
        <v>FAIL</v>
      </c>
      <c r="K503" s="7" t="str">
        <f t="shared" si="3"/>
        <v>FAIL</v>
      </c>
      <c r="L503" s="8"/>
    </row>
    <row r="504" ht="15.75" customHeight="1">
      <c r="A504" s="4" t="s">
        <v>575</v>
      </c>
      <c r="B504" s="5" t="s">
        <v>19</v>
      </c>
      <c r="C504" s="6"/>
      <c r="D504" s="6"/>
      <c r="E504" s="6"/>
      <c r="F504" s="6"/>
      <c r="G504" s="6"/>
      <c r="H504" s="6"/>
      <c r="I504" s="6"/>
      <c r="J504" s="6" t="str">
        <f t="shared" si="4"/>
        <v>FAIL</v>
      </c>
      <c r="K504" s="7" t="str">
        <f t="shared" si="3"/>
        <v>FAIL</v>
      </c>
      <c r="L504" s="8"/>
    </row>
    <row r="505" ht="15.75" customHeight="1">
      <c r="A505" s="4" t="s">
        <v>576</v>
      </c>
      <c r="B505" s="5" t="s">
        <v>19</v>
      </c>
      <c r="C505" s="6"/>
      <c r="D505" s="6"/>
      <c r="E505" s="6"/>
      <c r="F505" s="6"/>
      <c r="G505" s="6"/>
      <c r="H505" s="6"/>
      <c r="I505" s="6"/>
      <c r="J505" s="6" t="str">
        <f t="shared" si="4"/>
        <v>FAIL</v>
      </c>
      <c r="K505" s="7" t="str">
        <f t="shared" si="3"/>
        <v>FAIL</v>
      </c>
      <c r="L505" s="8"/>
    </row>
    <row r="506" ht="15.75" customHeight="1">
      <c r="A506" s="4" t="s">
        <v>577</v>
      </c>
      <c r="B506" s="5" t="s">
        <v>19</v>
      </c>
      <c r="C506" s="6"/>
      <c r="D506" s="6"/>
      <c r="E506" s="6"/>
      <c r="F506" s="6"/>
      <c r="G506" s="6"/>
      <c r="H506" s="6"/>
      <c r="I506" s="6"/>
      <c r="J506" s="6" t="str">
        <f t="shared" si="4"/>
        <v>FAIL</v>
      </c>
      <c r="K506" s="7" t="str">
        <f t="shared" si="3"/>
        <v>FAIL</v>
      </c>
      <c r="L506" s="8"/>
    </row>
    <row r="507" ht="15.75" customHeight="1">
      <c r="A507" s="11" t="s">
        <v>578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4"/>
        <v/>
      </c>
      <c r="K507" s="7" t="str">
        <f t="shared" si="3"/>
        <v>FAIL</v>
      </c>
      <c r="L507" s="8"/>
    </row>
    <row r="508" ht="15.75" customHeight="1">
      <c r="A508" s="4" t="s">
        <v>579</v>
      </c>
      <c r="B508" s="5" t="s">
        <v>19</v>
      </c>
      <c r="C508" s="6"/>
      <c r="D508" s="6"/>
      <c r="E508" s="6"/>
      <c r="F508" s="6"/>
      <c r="G508" s="6"/>
      <c r="H508" s="6"/>
      <c r="I508" s="6"/>
      <c r="J508" s="6" t="str">
        <f t="shared" si="4"/>
        <v>FAIL</v>
      </c>
      <c r="K508" s="7" t="str">
        <f t="shared" si="3"/>
        <v>FAIL</v>
      </c>
      <c r="L508" s="8"/>
    </row>
    <row r="509" ht="15.75" customHeight="1">
      <c r="A509" s="4" t="s">
        <v>580</v>
      </c>
      <c r="B509" s="5" t="s">
        <v>19</v>
      </c>
      <c r="C509" s="6"/>
      <c r="D509" s="6"/>
      <c r="E509" s="6"/>
      <c r="F509" s="6"/>
      <c r="G509" s="6"/>
      <c r="H509" s="6"/>
      <c r="I509" s="6"/>
      <c r="J509" s="6" t="str">
        <f t="shared" si="4"/>
        <v>FAIL</v>
      </c>
      <c r="K509" s="7" t="str">
        <f t="shared" si="3"/>
        <v>FAIL</v>
      </c>
      <c r="L509" s="8"/>
    </row>
    <row r="510" ht="15.75" customHeight="1">
      <c r="A510" s="4" t="s">
        <v>581</v>
      </c>
      <c r="B510" s="5" t="s">
        <v>19</v>
      </c>
      <c r="C510" s="6"/>
      <c r="D510" s="6"/>
      <c r="E510" s="6"/>
      <c r="F510" s="6"/>
      <c r="G510" s="6"/>
      <c r="H510" s="6"/>
      <c r="I510" s="6"/>
      <c r="J510" s="6" t="str">
        <f t="shared" si="4"/>
        <v>FAIL</v>
      </c>
      <c r="K510" s="7" t="str">
        <f t="shared" si="3"/>
        <v>FAIL</v>
      </c>
      <c r="L510" s="8"/>
    </row>
    <row r="511" ht="15.75" customHeight="1">
      <c r="A511" s="4" t="s">
        <v>582</v>
      </c>
      <c r="B511" s="5" t="s">
        <v>13</v>
      </c>
      <c r="C511" s="5" t="s">
        <v>16</v>
      </c>
      <c r="D511" s="5" t="s">
        <v>59</v>
      </c>
      <c r="E511" s="5" t="s">
        <v>16</v>
      </c>
      <c r="F511" s="5">
        <v>1.0</v>
      </c>
      <c r="G511" s="5" t="s">
        <v>13</v>
      </c>
      <c r="H511" s="5" t="s">
        <v>16</v>
      </c>
      <c r="I511" s="5" t="s">
        <v>22</v>
      </c>
      <c r="J511" s="6" t="str">
        <f t="shared" si="4"/>
        <v>PASS</v>
      </c>
      <c r="K511" s="7" t="str">
        <f t="shared" si="3"/>
        <v>FAIL</v>
      </c>
      <c r="L511" s="8"/>
    </row>
    <row r="512" ht="15.75" customHeight="1">
      <c r="A512" s="4" t="s">
        <v>583</v>
      </c>
      <c r="B512" s="5" t="s">
        <v>19</v>
      </c>
      <c r="C512" s="6"/>
      <c r="D512" s="6"/>
      <c r="E512" s="6"/>
      <c r="F512" s="6"/>
      <c r="G512" s="6"/>
      <c r="H512" s="6"/>
      <c r="I512" s="6"/>
      <c r="J512" s="6" t="str">
        <f t="shared" si="4"/>
        <v>FAIL</v>
      </c>
      <c r="K512" s="7" t="str">
        <f t="shared" si="3"/>
        <v>FAIL</v>
      </c>
      <c r="L512" s="8"/>
    </row>
    <row r="513" ht="15.75" customHeight="1">
      <c r="A513" s="4" t="s">
        <v>584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4"/>
        <v/>
      </c>
      <c r="K513" s="7" t="str">
        <f t="shared" si="3"/>
        <v>FAIL</v>
      </c>
      <c r="L513" s="8"/>
    </row>
    <row r="514" ht="15.75" customHeight="1">
      <c r="A514" s="4" t="s">
        <v>585</v>
      </c>
      <c r="B514" s="5" t="s">
        <v>19</v>
      </c>
      <c r="C514" s="6"/>
      <c r="D514" s="6"/>
      <c r="E514" s="6"/>
      <c r="F514" s="6"/>
      <c r="G514" s="6"/>
      <c r="H514" s="6"/>
      <c r="I514" s="6"/>
      <c r="J514" s="6" t="str">
        <f t="shared" si="4"/>
        <v>FAIL</v>
      </c>
      <c r="K514" s="7" t="str">
        <f t="shared" si="3"/>
        <v>FAIL</v>
      </c>
      <c r="L514" s="8"/>
    </row>
    <row r="515" ht="15.75" customHeight="1">
      <c r="A515" s="4" t="s">
        <v>586</v>
      </c>
      <c r="B515" s="5" t="s">
        <v>19</v>
      </c>
      <c r="C515" s="6"/>
      <c r="D515" s="6"/>
      <c r="E515" s="6"/>
      <c r="F515" s="6"/>
      <c r="G515" s="6"/>
      <c r="H515" s="6"/>
      <c r="I515" s="6"/>
      <c r="J515" s="6" t="str">
        <f t="shared" si="4"/>
        <v>FAIL</v>
      </c>
      <c r="K515" s="7" t="str">
        <f t="shared" si="3"/>
        <v>FAIL</v>
      </c>
      <c r="L515" s="8"/>
    </row>
    <row r="516" ht="15.75" customHeight="1">
      <c r="A516" s="4" t="s">
        <v>587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4"/>
        <v/>
      </c>
      <c r="K516" s="7" t="str">
        <f t="shared" si="3"/>
        <v>FAIL</v>
      </c>
      <c r="L516" s="8"/>
    </row>
    <row r="517" ht="15.75" customHeight="1">
      <c r="A517" s="4" t="s">
        <v>588</v>
      </c>
      <c r="B517" s="5" t="s">
        <v>19</v>
      </c>
      <c r="C517" s="6"/>
      <c r="D517" s="6"/>
      <c r="E517" s="6"/>
      <c r="F517" s="6"/>
      <c r="G517" s="6"/>
      <c r="H517" s="6"/>
      <c r="I517" s="6"/>
      <c r="J517" s="6" t="str">
        <f t="shared" si="4"/>
        <v>FAIL</v>
      </c>
      <c r="K517" s="7" t="str">
        <f t="shared" si="3"/>
        <v>FAIL</v>
      </c>
      <c r="L517" s="8"/>
    </row>
    <row r="518" ht="15.75" customHeight="1">
      <c r="A518" s="4" t="s">
        <v>589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4"/>
        <v/>
      </c>
      <c r="K518" s="7" t="str">
        <f t="shared" si="3"/>
        <v>FAIL</v>
      </c>
      <c r="L518" s="8"/>
    </row>
    <row r="519" ht="15.75" customHeight="1">
      <c r="A519" s="4" t="s">
        <v>590</v>
      </c>
      <c r="B519" s="5" t="s">
        <v>19</v>
      </c>
      <c r="C519" s="6"/>
      <c r="D519" s="6"/>
      <c r="E519" s="6"/>
      <c r="F519" s="6"/>
      <c r="G519" s="6"/>
      <c r="H519" s="6"/>
      <c r="I519" s="6"/>
      <c r="J519" s="6" t="str">
        <f t="shared" si="4"/>
        <v>FAIL</v>
      </c>
      <c r="K519" s="7" t="str">
        <f t="shared" si="3"/>
        <v>FAIL</v>
      </c>
      <c r="L519" s="8"/>
    </row>
    <row r="520" ht="15.75" customHeight="1">
      <c r="A520" s="4" t="s">
        <v>591</v>
      </c>
      <c r="B520" s="5" t="s">
        <v>19</v>
      </c>
      <c r="C520" s="6"/>
      <c r="D520" s="6"/>
      <c r="E520" s="6"/>
      <c r="F520" s="6"/>
      <c r="G520" s="6"/>
      <c r="H520" s="6"/>
      <c r="I520" s="6"/>
      <c r="J520" s="6" t="str">
        <f t="shared" si="4"/>
        <v>FAIL</v>
      </c>
      <c r="K520" s="7" t="str">
        <f t="shared" si="3"/>
        <v>FAIL</v>
      </c>
      <c r="L520" s="8"/>
    </row>
    <row r="521" ht="15.75" customHeight="1">
      <c r="A521" s="11" t="s">
        <v>592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4"/>
        <v/>
      </c>
      <c r="K521" s="7" t="str">
        <f t="shared" si="3"/>
        <v>FAIL</v>
      </c>
      <c r="L521" s="8"/>
    </row>
    <row r="522" ht="15.75" customHeight="1">
      <c r="A522" s="4" t="s">
        <v>593</v>
      </c>
      <c r="B522" s="5" t="s">
        <v>19</v>
      </c>
      <c r="C522" s="6"/>
      <c r="D522" s="6"/>
      <c r="E522" s="6"/>
      <c r="F522" s="6"/>
      <c r="G522" s="6"/>
      <c r="H522" s="6"/>
      <c r="I522" s="6"/>
      <c r="J522" s="6" t="str">
        <f t="shared" si="4"/>
        <v>FAIL</v>
      </c>
      <c r="K522" s="7" t="str">
        <f t="shared" si="3"/>
        <v>FAIL</v>
      </c>
      <c r="L522" s="8"/>
    </row>
    <row r="523" ht="15.75" customHeight="1">
      <c r="A523" s="4" t="s">
        <v>594</v>
      </c>
      <c r="B523" s="5" t="s">
        <v>19</v>
      </c>
      <c r="C523" s="6"/>
      <c r="D523" s="6"/>
      <c r="E523" s="6"/>
      <c r="F523" s="6"/>
      <c r="G523" s="6"/>
      <c r="H523" s="6"/>
      <c r="I523" s="6"/>
      <c r="J523" s="6" t="str">
        <f t="shared" si="4"/>
        <v>FAIL</v>
      </c>
      <c r="K523" s="7" t="str">
        <f t="shared" si="3"/>
        <v>FAIL</v>
      </c>
      <c r="L523" s="8"/>
    </row>
    <row r="524" ht="15.75" customHeight="1">
      <c r="A524" s="4" t="s">
        <v>595</v>
      </c>
      <c r="B524" s="5" t="s">
        <v>19</v>
      </c>
      <c r="C524" s="6"/>
      <c r="D524" s="6"/>
      <c r="E524" s="6"/>
      <c r="F524" s="6"/>
      <c r="G524" s="6"/>
      <c r="H524" s="6"/>
      <c r="I524" s="6"/>
      <c r="J524" s="6" t="str">
        <f t="shared" si="4"/>
        <v>FAIL</v>
      </c>
      <c r="K524" s="7" t="str">
        <f t="shared" si="3"/>
        <v>FAIL</v>
      </c>
      <c r="L524" s="8"/>
    </row>
    <row r="525" ht="15.75" customHeight="1">
      <c r="A525" s="4" t="s">
        <v>596</v>
      </c>
      <c r="B525" s="5" t="s">
        <v>19</v>
      </c>
      <c r="C525" s="6"/>
      <c r="D525" s="6"/>
      <c r="E525" s="6"/>
      <c r="F525" s="6"/>
      <c r="G525" s="6"/>
      <c r="H525" s="6"/>
      <c r="I525" s="6"/>
      <c r="J525" s="6" t="str">
        <f t="shared" si="4"/>
        <v>FAIL</v>
      </c>
      <c r="K525" s="7" t="str">
        <f t="shared" si="3"/>
        <v>FAIL</v>
      </c>
      <c r="L525" s="8"/>
    </row>
    <row r="526" ht="15.75" customHeight="1">
      <c r="A526" s="4" t="s">
        <v>597</v>
      </c>
      <c r="B526" s="5" t="s">
        <v>13</v>
      </c>
      <c r="C526" s="5" t="s">
        <v>14</v>
      </c>
      <c r="D526" s="5" t="s">
        <v>59</v>
      </c>
      <c r="E526" s="5" t="s">
        <v>15</v>
      </c>
      <c r="F526" s="5">
        <v>1.0</v>
      </c>
      <c r="G526" s="5" t="s">
        <v>13</v>
      </c>
      <c r="H526" s="5" t="s">
        <v>16</v>
      </c>
      <c r="I526" s="5" t="s">
        <v>17</v>
      </c>
      <c r="J526" s="6" t="str">
        <f t="shared" si="4"/>
        <v>PASS</v>
      </c>
      <c r="K526" s="7" t="str">
        <f t="shared" si="3"/>
        <v>FAIL</v>
      </c>
      <c r="L526" s="8"/>
    </row>
    <row r="527" ht="15.75" customHeight="1">
      <c r="A527" s="4" t="s">
        <v>598</v>
      </c>
      <c r="B527" s="5" t="s">
        <v>19</v>
      </c>
      <c r="C527" s="6"/>
      <c r="D527" s="6"/>
      <c r="E527" s="6"/>
      <c r="F527" s="6"/>
      <c r="G527" s="6"/>
      <c r="H527" s="6"/>
      <c r="I527" s="6"/>
      <c r="J527" s="6" t="str">
        <f t="shared" si="4"/>
        <v>FAIL</v>
      </c>
      <c r="K527" s="7" t="str">
        <f t="shared" si="3"/>
        <v>FAIL</v>
      </c>
      <c r="L527" s="8"/>
    </row>
    <row r="528" ht="15.75" customHeight="1">
      <c r="A528" s="4" t="s">
        <v>599</v>
      </c>
      <c r="B528" s="5" t="s">
        <v>13</v>
      </c>
      <c r="C528" s="5" t="s">
        <v>14</v>
      </c>
      <c r="D528" s="5" t="s">
        <v>59</v>
      </c>
      <c r="E528" s="5" t="s">
        <v>15</v>
      </c>
      <c r="F528" s="5">
        <v>2.0</v>
      </c>
      <c r="G528" s="5" t="s">
        <v>13</v>
      </c>
      <c r="H528" s="5" t="s">
        <v>16</v>
      </c>
      <c r="I528" s="5" t="s">
        <v>17</v>
      </c>
      <c r="J528" s="6" t="str">
        <f t="shared" si="4"/>
        <v>PASS</v>
      </c>
      <c r="K528" s="7" t="str">
        <f t="shared" si="3"/>
        <v>FAIL</v>
      </c>
      <c r="L528" s="8"/>
    </row>
    <row r="529" ht="15.75" customHeight="1">
      <c r="A529" s="4" t="s">
        <v>600</v>
      </c>
      <c r="B529" s="5" t="s">
        <v>19</v>
      </c>
      <c r="C529" s="6"/>
      <c r="D529" s="6"/>
      <c r="E529" s="6"/>
      <c r="F529" s="6"/>
      <c r="G529" s="6"/>
      <c r="H529" s="6"/>
      <c r="I529" s="6"/>
      <c r="J529" s="6" t="str">
        <f t="shared" si="4"/>
        <v>FAIL</v>
      </c>
      <c r="K529" s="7" t="str">
        <f t="shared" si="3"/>
        <v>FAIL</v>
      </c>
      <c r="L529" s="8"/>
    </row>
    <row r="530" ht="15.75" customHeight="1">
      <c r="A530" s="4" t="s">
        <v>601</v>
      </c>
      <c r="B530" s="5" t="s">
        <v>19</v>
      </c>
      <c r="C530" s="6"/>
      <c r="D530" s="6"/>
      <c r="E530" s="6"/>
      <c r="F530" s="6"/>
      <c r="G530" s="6"/>
      <c r="H530" s="6"/>
      <c r="I530" s="6"/>
      <c r="J530" s="6" t="str">
        <f t="shared" si="4"/>
        <v>FAIL</v>
      </c>
      <c r="K530" s="7" t="str">
        <f t="shared" si="3"/>
        <v>FAIL</v>
      </c>
      <c r="L530" s="8"/>
    </row>
    <row r="531" ht="15.75" customHeight="1">
      <c r="A531" s="4" t="s">
        <v>602</v>
      </c>
      <c r="B531" s="5" t="s">
        <v>19</v>
      </c>
      <c r="C531" s="6"/>
      <c r="D531" s="6"/>
      <c r="E531" s="6"/>
      <c r="F531" s="6"/>
      <c r="G531" s="6"/>
      <c r="H531" s="6"/>
      <c r="I531" s="6"/>
      <c r="J531" s="6" t="str">
        <f t="shared" si="4"/>
        <v>FAIL</v>
      </c>
      <c r="K531" s="7" t="str">
        <f t="shared" si="3"/>
        <v>FAIL</v>
      </c>
      <c r="L531" s="8"/>
    </row>
    <row r="532" ht="15.75" customHeight="1">
      <c r="A532" s="4" t="s">
        <v>603</v>
      </c>
      <c r="B532" s="5" t="s">
        <v>19</v>
      </c>
      <c r="C532" s="6"/>
      <c r="D532" s="6"/>
      <c r="E532" s="6"/>
      <c r="F532" s="6"/>
      <c r="G532" s="6"/>
      <c r="H532" s="6"/>
      <c r="I532" s="6"/>
      <c r="J532" s="6" t="str">
        <f t="shared" si="4"/>
        <v>FAIL</v>
      </c>
      <c r="K532" s="7" t="str">
        <f t="shared" si="3"/>
        <v>FAIL</v>
      </c>
      <c r="L532" s="8"/>
    </row>
    <row r="533" ht="15.75" customHeight="1">
      <c r="A533" s="4" t="s">
        <v>604</v>
      </c>
      <c r="B533" s="5" t="s">
        <v>19</v>
      </c>
      <c r="C533" s="6"/>
      <c r="D533" s="6"/>
      <c r="E533" s="6"/>
      <c r="F533" s="6"/>
      <c r="G533" s="6"/>
      <c r="H533" s="6"/>
      <c r="I533" s="6"/>
      <c r="J533" s="6" t="str">
        <f t="shared" si="4"/>
        <v>FAIL</v>
      </c>
      <c r="K533" s="7" t="str">
        <f t="shared" si="3"/>
        <v>FAIL</v>
      </c>
      <c r="L533" s="8"/>
    </row>
    <row r="534" ht="15.75" customHeight="1">
      <c r="A534" s="4" t="s">
        <v>605</v>
      </c>
      <c r="B534" s="5" t="s">
        <v>19</v>
      </c>
      <c r="C534" s="6"/>
      <c r="D534" s="6"/>
      <c r="E534" s="6"/>
      <c r="F534" s="6"/>
      <c r="G534" s="6"/>
      <c r="H534" s="6"/>
      <c r="I534" s="6"/>
      <c r="J534" s="6" t="str">
        <f t="shared" si="4"/>
        <v>FAIL</v>
      </c>
      <c r="K534" s="7" t="str">
        <f t="shared" si="3"/>
        <v>FAIL</v>
      </c>
      <c r="L534" s="8"/>
    </row>
    <row r="535" ht="15.75" customHeight="1">
      <c r="A535" s="4" t="s">
        <v>606</v>
      </c>
      <c r="B535" s="5" t="s">
        <v>19</v>
      </c>
      <c r="C535" s="6"/>
      <c r="D535" s="6"/>
      <c r="E535" s="6"/>
      <c r="F535" s="6"/>
      <c r="G535" s="6"/>
      <c r="H535" s="6"/>
      <c r="I535" s="6"/>
      <c r="J535" s="6" t="str">
        <f t="shared" si="4"/>
        <v>FAIL</v>
      </c>
      <c r="K535" s="7" t="str">
        <f t="shared" si="3"/>
        <v>FAIL</v>
      </c>
      <c r="L535" s="8"/>
    </row>
    <row r="536" ht="15.75" customHeight="1">
      <c r="A536" s="4" t="s">
        <v>607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4"/>
        <v/>
      </c>
      <c r="K536" s="7" t="str">
        <f t="shared" si="3"/>
        <v>FAIL</v>
      </c>
      <c r="L536" s="8"/>
    </row>
    <row r="537" ht="15.75" customHeight="1">
      <c r="A537" s="4" t="s">
        <v>608</v>
      </c>
      <c r="B537" s="5" t="s">
        <v>19</v>
      </c>
      <c r="C537" s="6"/>
      <c r="D537" s="6"/>
      <c r="E537" s="6"/>
      <c r="F537" s="6"/>
      <c r="G537" s="6"/>
      <c r="H537" s="6"/>
      <c r="I537" s="6"/>
      <c r="J537" s="6" t="str">
        <f t="shared" si="4"/>
        <v>FAIL</v>
      </c>
      <c r="K537" s="7" t="str">
        <f t="shared" si="3"/>
        <v>FAIL</v>
      </c>
      <c r="L537" s="8"/>
    </row>
    <row r="538" ht="15.75" customHeight="1">
      <c r="A538" s="4" t="s">
        <v>609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4"/>
        <v/>
      </c>
      <c r="K538" s="7" t="str">
        <f t="shared" si="3"/>
        <v>FAIL</v>
      </c>
      <c r="L538" s="8"/>
    </row>
    <row r="539" ht="15.75" customHeight="1">
      <c r="A539" s="4" t="s">
        <v>610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4"/>
        <v/>
      </c>
      <c r="K539" s="7" t="str">
        <f t="shared" si="3"/>
        <v>FAIL</v>
      </c>
      <c r="L539" s="8"/>
    </row>
    <row r="540" ht="15.75" customHeight="1">
      <c r="A540" s="4" t="s">
        <v>611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4"/>
        <v/>
      </c>
      <c r="K540" s="7" t="str">
        <f t="shared" si="3"/>
        <v>FAIL</v>
      </c>
      <c r="L540" s="8"/>
    </row>
    <row r="541" ht="15.75" customHeight="1">
      <c r="A541" s="4" t="s">
        <v>612</v>
      </c>
      <c r="B541" s="5" t="s">
        <v>19</v>
      </c>
      <c r="C541" s="6"/>
      <c r="D541" s="6"/>
      <c r="E541" s="6"/>
      <c r="F541" s="6"/>
      <c r="G541" s="6"/>
      <c r="H541" s="6"/>
      <c r="I541" s="6"/>
      <c r="J541" s="6" t="str">
        <f t="shared" si="4"/>
        <v>FAIL</v>
      </c>
      <c r="K541" s="7" t="str">
        <f t="shared" si="3"/>
        <v>FAIL</v>
      </c>
      <c r="L541" s="8"/>
    </row>
    <row r="542" ht="15.75" customHeight="1">
      <c r="A542" s="4" t="s">
        <v>613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4"/>
        <v/>
      </c>
      <c r="K542" s="7" t="str">
        <f t="shared" si="3"/>
        <v>FAIL</v>
      </c>
      <c r="L542" s="8"/>
    </row>
    <row r="543" ht="15.75" customHeight="1">
      <c r="A543" s="4" t="s">
        <v>614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4"/>
        <v/>
      </c>
      <c r="K543" s="7" t="str">
        <f t="shared" si="3"/>
        <v>FAIL</v>
      </c>
      <c r="L543" s="8"/>
    </row>
    <row r="544" ht="15.75" customHeight="1">
      <c r="A544" s="4" t="s">
        <v>615</v>
      </c>
      <c r="B544" s="5" t="s">
        <v>19</v>
      </c>
      <c r="C544" s="6"/>
      <c r="D544" s="6"/>
      <c r="E544" s="6"/>
      <c r="F544" s="6"/>
      <c r="G544" s="6"/>
      <c r="H544" s="6"/>
      <c r="I544" s="6"/>
      <c r="J544" s="6" t="str">
        <f t="shared" si="4"/>
        <v>FAIL</v>
      </c>
      <c r="K544" s="7" t="str">
        <f t="shared" si="3"/>
        <v>FAIL</v>
      </c>
      <c r="L544" s="8"/>
    </row>
    <row r="545" ht="15.75" customHeight="1">
      <c r="A545" s="4" t="s">
        <v>616</v>
      </c>
      <c r="B545" s="5" t="s">
        <v>19</v>
      </c>
      <c r="C545" s="6"/>
      <c r="D545" s="6"/>
      <c r="E545" s="6"/>
      <c r="F545" s="6"/>
      <c r="G545" s="6"/>
      <c r="H545" s="6"/>
      <c r="I545" s="6"/>
      <c r="J545" s="6" t="str">
        <f t="shared" si="4"/>
        <v>FAIL</v>
      </c>
      <c r="K545" s="7" t="str">
        <f t="shared" si="3"/>
        <v>FAIL</v>
      </c>
      <c r="L545" s="8"/>
    </row>
    <row r="546" ht="15.75" customHeight="1">
      <c r="A546" s="4" t="s">
        <v>617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 t="str">
        <f t="shared" si="4"/>
        <v>FAIL</v>
      </c>
      <c r="K546" s="7" t="str">
        <f t="shared" si="3"/>
        <v>FAIL</v>
      </c>
      <c r="L546" s="8"/>
    </row>
    <row r="547" ht="15.75" customHeight="1">
      <c r="A547" s="4" t="s">
        <v>618</v>
      </c>
      <c r="B547" s="5" t="s">
        <v>19</v>
      </c>
      <c r="C547" s="6"/>
      <c r="D547" s="6"/>
      <c r="E547" s="6"/>
      <c r="F547" s="6"/>
      <c r="G547" s="6"/>
      <c r="H547" s="6"/>
      <c r="I547" s="6"/>
      <c r="J547" s="6" t="str">
        <f t="shared" si="4"/>
        <v>FAIL</v>
      </c>
      <c r="K547" s="7" t="str">
        <f t="shared" si="3"/>
        <v>FAIL</v>
      </c>
      <c r="L547" s="8"/>
    </row>
    <row r="548" ht="15.75" customHeight="1">
      <c r="A548" s="4" t="s">
        <v>619</v>
      </c>
      <c r="B548" s="5" t="s">
        <v>19</v>
      </c>
      <c r="C548" s="6"/>
      <c r="D548" s="6"/>
      <c r="E548" s="6"/>
      <c r="F548" s="6"/>
      <c r="G548" s="6"/>
      <c r="H548" s="6"/>
      <c r="I548" s="6"/>
      <c r="J548" s="6" t="str">
        <f t="shared" si="4"/>
        <v>FAIL</v>
      </c>
      <c r="K548" s="7" t="str">
        <f t="shared" si="3"/>
        <v>FAIL</v>
      </c>
      <c r="L548" s="8"/>
    </row>
    <row r="549" ht="15.75" customHeight="1">
      <c r="A549" s="4" t="s">
        <v>620</v>
      </c>
      <c r="B549" s="5" t="s">
        <v>19</v>
      </c>
      <c r="C549" s="6"/>
      <c r="D549" s="6"/>
      <c r="E549" s="6"/>
      <c r="F549" s="6"/>
      <c r="G549" s="6"/>
      <c r="H549" s="6"/>
      <c r="I549" s="6"/>
      <c r="J549" s="6" t="str">
        <f t="shared" si="4"/>
        <v>FAIL</v>
      </c>
      <c r="K549" s="7" t="str">
        <f t="shared" si="3"/>
        <v>FAIL</v>
      </c>
      <c r="L549" s="8"/>
    </row>
    <row r="550" ht="15.75" customHeight="1">
      <c r="A550" s="4" t="s">
        <v>621</v>
      </c>
      <c r="B550" s="5" t="s">
        <v>19</v>
      </c>
      <c r="C550" s="6"/>
      <c r="D550" s="6"/>
      <c r="E550" s="6"/>
      <c r="F550" s="6"/>
      <c r="G550" s="6"/>
      <c r="H550" s="6"/>
      <c r="I550" s="6"/>
      <c r="J550" s="6" t="str">
        <f t="shared" si="4"/>
        <v>FAIL</v>
      </c>
      <c r="K550" s="7" t="str">
        <f t="shared" si="3"/>
        <v>FAIL</v>
      </c>
      <c r="L550" s="8"/>
    </row>
    <row r="551" ht="15.75" customHeight="1">
      <c r="A551" s="4" t="s">
        <v>622</v>
      </c>
      <c r="B551" s="5" t="s">
        <v>19</v>
      </c>
      <c r="C551" s="6"/>
      <c r="D551" s="6"/>
      <c r="E551" s="6"/>
      <c r="F551" s="6"/>
      <c r="G551" s="6"/>
      <c r="H551" s="6"/>
      <c r="I551" s="6"/>
      <c r="J551" s="6" t="str">
        <f t="shared" si="4"/>
        <v>FAIL</v>
      </c>
      <c r="K551" s="7" t="str">
        <f t="shared" si="3"/>
        <v>FAIL</v>
      </c>
      <c r="L551" s="8"/>
    </row>
    <row r="552" ht="15.75" customHeight="1">
      <c r="A552" s="4" t="s">
        <v>623</v>
      </c>
      <c r="B552" s="5" t="s">
        <v>19</v>
      </c>
      <c r="C552" s="6"/>
      <c r="D552" s="6"/>
      <c r="E552" s="6"/>
      <c r="F552" s="6"/>
      <c r="G552" s="6"/>
      <c r="H552" s="6"/>
      <c r="I552" s="6"/>
      <c r="J552" s="6" t="str">
        <f t="shared" si="4"/>
        <v>FAIL</v>
      </c>
      <c r="K552" s="7" t="str">
        <f t="shared" si="3"/>
        <v>FAIL</v>
      </c>
      <c r="L552" s="8"/>
    </row>
    <row r="553" ht="15.75" customHeight="1">
      <c r="A553" s="4" t="s">
        <v>624</v>
      </c>
      <c r="B553" s="5" t="s">
        <v>19</v>
      </c>
      <c r="C553" s="6"/>
      <c r="D553" s="6"/>
      <c r="E553" s="6"/>
      <c r="F553" s="6"/>
      <c r="G553" s="6"/>
      <c r="H553" s="6"/>
      <c r="I553" s="6"/>
      <c r="J553" s="6" t="str">
        <f t="shared" si="4"/>
        <v>FAIL</v>
      </c>
      <c r="K553" s="7" t="str">
        <f t="shared" si="3"/>
        <v>FAIL</v>
      </c>
      <c r="L553" s="8"/>
    </row>
    <row r="554" ht="15.75" customHeight="1">
      <c r="A554" s="4" t="s">
        <v>625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4"/>
        <v/>
      </c>
      <c r="K554" s="7" t="str">
        <f t="shared" si="3"/>
        <v>FAIL</v>
      </c>
      <c r="L554" s="8"/>
    </row>
    <row r="555" ht="15.75" customHeight="1">
      <c r="A555" s="4" t="s">
        <v>626</v>
      </c>
      <c r="B555" s="5" t="s">
        <v>13</v>
      </c>
      <c r="C555" s="5" t="s">
        <v>16</v>
      </c>
      <c r="D555" s="5" t="s">
        <v>59</v>
      </c>
      <c r="E555" s="5" t="s">
        <v>15</v>
      </c>
      <c r="F555" s="5">
        <v>2.0</v>
      </c>
      <c r="G555" s="5" t="s">
        <v>19</v>
      </c>
      <c r="H555" s="5" t="s">
        <v>39</v>
      </c>
      <c r="I555" s="5" t="s">
        <v>17</v>
      </c>
      <c r="J555" s="6" t="str">
        <f t="shared" si="4"/>
        <v>FAIL</v>
      </c>
      <c r="K555" s="7" t="str">
        <f t="shared" si="3"/>
        <v>FAIL</v>
      </c>
      <c r="L555" s="8"/>
    </row>
    <row r="556" ht="15.75" customHeight="1">
      <c r="A556" s="4" t="s">
        <v>627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4"/>
        <v/>
      </c>
      <c r="K556" s="7" t="str">
        <f t="shared" si="3"/>
        <v>FAIL</v>
      </c>
      <c r="L556" s="8"/>
    </row>
    <row r="557" ht="15.75" customHeight="1">
      <c r="A557" s="4" t="s">
        <v>628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4"/>
        <v/>
      </c>
      <c r="K557" s="7" t="str">
        <f t="shared" si="3"/>
        <v>FAIL</v>
      </c>
      <c r="L557" s="8"/>
    </row>
    <row r="558" ht="15.75" customHeight="1">
      <c r="A558" s="4" t="s">
        <v>629</v>
      </c>
      <c r="B558" s="5" t="s">
        <v>19</v>
      </c>
      <c r="C558" s="6"/>
      <c r="D558" s="6"/>
      <c r="E558" s="6"/>
      <c r="F558" s="6"/>
      <c r="G558" s="6"/>
      <c r="H558" s="6"/>
      <c r="I558" s="6"/>
      <c r="J558" s="6" t="str">
        <f t="shared" si="4"/>
        <v>FAIL</v>
      </c>
      <c r="K558" s="7" t="str">
        <f t="shared" si="3"/>
        <v>FAIL</v>
      </c>
      <c r="L558" s="8"/>
    </row>
    <row r="559" ht="15.75" customHeight="1">
      <c r="A559" s="4" t="s">
        <v>630</v>
      </c>
      <c r="B559" s="5" t="s">
        <v>19</v>
      </c>
      <c r="C559" s="6"/>
      <c r="D559" s="6"/>
      <c r="E559" s="6"/>
      <c r="F559" s="6"/>
      <c r="G559" s="6"/>
      <c r="H559" s="6"/>
      <c r="I559" s="6"/>
      <c r="J559" s="6" t="str">
        <f t="shared" si="4"/>
        <v>FAIL</v>
      </c>
      <c r="K559" s="7" t="str">
        <f t="shared" si="3"/>
        <v>FAIL</v>
      </c>
      <c r="L559" s="8"/>
    </row>
    <row r="560" ht="15.75" customHeight="1">
      <c r="A560" s="4" t="s">
        <v>631</v>
      </c>
      <c r="B560" s="5" t="s">
        <v>19</v>
      </c>
      <c r="C560" s="6"/>
      <c r="D560" s="6"/>
      <c r="E560" s="6"/>
      <c r="F560" s="6"/>
      <c r="G560" s="6"/>
      <c r="H560" s="6"/>
      <c r="I560" s="6"/>
      <c r="J560" s="6" t="str">
        <f t="shared" si="4"/>
        <v>FAIL</v>
      </c>
      <c r="K560" s="7" t="str">
        <f t="shared" si="3"/>
        <v>FAIL</v>
      </c>
      <c r="L560" s="8"/>
    </row>
    <row r="561" ht="15.75" customHeight="1">
      <c r="A561" s="4" t="s">
        <v>632</v>
      </c>
      <c r="B561" s="5" t="s">
        <v>19</v>
      </c>
      <c r="C561" s="6"/>
      <c r="D561" s="6"/>
      <c r="E561" s="6"/>
      <c r="F561" s="6"/>
      <c r="G561" s="6"/>
      <c r="H561" s="6"/>
      <c r="I561" s="6"/>
      <c r="J561" s="6" t="str">
        <f t="shared" si="4"/>
        <v>FAIL</v>
      </c>
      <c r="K561" s="7" t="str">
        <f t="shared" si="3"/>
        <v>FAIL</v>
      </c>
      <c r="L561" s="8"/>
    </row>
    <row r="562" ht="15.75" customHeight="1">
      <c r="A562" s="4" t="s">
        <v>633</v>
      </c>
      <c r="B562" s="5" t="s">
        <v>19</v>
      </c>
      <c r="C562" s="6"/>
      <c r="D562" s="6"/>
      <c r="E562" s="6"/>
      <c r="F562" s="6"/>
      <c r="G562" s="6"/>
      <c r="H562" s="6"/>
      <c r="I562" s="6"/>
      <c r="J562" s="6" t="str">
        <f t="shared" si="4"/>
        <v>FAIL</v>
      </c>
      <c r="K562" s="7" t="str">
        <f t="shared" si="3"/>
        <v>FAIL</v>
      </c>
      <c r="L562" s="8"/>
    </row>
    <row r="563" ht="15.75" customHeight="1">
      <c r="A563" s="4" t="s">
        <v>634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4"/>
        <v/>
      </c>
      <c r="K563" s="7" t="str">
        <f t="shared" si="3"/>
        <v>FAIL</v>
      </c>
      <c r="L563" s="8"/>
    </row>
    <row r="564" ht="15.75" customHeight="1">
      <c r="A564" s="4" t="s">
        <v>635</v>
      </c>
      <c r="B564" s="5" t="s">
        <v>19</v>
      </c>
      <c r="C564" s="6"/>
      <c r="D564" s="6"/>
      <c r="E564" s="6"/>
      <c r="F564" s="6"/>
      <c r="G564" s="6"/>
      <c r="H564" s="6"/>
      <c r="I564" s="6"/>
      <c r="J564" s="6" t="str">
        <f t="shared" si="4"/>
        <v>FAIL</v>
      </c>
      <c r="K564" s="7" t="str">
        <f t="shared" si="3"/>
        <v>FAIL</v>
      </c>
      <c r="L564" s="8"/>
    </row>
    <row r="565" ht="15.75" customHeight="1">
      <c r="A565" s="4" t="s">
        <v>636</v>
      </c>
      <c r="B565" s="5" t="s">
        <v>19</v>
      </c>
      <c r="C565" s="6"/>
      <c r="D565" s="6"/>
      <c r="E565" s="6"/>
      <c r="F565" s="6"/>
      <c r="G565" s="6"/>
      <c r="H565" s="6"/>
      <c r="I565" s="6"/>
      <c r="J565" s="6" t="str">
        <f t="shared" si="4"/>
        <v>FAIL</v>
      </c>
      <c r="K565" s="7" t="str">
        <f t="shared" si="3"/>
        <v>FAIL</v>
      </c>
      <c r="L565" s="8"/>
    </row>
    <row r="566" ht="15.75" customHeight="1">
      <c r="A566" s="4" t="s">
        <v>637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4"/>
        <v/>
      </c>
      <c r="K566" s="7" t="str">
        <f t="shared" si="3"/>
        <v>FAIL</v>
      </c>
      <c r="L566" s="8"/>
    </row>
    <row r="567" ht="15.75" customHeight="1">
      <c r="A567" s="4" t="s">
        <v>638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4"/>
        <v/>
      </c>
      <c r="K567" s="7" t="str">
        <f t="shared" si="3"/>
        <v>FAIL</v>
      </c>
      <c r="L567" s="8"/>
    </row>
    <row r="568" ht="15.75" customHeight="1">
      <c r="A568" s="4" t="s">
        <v>639</v>
      </c>
      <c r="B568" s="5" t="s">
        <v>19</v>
      </c>
      <c r="C568" s="6"/>
      <c r="D568" s="6"/>
      <c r="E568" s="6"/>
      <c r="F568" s="6"/>
      <c r="G568" s="6"/>
      <c r="H568" s="6"/>
      <c r="I568" s="6"/>
      <c r="J568" s="6" t="str">
        <f t="shared" si="4"/>
        <v>FAIL</v>
      </c>
      <c r="K568" s="7" t="str">
        <f t="shared" si="3"/>
        <v>FAIL</v>
      </c>
      <c r="L568" s="8"/>
    </row>
    <row r="569" ht="15.75" customHeight="1">
      <c r="A569" s="4" t="s">
        <v>640</v>
      </c>
      <c r="B569" s="5" t="s">
        <v>13</v>
      </c>
      <c r="C569" s="5" t="s">
        <v>16</v>
      </c>
      <c r="D569" s="5" t="s">
        <v>59</v>
      </c>
      <c r="E569" s="5" t="s">
        <v>15</v>
      </c>
      <c r="F569" s="5">
        <v>1.0</v>
      </c>
      <c r="G569" s="5" t="s">
        <v>13</v>
      </c>
      <c r="H569" s="5" t="s">
        <v>16</v>
      </c>
      <c r="I569" s="5" t="s">
        <v>22</v>
      </c>
      <c r="J569" s="6" t="str">
        <f t="shared" si="4"/>
        <v>PASS</v>
      </c>
      <c r="K569" s="7" t="str">
        <f t="shared" si="3"/>
        <v>FAIL</v>
      </c>
      <c r="L569" s="8"/>
    </row>
    <row r="570" ht="15.75" customHeight="1">
      <c r="A570" s="4" t="s">
        <v>641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4"/>
        <v/>
      </c>
      <c r="K570" s="7" t="str">
        <f t="shared" si="3"/>
        <v>FAIL</v>
      </c>
      <c r="L570" s="8"/>
    </row>
    <row r="571" ht="15.75" customHeight="1">
      <c r="A571" s="4" t="s">
        <v>642</v>
      </c>
      <c r="B571" s="5" t="s">
        <v>19</v>
      </c>
      <c r="C571" s="6"/>
      <c r="D571" s="6"/>
      <c r="E571" s="6"/>
      <c r="F571" s="6"/>
      <c r="G571" s="6"/>
      <c r="H571" s="6"/>
      <c r="I571" s="6"/>
      <c r="J571" s="6" t="str">
        <f t="shared" si="4"/>
        <v>FAIL</v>
      </c>
      <c r="K571" s="7" t="str">
        <f t="shared" si="3"/>
        <v>FAIL</v>
      </c>
      <c r="L571" s="8"/>
    </row>
    <row r="572" ht="15.75" customHeight="1">
      <c r="A572" s="4" t="s">
        <v>643</v>
      </c>
      <c r="B572" s="5" t="s">
        <v>19</v>
      </c>
      <c r="C572" s="6"/>
      <c r="D572" s="6"/>
      <c r="E572" s="6"/>
      <c r="F572" s="6"/>
      <c r="G572" s="6"/>
      <c r="H572" s="6"/>
      <c r="I572" s="6"/>
      <c r="J572" s="6" t="str">
        <f t="shared" si="4"/>
        <v>FAIL</v>
      </c>
      <c r="K572" s="7" t="str">
        <f t="shared" si="3"/>
        <v>FAIL</v>
      </c>
      <c r="L572" s="8"/>
    </row>
    <row r="573" ht="15.75" customHeight="1">
      <c r="A573" s="4" t="s">
        <v>644</v>
      </c>
      <c r="B573" s="5" t="s">
        <v>19</v>
      </c>
      <c r="C573" s="6"/>
      <c r="D573" s="6"/>
      <c r="E573" s="6"/>
      <c r="F573" s="6"/>
      <c r="G573" s="6"/>
      <c r="H573" s="6"/>
      <c r="I573" s="6"/>
      <c r="J573" s="6" t="str">
        <f t="shared" si="4"/>
        <v>FAIL</v>
      </c>
      <c r="K573" s="7" t="str">
        <f t="shared" si="3"/>
        <v>FAIL</v>
      </c>
      <c r="L573" s="8"/>
    </row>
    <row r="574" ht="15.75" customHeight="1">
      <c r="A574" s="4" t="s">
        <v>645</v>
      </c>
      <c r="B574" s="5" t="s">
        <v>19</v>
      </c>
      <c r="C574" s="6"/>
      <c r="D574" s="6"/>
      <c r="E574" s="6"/>
      <c r="F574" s="6"/>
      <c r="G574" s="6"/>
      <c r="H574" s="6"/>
      <c r="I574" s="6"/>
      <c r="J574" s="6" t="str">
        <f t="shared" si="4"/>
        <v>FAIL</v>
      </c>
      <c r="K574" s="7" t="str">
        <f t="shared" si="3"/>
        <v>FAIL</v>
      </c>
      <c r="L574" s="8"/>
    </row>
    <row r="575" ht="15.75" customHeight="1">
      <c r="A575" s="4" t="s">
        <v>646</v>
      </c>
      <c r="B575" s="5" t="s">
        <v>13</v>
      </c>
      <c r="C575" s="5" t="s">
        <v>16</v>
      </c>
      <c r="D575" s="5" t="s">
        <v>59</v>
      </c>
      <c r="E575" s="5" t="s">
        <v>16</v>
      </c>
      <c r="F575" s="5">
        <v>2.0</v>
      </c>
      <c r="G575" s="5" t="s">
        <v>13</v>
      </c>
      <c r="H575" s="5" t="s">
        <v>39</v>
      </c>
      <c r="I575" s="5" t="s">
        <v>17</v>
      </c>
      <c r="J575" s="6" t="str">
        <f t="shared" si="4"/>
        <v>FAIL</v>
      </c>
      <c r="K575" s="10" t="s">
        <v>309</v>
      </c>
      <c r="L575" s="8"/>
    </row>
    <row r="576" ht="15.75" customHeight="1">
      <c r="A576" s="4" t="s">
        <v>647</v>
      </c>
      <c r="B576" s="5" t="s">
        <v>19</v>
      </c>
      <c r="C576" s="6"/>
      <c r="D576" s="6"/>
      <c r="E576" s="6"/>
      <c r="F576" s="6"/>
      <c r="G576" s="6"/>
      <c r="H576" s="6"/>
      <c r="I576" s="6"/>
      <c r="J576" s="6" t="str">
        <f t="shared" si="4"/>
        <v>FAIL</v>
      </c>
      <c r="K576" s="7" t="str">
        <f t="shared" ref="K576:K645" si="5">IF(AND(
  $J576="FAIL",
  $B576="Yes",
  OR($C576="Decreasing",$D576="Decreasing"),
  $E576&lt;&gt;"Increasing",
  IFERROR(VALUE($F576)&lt;=2,FALSE),
  $H576&lt;&gt;"Declining",
  OR($I576="Medium",$I576="Large")
),"PASS","FAIL")</f>
        <v>FAIL</v>
      </c>
      <c r="L576" s="8"/>
    </row>
    <row r="577" ht="15.75" customHeight="1">
      <c r="A577" s="4" t="s">
        <v>648</v>
      </c>
      <c r="B577" s="5" t="s">
        <v>19</v>
      </c>
      <c r="C577" s="6"/>
      <c r="D577" s="6"/>
      <c r="E577" s="6"/>
      <c r="F577" s="6"/>
      <c r="G577" s="6"/>
      <c r="H577" s="6"/>
      <c r="I577" s="6"/>
      <c r="J577" s="6" t="str">
        <f t="shared" si="4"/>
        <v>FAIL</v>
      </c>
      <c r="K577" s="7" t="str">
        <f t="shared" si="5"/>
        <v>FAIL</v>
      </c>
      <c r="L577" s="8"/>
    </row>
    <row r="578" ht="15.75" customHeight="1">
      <c r="A578" s="4" t="s">
        <v>649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4"/>
        <v/>
      </c>
      <c r="K578" s="7" t="str">
        <f t="shared" si="5"/>
        <v>FAIL</v>
      </c>
      <c r="L578" s="8"/>
    </row>
    <row r="579" ht="15.75" customHeight="1">
      <c r="A579" s="4" t="s">
        <v>650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4"/>
        <v/>
      </c>
      <c r="K579" s="7" t="str">
        <f t="shared" si="5"/>
        <v>FAIL</v>
      </c>
      <c r="L579" s="8"/>
    </row>
    <row r="580" ht="15.75" customHeight="1">
      <c r="A580" s="4" t="s">
        <v>651</v>
      </c>
      <c r="B580" s="5" t="s">
        <v>19</v>
      </c>
      <c r="C580" s="6"/>
      <c r="D580" s="6"/>
      <c r="E580" s="6"/>
      <c r="F580" s="6"/>
      <c r="G580" s="6"/>
      <c r="H580" s="6"/>
      <c r="I580" s="6"/>
      <c r="J580" s="6" t="str">
        <f t="shared" si="4"/>
        <v>FAIL</v>
      </c>
      <c r="K580" s="7" t="str">
        <f t="shared" si="5"/>
        <v>FAIL</v>
      </c>
      <c r="L580" s="8"/>
    </row>
    <row r="581" ht="15.75" customHeight="1">
      <c r="A581" s="11" t="s">
        <v>652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4"/>
        <v/>
      </c>
      <c r="K581" s="7" t="str">
        <f t="shared" si="5"/>
        <v>FAIL</v>
      </c>
      <c r="L581" s="8"/>
    </row>
    <row r="582" ht="15.75" customHeight="1">
      <c r="A582" s="4" t="s">
        <v>653</v>
      </c>
      <c r="B582" s="5" t="s">
        <v>19</v>
      </c>
      <c r="C582" s="6"/>
      <c r="D582" s="6"/>
      <c r="E582" s="6"/>
      <c r="F582" s="6"/>
      <c r="G582" s="6"/>
      <c r="H582" s="6"/>
      <c r="I582" s="6"/>
      <c r="J582" s="6" t="str">
        <f t="shared" si="4"/>
        <v>FAIL</v>
      </c>
      <c r="K582" s="7" t="str">
        <f t="shared" si="5"/>
        <v>FAIL</v>
      </c>
      <c r="L582" s="8"/>
    </row>
    <row r="583" ht="15.75" customHeight="1">
      <c r="A583" s="4" t="s">
        <v>654</v>
      </c>
      <c r="B583" s="5" t="s">
        <v>19</v>
      </c>
      <c r="C583" s="6"/>
      <c r="D583" s="6"/>
      <c r="E583" s="6"/>
      <c r="F583" s="6"/>
      <c r="G583" s="6"/>
      <c r="H583" s="6"/>
      <c r="I583" s="6"/>
      <c r="J583" s="6" t="str">
        <f t="shared" si="4"/>
        <v>FAIL</v>
      </c>
      <c r="K583" s="7" t="str">
        <f t="shared" si="5"/>
        <v>FAIL</v>
      </c>
      <c r="L583" s="8"/>
    </row>
    <row r="584" ht="15.75" customHeight="1">
      <c r="A584" s="4" t="s">
        <v>655</v>
      </c>
      <c r="B584" s="5" t="s">
        <v>19</v>
      </c>
      <c r="C584" s="6"/>
      <c r="D584" s="6"/>
      <c r="E584" s="6"/>
      <c r="F584" s="6"/>
      <c r="G584" s="6"/>
      <c r="H584" s="6"/>
      <c r="I584" s="6"/>
      <c r="J584" s="6" t="str">
        <f t="shared" si="4"/>
        <v>FAIL</v>
      </c>
      <c r="K584" s="7" t="str">
        <f t="shared" si="5"/>
        <v>FAIL</v>
      </c>
      <c r="L584" s="8"/>
    </row>
    <row r="585" ht="15.75" customHeight="1">
      <c r="A585" s="4" t="s">
        <v>656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4"/>
        <v/>
      </c>
      <c r="K585" s="7" t="str">
        <f t="shared" si="5"/>
        <v>FAIL</v>
      </c>
      <c r="L585" s="8"/>
    </row>
    <row r="586" ht="15.75" customHeight="1">
      <c r="A586" s="4" t="s">
        <v>657</v>
      </c>
      <c r="B586" s="5" t="s">
        <v>19</v>
      </c>
      <c r="C586" s="6"/>
      <c r="D586" s="6"/>
      <c r="E586" s="6"/>
      <c r="F586" s="6"/>
      <c r="G586" s="6"/>
      <c r="H586" s="6"/>
      <c r="I586" s="6"/>
      <c r="J586" s="6" t="str">
        <f t="shared" si="4"/>
        <v>FAIL</v>
      </c>
      <c r="K586" s="7" t="str">
        <f t="shared" si="5"/>
        <v>FAIL</v>
      </c>
      <c r="L586" s="8"/>
    </row>
    <row r="587" ht="15.75" customHeight="1">
      <c r="A587" s="4" t="s">
        <v>658</v>
      </c>
      <c r="B587" s="5" t="s">
        <v>19</v>
      </c>
      <c r="C587" s="6"/>
      <c r="D587" s="6"/>
      <c r="E587" s="6"/>
      <c r="F587" s="6"/>
      <c r="G587" s="6"/>
      <c r="H587" s="6"/>
      <c r="I587" s="6"/>
      <c r="J587" s="6" t="str">
        <f t="shared" si="4"/>
        <v>FAIL</v>
      </c>
      <c r="K587" s="7" t="str">
        <f t="shared" si="5"/>
        <v>FAIL</v>
      </c>
      <c r="L587" s="8"/>
    </row>
    <row r="588" ht="15.75" customHeight="1">
      <c r="A588" s="4" t="s">
        <v>659</v>
      </c>
      <c r="B588" s="5" t="s">
        <v>19</v>
      </c>
      <c r="C588" s="6"/>
      <c r="D588" s="6"/>
      <c r="E588" s="6"/>
      <c r="F588" s="6"/>
      <c r="G588" s="6"/>
      <c r="H588" s="6"/>
      <c r="I588" s="6"/>
      <c r="J588" s="6" t="str">
        <f t="shared" si="4"/>
        <v>FAIL</v>
      </c>
      <c r="K588" s="7" t="str">
        <f t="shared" si="5"/>
        <v>FAIL</v>
      </c>
      <c r="L588" s="8"/>
    </row>
    <row r="589" ht="15.75" customHeight="1">
      <c r="A589" s="4" t="s">
        <v>660</v>
      </c>
      <c r="B589" s="5" t="s">
        <v>19</v>
      </c>
      <c r="C589" s="6"/>
      <c r="D589" s="6"/>
      <c r="E589" s="6"/>
      <c r="F589" s="6"/>
      <c r="G589" s="6"/>
      <c r="H589" s="6"/>
      <c r="I589" s="6"/>
      <c r="J589" s="6" t="str">
        <f t="shared" si="4"/>
        <v>FAIL</v>
      </c>
      <c r="K589" s="7" t="str">
        <f t="shared" si="5"/>
        <v>FAIL</v>
      </c>
      <c r="L589" s="8"/>
    </row>
    <row r="590" ht="15.75" customHeight="1">
      <c r="A590" s="4" t="s">
        <v>661</v>
      </c>
      <c r="B590" s="5" t="s">
        <v>19</v>
      </c>
      <c r="C590" s="6"/>
      <c r="D590" s="6"/>
      <c r="E590" s="6"/>
      <c r="F590" s="6"/>
      <c r="G590" s="6"/>
      <c r="H590" s="6"/>
      <c r="I590" s="6"/>
      <c r="J590" s="6" t="str">
        <f t="shared" si="4"/>
        <v>FAIL</v>
      </c>
      <c r="K590" s="7" t="str">
        <f t="shared" si="5"/>
        <v>FAIL</v>
      </c>
      <c r="L590" s="8"/>
    </row>
    <row r="591" ht="15.75" customHeight="1">
      <c r="A591" s="4" t="s">
        <v>662</v>
      </c>
      <c r="B591" s="5" t="s">
        <v>19</v>
      </c>
      <c r="C591" s="6"/>
      <c r="D591" s="6"/>
      <c r="E591" s="6"/>
      <c r="F591" s="6"/>
      <c r="G591" s="6"/>
      <c r="H591" s="6"/>
      <c r="I591" s="6"/>
      <c r="J591" s="6" t="str">
        <f t="shared" si="4"/>
        <v>FAIL</v>
      </c>
      <c r="K591" s="7" t="str">
        <f t="shared" si="5"/>
        <v>FAIL</v>
      </c>
      <c r="L591" s="8"/>
    </row>
    <row r="592" ht="15.75" customHeight="1">
      <c r="A592" s="4" t="s">
        <v>663</v>
      </c>
      <c r="B592" s="5" t="s">
        <v>19</v>
      </c>
      <c r="C592" s="6"/>
      <c r="D592" s="6"/>
      <c r="E592" s="6"/>
      <c r="F592" s="6"/>
      <c r="G592" s="6"/>
      <c r="H592" s="6"/>
      <c r="I592" s="6"/>
      <c r="J592" s="6" t="str">
        <f t="shared" si="4"/>
        <v>FAIL</v>
      </c>
      <c r="K592" s="7" t="str">
        <f t="shared" si="5"/>
        <v>FAIL</v>
      </c>
      <c r="L592" s="8"/>
    </row>
    <row r="593" ht="15.75" customHeight="1">
      <c r="A593" s="4" t="s">
        <v>664</v>
      </c>
      <c r="B593" s="5" t="s">
        <v>19</v>
      </c>
      <c r="C593" s="6"/>
      <c r="D593" s="6"/>
      <c r="E593" s="6"/>
      <c r="F593" s="6"/>
      <c r="G593" s="6"/>
      <c r="H593" s="6"/>
      <c r="I593" s="6"/>
      <c r="J593" s="6" t="str">
        <f t="shared" si="4"/>
        <v>FAIL</v>
      </c>
      <c r="K593" s="7" t="str">
        <f t="shared" si="5"/>
        <v>FAIL</v>
      </c>
      <c r="L593" s="8"/>
    </row>
    <row r="594" ht="15.75" customHeight="1">
      <c r="A594" s="4" t="s">
        <v>665</v>
      </c>
      <c r="B594" s="5" t="s">
        <v>19</v>
      </c>
      <c r="C594" s="6"/>
      <c r="D594" s="6"/>
      <c r="E594" s="6"/>
      <c r="F594" s="6"/>
      <c r="G594" s="6"/>
      <c r="H594" s="6"/>
      <c r="I594" s="6"/>
      <c r="J594" s="6" t="str">
        <f t="shared" si="4"/>
        <v>FAIL</v>
      </c>
      <c r="K594" s="7" t="str">
        <f t="shared" si="5"/>
        <v>FAIL</v>
      </c>
      <c r="L594" s="8"/>
    </row>
    <row r="595" ht="15.75" customHeight="1">
      <c r="A595" s="4" t="s">
        <v>666</v>
      </c>
      <c r="B595" s="5" t="s">
        <v>19</v>
      </c>
      <c r="C595" s="6"/>
      <c r="D595" s="6"/>
      <c r="E595" s="6"/>
      <c r="F595" s="6"/>
      <c r="G595" s="6"/>
      <c r="H595" s="6"/>
      <c r="I595" s="6"/>
      <c r="J595" s="6" t="str">
        <f t="shared" si="4"/>
        <v>FAIL</v>
      </c>
      <c r="K595" s="7" t="str">
        <f t="shared" si="5"/>
        <v>FAIL</v>
      </c>
      <c r="L595" s="8"/>
    </row>
    <row r="596" ht="15.75" customHeight="1">
      <c r="A596" s="4" t="s">
        <v>667</v>
      </c>
      <c r="B596" s="5" t="s">
        <v>19</v>
      </c>
      <c r="C596" s="6"/>
      <c r="D596" s="6"/>
      <c r="E596" s="6"/>
      <c r="F596" s="6"/>
      <c r="G596" s="6"/>
      <c r="H596" s="6"/>
      <c r="I596" s="6"/>
      <c r="J596" s="6" t="str">
        <f t="shared" si="4"/>
        <v>FAIL</v>
      </c>
      <c r="K596" s="7" t="str">
        <f t="shared" si="5"/>
        <v>FAIL</v>
      </c>
      <c r="L596" s="8"/>
    </row>
    <row r="597" ht="15.75" customHeight="1">
      <c r="A597" s="4" t="s">
        <v>668</v>
      </c>
      <c r="B597" s="5" t="s">
        <v>19</v>
      </c>
      <c r="C597" s="6"/>
      <c r="D597" s="6"/>
      <c r="E597" s="6"/>
      <c r="F597" s="6"/>
      <c r="G597" s="6"/>
      <c r="H597" s="6"/>
      <c r="I597" s="6"/>
      <c r="J597" s="6" t="str">
        <f t="shared" si="4"/>
        <v>FAIL</v>
      </c>
      <c r="K597" s="7" t="str">
        <f t="shared" si="5"/>
        <v>FAIL</v>
      </c>
      <c r="L597" s="8"/>
    </row>
    <row r="598" ht="15.75" customHeight="1">
      <c r="A598" s="4" t="s">
        <v>669</v>
      </c>
      <c r="B598" s="5" t="s">
        <v>13</v>
      </c>
      <c r="C598" s="5" t="s">
        <v>14</v>
      </c>
      <c r="D598" s="5" t="s">
        <v>59</v>
      </c>
      <c r="E598" s="5" t="s">
        <v>16</v>
      </c>
      <c r="F598" s="5">
        <v>1.0</v>
      </c>
      <c r="G598" s="5" t="s">
        <v>13</v>
      </c>
      <c r="H598" s="5" t="s">
        <v>21</v>
      </c>
      <c r="I598" s="5" t="s">
        <v>22</v>
      </c>
      <c r="J598" s="6" t="str">
        <f t="shared" si="4"/>
        <v>PASS</v>
      </c>
      <c r="K598" s="7" t="str">
        <f t="shared" si="5"/>
        <v>FAIL</v>
      </c>
      <c r="L598" s="8"/>
    </row>
    <row r="599" ht="15.75" customHeight="1">
      <c r="A599" s="4" t="s">
        <v>670</v>
      </c>
      <c r="B599" s="5" t="s">
        <v>19</v>
      </c>
      <c r="C599" s="6"/>
      <c r="D599" s="6"/>
      <c r="E599" s="6"/>
      <c r="F599" s="6"/>
      <c r="G599" s="6"/>
      <c r="H599" s="6"/>
      <c r="I599" s="6"/>
      <c r="J599" s="6" t="str">
        <f t="shared" si="4"/>
        <v>FAIL</v>
      </c>
      <c r="K599" s="7" t="str">
        <f t="shared" si="5"/>
        <v>FAIL</v>
      </c>
      <c r="L599" s="8"/>
    </row>
    <row r="600" ht="15.75" customHeight="1">
      <c r="A600" s="4" t="s">
        <v>671</v>
      </c>
      <c r="B600" s="5" t="s">
        <v>19</v>
      </c>
      <c r="C600" s="6"/>
      <c r="D600" s="6"/>
      <c r="E600" s="6"/>
      <c r="F600" s="6"/>
      <c r="G600" s="6"/>
      <c r="H600" s="6"/>
      <c r="I600" s="6"/>
      <c r="J600" s="6" t="str">
        <f t="shared" si="4"/>
        <v>FAIL</v>
      </c>
      <c r="K600" s="7" t="str">
        <f t="shared" si="5"/>
        <v>FAIL</v>
      </c>
      <c r="L600" s="8"/>
    </row>
    <row r="601" ht="15.75" customHeight="1">
      <c r="A601" s="4" t="s">
        <v>672</v>
      </c>
      <c r="B601" s="5" t="s">
        <v>19</v>
      </c>
      <c r="C601" s="6"/>
      <c r="D601" s="6"/>
      <c r="E601" s="6"/>
      <c r="F601" s="6"/>
      <c r="G601" s="6"/>
      <c r="H601" s="6"/>
      <c r="I601" s="6"/>
      <c r="J601" s="6" t="str">
        <f t="shared" si="4"/>
        <v>FAIL</v>
      </c>
      <c r="K601" s="7" t="str">
        <f t="shared" si="5"/>
        <v>FAIL</v>
      </c>
      <c r="L601" s="8"/>
    </row>
    <row r="602" ht="15.75" customHeight="1">
      <c r="A602" s="4" t="s">
        <v>673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4"/>
        <v/>
      </c>
      <c r="K602" s="7" t="str">
        <f t="shared" si="5"/>
        <v>FAIL</v>
      </c>
      <c r="L602" s="8"/>
    </row>
    <row r="603" ht="15.75" customHeight="1">
      <c r="A603" s="4" t="s">
        <v>674</v>
      </c>
      <c r="B603" s="5" t="s">
        <v>19</v>
      </c>
      <c r="C603" s="6"/>
      <c r="D603" s="6"/>
      <c r="E603" s="6"/>
      <c r="F603" s="6"/>
      <c r="G603" s="6"/>
      <c r="H603" s="6"/>
      <c r="I603" s="6"/>
      <c r="J603" s="6" t="str">
        <f t="shared" si="4"/>
        <v>FAIL</v>
      </c>
      <c r="K603" s="7" t="str">
        <f t="shared" si="5"/>
        <v>FAIL</v>
      </c>
      <c r="L603" s="8"/>
    </row>
    <row r="604" ht="15.75" customHeight="1">
      <c r="A604" s="4" t="s">
        <v>675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4"/>
        <v/>
      </c>
      <c r="K604" s="7" t="str">
        <f t="shared" si="5"/>
        <v>FAIL</v>
      </c>
      <c r="L604" s="8"/>
    </row>
    <row r="605" ht="15.75" customHeight="1">
      <c r="A605" s="11" t="s">
        <v>676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4"/>
        <v/>
      </c>
      <c r="K605" s="7" t="str">
        <f t="shared" si="5"/>
        <v>FAIL</v>
      </c>
      <c r="L605" s="8"/>
    </row>
    <row r="606" ht="15.75" customHeight="1">
      <c r="A606" s="4" t="s">
        <v>677</v>
      </c>
      <c r="B606" s="5" t="s">
        <v>19</v>
      </c>
      <c r="C606" s="6"/>
      <c r="D606" s="6"/>
      <c r="E606" s="6"/>
      <c r="F606" s="6"/>
      <c r="G606" s="6"/>
      <c r="H606" s="6"/>
      <c r="I606" s="6"/>
      <c r="J606" s="6" t="str">
        <f t="shared" si="4"/>
        <v>FAIL</v>
      </c>
      <c r="K606" s="7" t="str">
        <f t="shared" si="5"/>
        <v>FAIL</v>
      </c>
      <c r="L606" s="8"/>
    </row>
    <row r="607" ht="15.75" customHeight="1">
      <c r="A607" s="4" t="s">
        <v>678</v>
      </c>
      <c r="B607" s="5" t="s">
        <v>19</v>
      </c>
      <c r="C607" s="6"/>
      <c r="D607" s="6"/>
      <c r="E607" s="6"/>
      <c r="F607" s="6"/>
      <c r="G607" s="6"/>
      <c r="H607" s="6"/>
      <c r="I607" s="6"/>
      <c r="J607" s="6" t="str">
        <f t="shared" si="4"/>
        <v>FAIL</v>
      </c>
      <c r="K607" s="7" t="str">
        <f t="shared" si="5"/>
        <v>FAIL</v>
      </c>
      <c r="L607" s="8"/>
    </row>
    <row r="608" ht="15.75" customHeight="1">
      <c r="A608" s="4" t="s">
        <v>679</v>
      </c>
      <c r="B608" s="5" t="s">
        <v>19</v>
      </c>
      <c r="C608" s="6"/>
      <c r="D608" s="6"/>
      <c r="E608" s="6"/>
      <c r="F608" s="6"/>
      <c r="G608" s="6"/>
      <c r="H608" s="6"/>
      <c r="I608" s="6"/>
      <c r="J608" s="6" t="str">
        <f t="shared" si="4"/>
        <v>FAIL</v>
      </c>
      <c r="K608" s="7" t="str">
        <f t="shared" si="5"/>
        <v>FAIL</v>
      </c>
      <c r="L608" s="8"/>
    </row>
    <row r="609" ht="15.75" customHeight="1">
      <c r="A609" s="4" t="s">
        <v>680</v>
      </c>
      <c r="B609" s="5" t="s">
        <v>19</v>
      </c>
      <c r="C609" s="6"/>
      <c r="D609" s="6"/>
      <c r="E609" s="6"/>
      <c r="F609" s="6"/>
      <c r="G609" s="6"/>
      <c r="H609" s="6"/>
      <c r="I609" s="6"/>
      <c r="J609" s="6" t="str">
        <f t="shared" si="4"/>
        <v>FAIL</v>
      </c>
      <c r="K609" s="7" t="str">
        <f t="shared" si="5"/>
        <v>FAIL</v>
      </c>
      <c r="L609" s="8"/>
    </row>
    <row r="610" ht="15.75" customHeight="1">
      <c r="A610" s="4" t="s">
        <v>681</v>
      </c>
      <c r="B610" s="5" t="s">
        <v>19</v>
      </c>
      <c r="C610" s="6"/>
      <c r="D610" s="6"/>
      <c r="E610" s="6"/>
      <c r="F610" s="6"/>
      <c r="G610" s="6"/>
      <c r="H610" s="6"/>
      <c r="I610" s="6"/>
      <c r="J610" s="6" t="str">
        <f t="shared" si="4"/>
        <v>FAIL</v>
      </c>
      <c r="K610" s="7" t="str">
        <f t="shared" si="5"/>
        <v>FAIL</v>
      </c>
      <c r="L610" s="8"/>
    </row>
    <row r="611" ht="15.75" customHeight="1">
      <c r="A611" s="4" t="s">
        <v>682</v>
      </c>
      <c r="B611" s="5" t="s">
        <v>19</v>
      </c>
      <c r="C611" s="6"/>
      <c r="D611" s="6"/>
      <c r="E611" s="6"/>
      <c r="F611" s="6"/>
      <c r="G611" s="6"/>
      <c r="H611" s="6"/>
      <c r="I611" s="6"/>
      <c r="J611" s="6" t="str">
        <f t="shared" si="4"/>
        <v>FAIL</v>
      </c>
      <c r="K611" s="7" t="str">
        <f t="shared" si="5"/>
        <v>FAIL</v>
      </c>
      <c r="L611" s="8"/>
    </row>
    <row r="612" ht="15.75" customHeight="1">
      <c r="A612" s="4" t="s">
        <v>683</v>
      </c>
      <c r="B612" s="5" t="s">
        <v>19</v>
      </c>
      <c r="C612" s="6"/>
      <c r="D612" s="6"/>
      <c r="E612" s="6"/>
      <c r="F612" s="6"/>
      <c r="G612" s="6"/>
      <c r="H612" s="6"/>
      <c r="I612" s="6"/>
      <c r="J612" s="6" t="str">
        <f t="shared" si="4"/>
        <v>FAIL</v>
      </c>
      <c r="K612" s="7" t="str">
        <f t="shared" si="5"/>
        <v>FAIL</v>
      </c>
      <c r="L612" s="8"/>
    </row>
    <row r="613" ht="15.75" customHeight="1">
      <c r="A613" s="4" t="s">
        <v>684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4"/>
        <v/>
      </c>
      <c r="K613" s="7" t="str">
        <f t="shared" si="5"/>
        <v>FAIL</v>
      </c>
      <c r="L613" s="8"/>
    </row>
    <row r="614" ht="15.75" customHeight="1">
      <c r="A614" s="4" t="s">
        <v>685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4"/>
        <v/>
      </c>
      <c r="K614" s="7" t="str">
        <f t="shared" si="5"/>
        <v>FAIL</v>
      </c>
      <c r="L614" s="8"/>
    </row>
    <row r="615" ht="15.75" customHeight="1">
      <c r="A615" s="4" t="s">
        <v>686</v>
      </c>
      <c r="B615" s="5" t="s">
        <v>19</v>
      </c>
      <c r="C615" s="6"/>
      <c r="D615" s="6"/>
      <c r="E615" s="6"/>
      <c r="F615" s="6"/>
      <c r="G615" s="6"/>
      <c r="H615" s="6"/>
      <c r="I615" s="6"/>
      <c r="J615" s="6" t="str">
        <f t="shared" si="4"/>
        <v>FAIL</v>
      </c>
      <c r="K615" s="7" t="str">
        <f t="shared" si="5"/>
        <v>FAIL</v>
      </c>
      <c r="L615" s="8"/>
    </row>
    <row r="616" ht="15.75" customHeight="1">
      <c r="A616" s="4" t="s">
        <v>687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4"/>
        <v/>
      </c>
      <c r="K616" s="7" t="str">
        <f t="shared" si="5"/>
        <v>FAIL</v>
      </c>
      <c r="L616" s="8"/>
    </row>
    <row r="617" ht="15.75" customHeight="1">
      <c r="A617" s="4" t="s">
        <v>688</v>
      </c>
      <c r="B617" s="5" t="s">
        <v>19</v>
      </c>
      <c r="C617" s="6"/>
      <c r="D617" s="6"/>
      <c r="E617" s="6"/>
      <c r="F617" s="6"/>
      <c r="G617" s="6"/>
      <c r="H617" s="6"/>
      <c r="I617" s="6"/>
      <c r="J617" s="6" t="str">
        <f t="shared" si="4"/>
        <v>FAIL</v>
      </c>
      <c r="K617" s="7" t="str">
        <f t="shared" si="5"/>
        <v>FAIL</v>
      </c>
      <c r="L617" s="8"/>
    </row>
    <row r="618" ht="15.75" customHeight="1">
      <c r="A618" s="4" t="s">
        <v>689</v>
      </c>
      <c r="B618" s="5" t="s">
        <v>19</v>
      </c>
      <c r="C618" s="6"/>
      <c r="D618" s="6"/>
      <c r="E618" s="6"/>
      <c r="F618" s="6"/>
      <c r="G618" s="6"/>
      <c r="H618" s="6"/>
      <c r="I618" s="6"/>
      <c r="J618" s="6" t="str">
        <f t="shared" si="4"/>
        <v>FAIL</v>
      </c>
      <c r="K618" s="7" t="str">
        <f t="shared" si="5"/>
        <v>FAIL</v>
      </c>
      <c r="L618" s="8"/>
    </row>
    <row r="619" ht="15.75" customHeight="1">
      <c r="A619" s="4" t="s">
        <v>690</v>
      </c>
      <c r="B619" s="5" t="s">
        <v>19</v>
      </c>
      <c r="C619" s="6"/>
      <c r="D619" s="6"/>
      <c r="E619" s="6"/>
      <c r="F619" s="6"/>
      <c r="G619" s="6"/>
      <c r="H619" s="6"/>
      <c r="I619" s="6"/>
      <c r="J619" s="6" t="str">
        <f t="shared" si="4"/>
        <v>FAIL</v>
      </c>
      <c r="K619" s="7" t="str">
        <f t="shared" si="5"/>
        <v>FAIL</v>
      </c>
      <c r="L619" s="8"/>
    </row>
    <row r="620" ht="15.75" customHeight="1">
      <c r="A620" s="4" t="s">
        <v>691</v>
      </c>
      <c r="B620" s="5" t="s">
        <v>19</v>
      </c>
      <c r="C620" s="6"/>
      <c r="D620" s="6"/>
      <c r="E620" s="6"/>
      <c r="F620" s="6"/>
      <c r="G620" s="6"/>
      <c r="H620" s="6"/>
      <c r="I620" s="6"/>
      <c r="J620" s="6" t="str">
        <f t="shared" si="4"/>
        <v>FAIL</v>
      </c>
      <c r="K620" s="7" t="str">
        <f t="shared" si="5"/>
        <v>FAIL</v>
      </c>
      <c r="L620" s="8"/>
    </row>
    <row r="621" ht="15.75" customHeight="1">
      <c r="A621" s="11" t="s">
        <v>692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4"/>
        <v/>
      </c>
      <c r="K621" s="7" t="str">
        <f t="shared" si="5"/>
        <v>FAIL</v>
      </c>
      <c r="L621" s="8"/>
    </row>
    <row r="622" ht="15.75" customHeight="1">
      <c r="A622" s="4" t="s">
        <v>693</v>
      </c>
      <c r="B622" s="5" t="s">
        <v>19</v>
      </c>
      <c r="C622" s="6"/>
      <c r="D622" s="6"/>
      <c r="E622" s="6"/>
      <c r="F622" s="6"/>
      <c r="G622" s="6"/>
      <c r="H622" s="6"/>
      <c r="I622" s="6"/>
      <c r="J622" s="6" t="str">
        <f t="shared" si="4"/>
        <v>FAIL</v>
      </c>
      <c r="K622" s="7" t="str">
        <f t="shared" si="5"/>
        <v>FAIL</v>
      </c>
      <c r="L622" s="8"/>
    </row>
    <row r="623" ht="15.75" customHeight="1">
      <c r="A623" s="12" t="s">
        <v>694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4"/>
        <v/>
      </c>
      <c r="K623" s="7" t="str">
        <f t="shared" si="5"/>
        <v>FAIL</v>
      </c>
      <c r="L623" s="8"/>
    </row>
    <row r="624" ht="15.75" customHeight="1">
      <c r="A624" s="4" t="s">
        <v>695</v>
      </c>
      <c r="B624" s="5" t="s">
        <v>19</v>
      </c>
      <c r="C624" s="6"/>
      <c r="D624" s="6"/>
      <c r="E624" s="6"/>
      <c r="F624" s="6"/>
      <c r="G624" s="6"/>
      <c r="H624" s="6"/>
      <c r="I624" s="6"/>
      <c r="J624" s="6" t="str">
        <f t="shared" si="4"/>
        <v>FAIL</v>
      </c>
      <c r="K624" s="7" t="str">
        <f t="shared" si="5"/>
        <v>FAIL</v>
      </c>
      <c r="L624" s="8"/>
    </row>
    <row r="625" ht="15.75" customHeight="1">
      <c r="A625" s="4" t="s">
        <v>696</v>
      </c>
      <c r="B625" s="5" t="s">
        <v>19</v>
      </c>
      <c r="C625" s="6"/>
      <c r="D625" s="6"/>
      <c r="E625" s="6"/>
      <c r="F625" s="6"/>
      <c r="G625" s="6"/>
      <c r="H625" s="6"/>
      <c r="I625" s="6"/>
      <c r="J625" s="6" t="str">
        <f t="shared" si="4"/>
        <v>FAIL</v>
      </c>
      <c r="K625" s="7" t="str">
        <f t="shared" si="5"/>
        <v>FAIL</v>
      </c>
      <c r="L625" s="8"/>
    </row>
    <row r="626" ht="15.75" customHeight="1">
      <c r="A626" s="4" t="s">
        <v>697</v>
      </c>
      <c r="B626" s="5" t="s">
        <v>19</v>
      </c>
      <c r="C626" s="6"/>
      <c r="D626" s="6"/>
      <c r="E626" s="6"/>
      <c r="F626" s="6"/>
      <c r="G626" s="6"/>
      <c r="H626" s="6"/>
      <c r="I626" s="6"/>
      <c r="J626" s="6" t="str">
        <f t="shared" si="4"/>
        <v>FAIL</v>
      </c>
      <c r="K626" s="7" t="str">
        <f t="shared" si="5"/>
        <v>FAIL</v>
      </c>
      <c r="L626" s="8"/>
    </row>
    <row r="627" ht="15.75" customHeight="1">
      <c r="A627" s="4" t="s">
        <v>698</v>
      </c>
      <c r="B627" s="5" t="s">
        <v>19</v>
      </c>
      <c r="C627" s="6"/>
      <c r="D627" s="6"/>
      <c r="E627" s="6"/>
      <c r="F627" s="6"/>
      <c r="G627" s="6"/>
      <c r="H627" s="6"/>
      <c r="I627" s="6"/>
      <c r="J627" s="6" t="str">
        <f t="shared" si="4"/>
        <v>FAIL</v>
      </c>
      <c r="K627" s="7" t="str">
        <f t="shared" si="5"/>
        <v>FAIL</v>
      </c>
      <c r="L627" s="8"/>
    </row>
    <row r="628" ht="15.75" customHeight="1">
      <c r="A628" s="4" t="s">
        <v>699</v>
      </c>
      <c r="B628" s="5" t="s">
        <v>19</v>
      </c>
      <c r="C628" s="6"/>
      <c r="D628" s="6"/>
      <c r="E628" s="6"/>
      <c r="F628" s="6"/>
      <c r="G628" s="6"/>
      <c r="H628" s="6"/>
      <c r="I628" s="6"/>
      <c r="J628" s="6" t="str">
        <f t="shared" si="4"/>
        <v>FAIL</v>
      </c>
      <c r="K628" s="7" t="str">
        <f t="shared" si="5"/>
        <v>FAIL</v>
      </c>
      <c r="L628" s="8"/>
    </row>
    <row r="629" ht="15.75" customHeight="1">
      <c r="A629" s="4" t="s">
        <v>700</v>
      </c>
      <c r="B629" s="5" t="s">
        <v>19</v>
      </c>
      <c r="C629" s="6"/>
      <c r="D629" s="6"/>
      <c r="E629" s="6"/>
      <c r="F629" s="6"/>
      <c r="G629" s="6"/>
      <c r="H629" s="6"/>
      <c r="I629" s="6"/>
      <c r="J629" s="6" t="str">
        <f t="shared" si="4"/>
        <v>FAIL</v>
      </c>
      <c r="K629" s="7" t="str">
        <f t="shared" si="5"/>
        <v>FAIL</v>
      </c>
      <c r="L629" s="8"/>
    </row>
    <row r="630" ht="15.75" customHeight="1">
      <c r="A630" s="4" t="s">
        <v>701</v>
      </c>
      <c r="B630" s="5" t="s">
        <v>19</v>
      </c>
      <c r="C630" s="6"/>
      <c r="D630" s="6"/>
      <c r="E630" s="6"/>
      <c r="F630" s="6"/>
      <c r="G630" s="6"/>
      <c r="H630" s="6"/>
      <c r="I630" s="6"/>
      <c r="J630" s="6" t="str">
        <f t="shared" si="4"/>
        <v>FAIL</v>
      </c>
      <c r="K630" s="7" t="str">
        <f t="shared" si="5"/>
        <v>FAIL</v>
      </c>
      <c r="L630" s="8"/>
    </row>
    <row r="631" ht="15.75" customHeight="1">
      <c r="A631" s="4" t="s">
        <v>702</v>
      </c>
      <c r="B631" s="5" t="s">
        <v>13</v>
      </c>
      <c r="C631" s="5" t="s">
        <v>16</v>
      </c>
      <c r="D631" s="5" t="s">
        <v>59</v>
      </c>
      <c r="E631" s="5" t="s">
        <v>15</v>
      </c>
      <c r="F631" s="5">
        <v>2.0</v>
      </c>
      <c r="G631" s="5" t="s">
        <v>13</v>
      </c>
      <c r="H631" s="5" t="s">
        <v>16</v>
      </c>
      <c r="I631" s="5" t="s">
        <v>17</v>
      </c>
      <c r="J631" s="6" t="str">
        <f t="shared" si="4"/>
        <v>PASS</v>
      </c>
      <c r="K631" s="7" t="str">
        <f t="shared" si="5"/>
        <v>FAIL</v>
      </c>
      <c r="L631" s="8"/>
    </row>
    <row r="632" ht="15.75" customHeight="1">
      <c r="A632" s="4" t="s">
        <v>703</v>
      </c>
      <c r="B632" s="5" t="s">
        <v>19</v>
      </c>
      <c r="C632" s="6"/>
      <c r="D632" s="6"/>
      <c r="E632" s="6"/>
      <c r="F632" s="6"/>
      <c r="G632" s="6"/>
      <c r="H632" s="6"/>
      <c r="I632" s="6"/>
      <c r="J632" s="6" t="str">
        <f t="shared" si="4"/>
        <v>FAIL</v>
      </c>
      <c r="K632" s="7" t="str">
        <f t="shared" si="5"/>
        <v>FAIL</v>
      </c>
      <c r="L632" s="8"/>
    </row>
    <row r="633" ht="15.75" customHeight="1">
      <c r="A633" s="4" t="s">
        <v>704</v>
      </c>
      <c r="B633" s="5" t="s">
        <v>19</v>
      </c>
      <c r="C633" s="6"/>
      <c r="D633" s="6"/>
      <c r="E633" s="6"/>
      <c r="F633" s="6"/>
      <c r="G633" s="6"/>
      <c r="H633" s="6"/>
      <c r="I633" s="6"/>
      <c r="J633" s="6" t="str">
        <f t="shared" si="4"/>
        <v>FAIL</v>
      </c>
      <c r="K633" s="7" t="str">
        <f t="shared" si="5"/>
        <v>FAIL</v>
      </c>
      <c r="L633" s="8"/>
    </row>
    <row r="634" ht="15.75" customHeight="1">
      <c r="A634" s="4" t="s">
        <v>705</v>
      </c>
      <c r="B634" s="5" t="s">
        <v>19</v>
      </c>
      <c r="C634" s="6"/>
      <c r="D634" s="6"/>
      <c r="E634" s="6"/>
      <c r="F634" s="6"/>
      <c r="G634" s="6"/>
      <c r="H634" s="6"/>
      <c r="I634" s="6"/>
      <c r="J634" s="6" t="str">
        <f t="shared" si="4"/>
        <v>FAIL</v>
      </c>
      <c r="K634" s="7" t="str">
        <f t="shared" si="5"/>
        <v>FAIL</v>
      </c>
      <c r="L634" s="8"/>
    </row>
    <row r="635" ht="15.75" customHeight="1">
      <c r="A635" s="4" t="s">
        <v>706</v>
      </c>
      <c r="B635" s="5" t="s">
        <v>19</v>
      </c>
      <c r="C635" s="6"/>
      <c r="D635" s="6"/>
      <c r="E635" s="6"/>
      <c r="F635" s="6"/>
      <c r="G635" s="6"/>
      <c r="H635" s="6"/>
      <c r="I635" s="6"/>
      <c r="J635" s="6" t="str">
        <f t="shared" si="4"/>
        <v>FAIL</v>
      </c>
      <c r="K635" s="7" t="str">
        <f t="shared" si="5"/>
        <v>FAIL</v>
      </c>
      <c r="L635" s="8"/>
    </row>
    <row r="636" ht="15.75" customHeight="1">
      <c r="A636" s="4" t="s">
        <v>707</v>
      </c>
      <c r="B636" s="5" t="s">
        <v>19</v>
      </c>
      <c r="C636" s="6"/>
      <c r="D636" s="6"/>
      <c r="E636" s="6"/>
      <c r="F636" s="6"/>
      <c r="G636" s="6"/>
      <c r="H636" s="6"/>
      <c r="I636" s="6"/>
      <c r="J636" s="6" t="str">
        <f t="shared" si="4"/>
        <v>FAIL</v>
      </c>
      <c r="K636" s="7" t="str">
        <f t="shared" si="5"/>
        <v>FAIL</v>
      </c>
      <c r="L636" s="8"/>
    </row>
    <row r="637" ht="15.75" customHeight="1">
      <c r="A637" s="4" t="s">
        <v>708</v>
      </c>
      <c r="B637" s="5" t="s">
        <v>19</v>
      </c>
      <c r="C637" s="6"/>
      <c r="D637" s="6"/>
      <c r="E637" s="6"/>
      <c r="F637" s="6"/>
      <c r="G637" s="6"/>
      <c r="H637" s="6"/>
      <c r="I637" s="6"/>
      <c r="J637" s="6" t="str">
        <f t="shared" si="4"/>
        <v>FAIL</v>
      </c>
      <c r="K637" s="7" t="str">
        <f t="shared" si="5"/>
        <v>FAIL</v>
      </c>
      <c r="L637" s="8"/>
    </row>
    <row r="638" ht="15.75" customHeight="1">
      <c r="A638" s="11" t="s">
        <v>709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4"/>
        <v/>
      </c>
      <c r="K638" s="7" t="str">
        <f t="shared" si="5"/>
        <v>FAIL</v>
      </c>
      <c r="L638" s="8"/>
    </row>
    <row r="639" ht="15.75" customHeight="1">
      <c r="A639" s="4" t="s">
        <v>710</v>
      </c>
      <c r="B639" s="5" t="s">
        <v>19</v>
      </c>
      <c r="C639" s="6"/>
      <c r="D639" s="6"/>
      <c r="E639" s="6"/>
      <c r="F639" s="6"/>
      <c r="G639" s="6"/>
      <c r="H639" s="6"/>
      <c r="I639" s="6"/>
      <c r="J639" s="6" t="str">
        <f t="shared" si="4"/>
        <v>FAIL</v>
      </c>
      <c r="K639" s="7" t="str">
        <f t="shared" si="5"/>
        <v>FAIL</v>
      </c>
      <c r="L639" s="8"/>
    </row>
    <row r="640" ht="15.75" customHeight="1">
      <c r="A640" s="4" t="s">
        <v>711</v>
      </c>
      <c r="B640" s="5" t="s">
        <v>19</v>
      </c>
      <c r="C640" s="6"/>
      <c r="D640" s="6"/>
      <c r="E640" s="6"/>
      <c r="F640" s="6"/>
      <c r="G640" s="6"/>
      <c r="H640" s="6"/>
      <c r="I640" s="6"/>
      <c r="J640" s="6" t="str">
        <f t="shared" si="4"/>
        <v>FAIL</v>
      </c>
      <c r="K640" s="7" t="str">
        <f t="shared" si="5"/>
        <v>FAIL</v>
      </c>
      <c r="L640" s="8"/>
    </row>
    <row r="641" ht="15.75" customHeight="1">
      <c r="A641" s="4" t="s">
        <v>712</v>
      </c>
      <c r="B641" s="5" t="s">
        <v>19</v>
      </c>
      <c r="C641" s="6"/>
      <c r="D641" s="6"/>
      <c r="E641" s="6"/>
      <c r="F641" s="6"/>
      <c r="G641" s="6"/>
      <c r="H641" s="6"/>
      <c r="I641" s="6"/>
      <c r="J641" s="6" t="str">
        <f t="shared" si="4"/>
        <v>FAIL</v>
      </c>
      <c r="K641" s="7" t="str">
        <f t="shared" si="5"/>
        <v>FAIL</v>
      </c>
      <c r="L641" s="8"/>
    </row>
    <row r="642" ht="15.75" customHeight="1">
      <c r="A642" s="4" t="s">
        <v>713</v>
      </c>
      <c r="B642" s="5" t="s">
        <v>19</v>
      </c>
      <c r="C642" s="6"/>
      <c r="D642" s="6"/>
      <c r="E642" s="6"/>
      <c r="F642" s="6"/>
      <c r="G642" s="6"/>
      <c r="H642" s="6"/>
      <c r="I642" s="6"/>
      <c r="J642" s="6" t="str">
        <f t="shared" si="4"/>
        <v>FAIL</v>
      </c>
      <c r="K642" s="7" t="str">
        <f t="shared" si="5"/>
        <v>FAIL</v>
      </c>
      <c r="L642" s="8"/>
    </row>
    <row r="643" ht="15.75" customHeight="1">
      <c r="A643" s="4" t="s">
        <v>714</v>
      </c>
      <c r="B643" s="5" t="s">
        <v>19</v>
      </c>
      <c r="C643" s="6"/>
      <c r="D643" s="6"/>
      <c r="E643" s="6"/>
      <c r="F643" s="6"/>
      <c r="G643" s="6"/>
      <c r="H643" s="6"/>
      <c r="I643" s="6"/>
      <c r="J643" s="6" t="str">
        <f t="shared" si="4"/>
        <v>FAIL</v>
      </c>
      <c r="K643" s="7" t="str">
        <f t="shared" si="5"/>
        <v>FAIL</v>
      </c>
      <c r="L643" s="8"/>
    </row>
    <row r="644" ht="15.75" customHeight="1">
      <c r="A644" s="4" t="s">
        <v>715</v>
      </c>
      <c r="B644" s="5" t="s">
        <v>19</v>
      </c>
      <c r="C644" s="6"/>
      <c r="D644" s="6"/>
      <c r="E644" s="6"/>
      <c r="F644" s="6"/>
      <c r="G644" s="6"/>
      <c r="H644" s="6"/>
      <c r="I644" s="6"/>
      <c r="J644" s="6" t="str">
        <f t="shared" si="4"/>
        <v>FAIL</v>
      </c>
      <c r="K644" s="7" t="str">
        <f t="shared" si="5"/>
        <v>FAIL</v>
      </c>
      <c r="L644" s="8"/>
    </row>
    <row r="645" ht="15.75" customHeight="1">
      <c r="A645" s="4" t="s">
        <v>716</v>
      </c>
      <c r="B645" s="5" t="s">
        <v>19</v>
      </c>
      <c r="C645" s="6"/>
      <c r="D645" s="6"/>
      <c r="E645" s="6"/>
      <c r="F645" s="6"/>
      <c r="G645" s="6"/>
      <c r="H645" s="6"/>
      <c r="I645" s="6"/>
      <c r="J645" s="6" t="str">
        <f t="shared" si="4"/>
        <v>FAIL</v>
      </c>
      <c r="K645" s="7" t="str">
        <f t="shared" si="5"/>
        <v>FAIL</v>
      </c>
      <c r="L645" s="8"/>
    </row>
    <row r="646" ht="15.75" customHeight="1">
      <c r="K646" s="7"/>
      <c r="L646" s="8"/>
    </row>
    <row r="647" ht="15.75" customHeight="1">
      <c r="K647" s="7"/>
      <c r="L647" s="8"/>
    </row>
    <row r="648" ht="15.75" customHeight="1"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5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5.71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717</v>
      </c>
      <c r="C1" s="1" t="s">
        <v>718</v>
      </c>
      <c r="D1" s="13" t="s">
        <v>7</v>
      </c>
      <c r="E1" s="1" t="s">
        <v>11</v>
      </c>
      <c r="F1" s="1" t="s">
        <v>719</v>
      </c>
      <c r="G1" s="1" t="s">
        <v>720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>
      <c r="A2" s="6" t="str">
        <f>IFERROR(__xludf.DUMMYFUNCTION("FILTER('Phase 1'!A2:A645,'Phase 1'!K2:K645=""PASS"")"),"AirJoule Technologies Corporation (NASDAQCM:AIRJ)")</f>
        <v>AirJoule Technologies Corporation (NASDAQCM:AIRJ)</v>
      </c>
      <c r="B2" s="6"/>
      <c r="F2" s="10"/>
      <c r="G2" s="5" t="s">
        <v>721</v>
      </c>
    </row>
    <row r="3">
      <c r="A3" s="6" t="str">
        <f>IFERROR(__xludf.DUMMYFUNCTION("""COMPUTED_VALUE"""),"Beazer Homes USA, Inc. (NYSE:BZH)")</f>
        <v>Beazer Homes USA, Inc. (NYSE:BZH)</v>
      </c>
      <c r="B3" s="6"/>
      <c r="F3" s="10"/>
      <c r="G3" s="5" t="s">
        <v>721</v>
      </c>
    </row>
    <row r="4">
      <c r="A4" s="6" t="str">
        <f>IFERROR(__xludf.DUMMYFUNCTION("""COMPUTED_VALUE"""),"Calavo Growers, Inc. (NASDAQGS:CVGW)")</f>
        <v>Calavo Growers, Inc. (NASDAQGS:CVGW)</v>
      </c>
      <c r="B4" s="6"/>
      <c r="F4" s="10"/>
      <c r="G4" s="5" t="s">
        <v>721</v>
      </c>
    </row>
    <row r="5">
      <c r="A5" s="6" t="str">
        <f>IFERROR(__xludf.DUMMYFUNCTION("""COMPUTED_VALUE"""),"Coffee Holding Co., Inc. (NASDAQCM:JVA)")</f>
        <v>Coffee Holding Co., Inc. (NASDAQCM:JVA)</v>
      </c>
      <c r="B5" s="6"/>
      <c r="F5" s="10"/>
      <c r="G5" s="5" t="s">
        <v>721</v>
      </c>
    </row>
    <row r="6">
      <c r="A6" s="6" t="str">
        <f>IFERROR(__xludf.DUMMYFUNCTION("""COMPUTED_VALUE"""),"Good Times Restaurants Inc. (NASDAQCM:GTIM)")</f>
        <v>Good Times Restaurants Inc. (NASDAQCM:GTIM)</v>
      </c>
      <c r="B6" s="6"/>
      <c r="D6" s="9"/>
      <c r="F6" s="10"/>
      <c r="G6" s="5" t="s">
        <v>721</v>
      </c>
    </row>
    <row r="7">
      <c r="A7" s="6" t="str">
        <f>IFERROR(__xludf.DUMMYFUNCTION("""COMPUTED_VALUE"""),"Olaplex Holdings, Inc. (NASDAQGS:OLPX)")</f>
        <v>Olaplex Holdings, Inc. (NASDAQGS:OLPX)</v>
      </c>
      <c r="B7" s="6"/>
      <c r="F7" s="7"/>
      <c r="G7" s="5" t="s">
        <v>721</v>
      </c>
    </row>
    <row r="8">
      <c r="A8" s="6" t="str">
        <f>IFERROR(__xludf.DUMMYFUNCTION("""COMPUTED_VALUE"""),"The E.W. Scripps Company (NASDAQGS:SSP)")</f>
        <v>The E.W. Scripps Company (NASDAQGS:SSP)</v>
      </c>
      <c r="B8" s="6"/>
      <c r="F8" s="7"/>
      <c r="G8" s="5" t="s">
        <v>721</v>
      </c>
    </row>
    <row r="9">
      <c r="B9" s="6"/>
      <c r="F9" s="7"/>
    </row>
    <row r="10">
      <c r="B10" s="6"/>
      <c r="F10" s="7"/>
    </row>
    <row r="11">
      <c r="B11" s="6"/>
      <c r="F11" s="7"/>
    </row>
    <row r="12">
      <c r="B12" s="6"/>
      <c r="F12" s="7"/>
    </row>
    <row r="13">
      <c r="B13" s="6"/>
      <c r="F13" s="7"/>
    </row>
    <row r="14">
      <c r="B14" s="6"/>
      <c r="F14" s="7"/>
    </row>
    <row r="15">
      <c r="B15" s="6"/>
      <c r="F15" s="7"/>
    </row>
    <row r="16">
      <c r="B16" s="6"/>
      <c r="F16" s="7"/>
    </row>
    <row r="17">
      <c r="B17" s="6"/>
      <c r="F17" s="7"/>
    </row>
    <row r="18">
      <c r="B18" s="6"/>
      <c r="F18" s="7"/>
    </row>
    <row r="19">
      <c r="B19" s="6"/>
      <c r="F19" s="7"/>
    </row>
    <row r="20">
      <c r="B20" s="6"/>
      <c r="F20" s="7"/>
    </row>
    <row r="21">
      <c r="B21" s="6"/>
      <c r="F21" s="7"/>
    </row>
    <row r="22">
      <c r="B22" s="6"/>
      <c r="F22" s="7"/>
    </row>
    <row r="23">
      <c r="B23" s="6"/>
      <c r="F23" s="7"/>
    </row>
    <row r="24">
      <c r="B24" s="6"/>
      <c r="F24" s="7"/>
    </row>
    <row r="25">
      <c r="B25" s="6"/>
      <c r="F25" s="7"/>
    </row>
    <row r="26">
      <c r="B26" s="6"/>
      <c r="F26" s="7"/>
    </row>
    <row r="27">
      <c r="B27" s="6"/>
      <c r="F27" s="7"/>
    </row>
    <row r="28">
      <c r="B28" s="6"/>
      <c r="F28" s="7"/>
    </row>
    <row r="29">
      <c r="B29" s="6"/>
      <c r="F29" s="7"/>
    </row>
    <row r="30">
      <c r="B30" s="6"/>
      <c r="F30" s="7"/>
    </row>
    <row r="31">
      <c r="B31" s="6"/>
      <c r="F31" s="7"/>
    </row>
    <row r="32">
      <c r="B32" s="6"/>
      <c r="F32" s="7"/>
    </row>
    <row r="33">
      <c r="B33" s="6"/>
      <c r="F33" s="7"/>
    </row>
    <row r="34">
      <c r="B34" s="6"/>
      <c r="F34" s="7"/>
    </row>
    <row r="35">
      <c r="B35" s="6"/>
      <c r="F35" s="7"/>
    </row>
    <row r="36">
      <c r="B36" s="6"/>
      <c r="F36" s="7"/>
    </row>
    <row r="37">
      <c r="B37" s="6"/>
      <c r="F37" s="7"/>
    </row>
    <row r="38">
      <c r="B38" s="6"/>
      <c r="F38" s="7"/>
    </row>
    <row r="39">
      <c r="B39" s="6"/>
      <c r="F39" s="7"/>
    </row>
    <row r="40">
      <c r="B40" s="6"/>
      <c r="F40" s="7"/>
    </row>
    <row r="41">
      <c r="B41" s="6"/>
      <c r="F41" s="7"/>
    </row>
    <row r="42">
      <c r="B42" s="6"/>
      <c r="F42" s="7"/>
    </row>
    <row r="43">
      <c r="B43" s="6"/>
      <c r="F43" s="7"/>
    </row>
    <row r="44">
      <c r="B44" s="6"/>
      <c r="F44" s="7"/>
    </row>
    <row r="45">
      <c r="B45" s="6"/>
      <c r="F45" s="7"/>
    </row>
    <row r="46">
      <c r="B46" s="6"/>
      <c r="F46" s="7"/>
    </row>
    <row r="47">
      <c r="B47" s="6"/>
      <c r="F47" s="7"/>
    </row>
    <row r="48">
      <c r="B48" s="6"/>
      <c r="F48" s="7"/>
    </row>
    <row r="49">
      <c r="B49" s="6"/>
      <c r="F49" s="7"/>
    </row>
    <row r="50">
      <c r="B50" s="6"/>
      <c r="F50" s="7"/>
    </row>
    <row r="51">
      <c r="B51" s="6"/>
      <c r="F51" s="7"/>
    </row>
    <row r="52">
      <c r="B52" s="6"/>
      <c r="F52" s="7"/>
    </row>
    <row r="53">
      <c r="B53" s="6"/>
      <c r="F53" s="7"/>
    </row>
    <row r="54">
      <c r="B54" s="6"/>
      <c r="F54" s="7"/>
    </row>
    <row r="55">
      <c r="B55" s="6"/>
      <c r="F55" s="7"/>
    </row>
    <row r="56">
      <c r="B56" s="6"/>
      <c r="F56" s="7"/>
    </row>
    <row r="57">
      <c r="B57" s="6"/>
      <c r="F57" s="7"/>
    </row>
    <row r="58">
      <c r="B58" s="6"/>
      <c r="F58" s="7"/>
    </row>
    <row r="59">
      <c r="B59" s="6"/>
      <c r="F59" s="7"/>
    </row>
    <row r="60">
      <c r="B60" s="6"/>
      <c r="F60" s="7"/>
    </row>
    <row r="61">
      <c r="B61" s="6"/>
      <c r="F61" s="7"/>
    </row>
    <row r="62">
      <c r="B62" s="6"/>
      <c r="F62" s="7"/>
    </row>
    <row r="63">
      <c r="B63" s="6"/>
      <c r="F63" s="7"/>
    </row>
    <row r="64">
      <c r="B64" s="6"/>
      <c r="F64" s="7"/>
    </row>
    <row r="65">
      <c r="B65" s="6"/>
      <c r="F65" s="7"/>
    </row>
    <row r="66">
      <c r="B66" s="6"/>
      <c r="F66" s="7"/>
    </row>
    <row r="67">
      <c r="B67" s="6"/>
      <c r="F67" s="7"/>
    </row>
    <row r="68">
      <c r="B68" s="6"/>
      <c r="F68" s="7"/>
    </row>
    <row r="69">
      <c r="B69" s="6"/>
      <c r="F69" s="7"/>
    </row>
    <row r="70">
      <c r="B70" s="6"/>
      <c r="F70" s="7"/>
    </row>
    <row r="71">
      <c r="B71" s="6"/>
      <c r="F71" s="7"/>
    </row>
    <row r="72">
      <c r="B72" s="6"/>
      <c r="F72" s="7"/>
    </row>
    <row r="73">
      <c r="B73" s="6"/>
      <c r="F73" s="7"/>
    </row>
    <row r="74">
      <c r="B74" s="6"/>
      <c r="F74" s="7"/>
    </row>
    <row r="75">
      <c r="B75" s="6"/>
      <c r="F75" s="7"/>
    </row>
    <row r="76">
      <c r="B76" s="6"/>
      <c r="F76" s="7"/>
    </row>
    <row r="77">
      <c r="B77" s="6"/>
      <c r="F77" s="7"/>
    </row>
    <row r="78">
      <c r="B78" s="6"/>
      <c r="F78" s="7"/>
    </row>
    <row r="79">
      <c r="B79" s="6"/>
      <c r="F79" s="7"/>
    </row>
    <row r="80">
      <c r="B80" s="6"/>
      <c r="F80" s="7"/>
    </row>
    <row r="81">
      <c r="B81" s="6"/>
      <c r="F81" s="7"/>
    </row>
    <row r="82">
      <c r="B82" s="6"/>
      <c r="F82" s="7"/>
    </row>
    <row r="83">
      <c r="B83" s="6"/>
      <c r="F83" s="7"/>
    </row>
    <row r="84">
      <c r="B84" s="6"/>
      <c r="F84" s="7"/>
    </row>
    <row r="85">
      <c r="B85" s="6"/>
      <c r="F85" s="7"/>
    </row>
    <row r="86">
      <c r="B86" s="6"/>
      <c r="F86" s="7"/>
    </row>
    <row r="87">
      <c r="B87" s="6"/>
      <c r="F87" s="7"/>
    </row>
    <row r="88">
      <c r="B88" s="6"/>
      <c r="F88" s="7"/>
    </row>
    <row r="89">
      <c r="B89" s="6"/>
      <c r="F89" s="7"/>
    </row>
    <row r="90">
      <c r="B90" s="6"/>
      <c r="F90" s="7"/>
    </row>
    <row r="91">
      <c r="B91" s="6"/>
      <c r="F91" s="7"/>
    </row>
    <row r="92">
      <c r="B92" s="6"/>
      <c r="F92" s="7"/>
    </row>
    <row r="93">
      <c r="B93" s="6"/>
      <c r="F93" s="7"/>
    </row>
    <row r="94">
      <c r="B94" s="6"/>
      <c r="F94" s="7"/>
    </row>
    <row r="95">
      <c r="B95" s="6"/>
      <c r="F95" s="7"/>
    </row>
    <row r="96">
      <c r="B96" s="6"/>
      <c r="F96" s="7"/>
    </row>
    <row r="97">
      <c r="B97" s="6"/>
      <c r="F97" s="7"/>
    </row>
    <row r="98">
      <c r="B98" s="6"/>
      <c r="F98" s="7"/>
    </row>
    <row r="99">
      <c r="B99" s="6"/>
      <c r="F99" s="7"/>
    </row>
    <row r="100">
      <c r="B100" s="6"/>
      <c r="F100" s="7"/>
    </row>
    <row r="101">
      <c r="B101" s="6"/>
      <c r="F101" s="7"/>
    </row>
    <row r="102">
      <c r="B102" s="6"/>
      <c r="F102" s="7"/>
    </row>
    <row r="103">
      <c r="B103" s="6"/>
      <c r="F103" s="7"/>
    </row>
    <row r="104">
      <c r="B104" s="6"/>
      <c r="F104" s="7"/>
    </row>
    <row r="105">
      <c r="B105" s="6"/>
      <c r="F105" s="7"/>
    </row>
    <row r="106">
      <c r="B106" s="6"/>
      <c r="F106" s="7"/>
    </row>
    <row r="107">
      <c r="B107" s="6"/>
      <c r="F107" s="7"/>
    </row>
    <row r="108">
      <c r="B108" s="6"/>
      <c r="F108" s="7"/>
    </row>
    <row r="109">
      <c r="B109" s="6"/>
      <c r="F109" s="7"/>
    </row>
    <row r="110">
      <c r="B110" s="6"/>
      <c r="F110" s="7"/>
    </row>
    <row r="111">
      <c r="B111" s="6"/>
      <c r="F111" s="7"/>
    </row>
    <row r="112">
      <c r="B112" s="6"/>
      <c r="F112" s="7"/>
    </row>
    <row r="113">
      <c r="B113" s="6"/>
      <c r="F113" s="7"/>
    </row>
    <row r="114">
      <c r="B114" s="6"/>
      <c r="F114" s="7"/>
    </row>
    <row r="115">
      <c r="B115" s="6"/>
      <c r="F115" s="7"/>
    </row>
    <row r="116">
      <c r="B116" s="6"/>
      <c r="F116" s="7"/>
    </row>
    <row r="117">
      <c r="B117" s="6"/>
      <c r="F117" s="7"/>
    </row>
    <row r="118">
      <c r="B118" s="6"/>
      <c r="F118" s="7"/>
    </row>
    <row r="119">
      <c r="B119" s="6"/>
      <c r="F119" s="7"/>
    </row>
    <row r="120">
      <c r="B120" s="6"/>
      <c r="F120" s="7"/>
    </row>
    <row r="121">
      <c r="B121" s="6"/>
      <c r="F121" s="7"/>
    </row>
    <row r="122">
      <c r="B122" s="6"/>
      <c r="F122" s="7"/>
    </row>
    <row r="123">
      <c r="B123" s="6"/>
      <c r="F123" s="7"/>
    </row>
    <row r="124">
      <c r="B124" s="6"/>
      <c r="F124" s="7"/>
    </row>
    <row r="125">
      <c r="B125" s="6"/>
      <c r="F125" s="7"/>
    </row>
    <row r="126">
      <c r="B126" s="6"/>
      <c r="F126" s="7"/>
    </row>
    <row r="127">
      <c r="B127" s="6"/>
      <c r="F127" s="7"/>
    </row>
    <row r="128">
      <c r="B128" s="6"/>
      <c r="F128" s="7"/>
    </row>
    <row r="129">
      <c r="B129" s="6"/>
      <c r="F129" s="7"/>
    </row>
    <row r="130">
      <c r="B130" s="6"/>
      <c r="F130" s="7"/>
    </row>
    <row r="131">
      <c r="B131" s="6"/>
      <c r="F131" s="7"/>
    </row>
    <row r="132">
      <c r="B132" s="6"/>
      <c r="F132" s="7"/>
    </row>
    <row r="133">
      <c r="B133" s="6"/>
      <c r="F133" s="7"/>
    </row>
    <row r="134">
      <c r="B134" s="6"/>
      <c r="F134" s="7"/>
    </row>
    <row r="135">
      <c r="B135" s="6"/>
      <c r="F135" s="7"/>
    </row>
    <row r="136">
      <c r="B136" s="6"/>
      <c r="F136" s="7"/>
    </row>
    <row r="137">
      <c r="B137" s="6"/>
      <c r="F137" s="7"/>
    </row>
    <row r="138">
      <c r="B138" s="6"/>
      <c r="F138" s="7"/>
    </row>
    <row r="139">
      <c r="B139" s="6"/>
      <c r="F139" s="7"/>
    </row>
    <row r="140">
      <c r="B140" s="6"/>
      <c r="F140" s="7"/>
    </row>
    <row r="141">
      <c r="B141" s="6"/>
      <c r="F141" s="7"/>
    </row>
    <row r="142">
      <c r="B142" s="6"/>
      <c r="F142" s="7"/>
    </row>
    <row r="143">
      <c r="B143" s="6"/>
      <c r="F143" s="7"/>
    </row>
    <row r="144">
      <c r="B144" s="6"/>
      <c r="F144" s="7"/>
    </row>
    <row r="145">
      <c r="B145" s="6"/>
      <c r="F145" s="7"/>
    </row>
    <row r="146">
      <c r="B146" s="6"/>
      <c r="F146" s="7"/>
    </row>
    <row r="147">
      <c r="B147" s="6"/>
      <c r="F147" s="7"/>
    </row>
    <row r="148">
      <c r="B148" s="6"/>
      <c r="F148" s="7"/>
    </row>
    <row r="149">
      <c r="B149" s="6"/>
      <c r="F149" s="7"/>
    </row>
    <row r="150">
      <c r="B150" s="6"/>
      <c r="F150" s="7"/>
    </row>
    <row r="151">
      <c r="B151" s="6"/>
      <c r="F151" s="7"/>
    </row>
    <row r="152">
      <c r="B152" s="6"/>
      <c r="F152" s="7"/>
    </row>
    <row r="153">
      <c r="B153" s="6"/>
      <c r="F153" s="7"/>
    </row>
    <row r="154">
      <c r="B154" s="6"/>
      <c r="F154" s="7"/>
    </row>
    <row r="155">
      <c r="B155" s="6"/>
      <c r="F155" s="7"/>
    </row>
    <row r="156">
      <c r="B156" s="6"/>
      <c r="F156" s="7"/>
    </row>
    <row r="157">
      <c r="B157" s="6"/>
      <c r="F157" s="7"/>
    </row>
    <row r="158">
      <c r="B158" s="6"/>
      <c r="F158" s="7"/>
    </row>
    <row r="159">
      <c r="B159" s="6"/>
      <c r="F159" s="7"/>
    </row>
    <row r="160">
      <c r="B160" s="6"/>
      <c r="F160" s="7"/>
    </row>
    <row r="161">
      <c r="B161" s="6"/>
      <c r="F161" s="7"/>
    </row>
    <row r="162">
      <c r="B162" s="6"/>
      <c r="F162" s="7"/>
    </row>
    <row r="163">
      <c r="B163" s="6"/>
      <c r="F163" s="7"/>
    </row>
    <row r="164">
      <c r="B164" s="6"/>
      <c r="F164" s="7"/>
    </row>
    <row r="165">
      <c r="B165" s="6"/>
      <c r="F165" s="7"/>
    </row>
    <row r="166">
      <c r="B166" s="6"/>
      <c r="F166" s="7"/>
    </row>
    <row r="167">
      <c r="B167" s="6"/>
      <c r="F167" s="7"/>
    </row>
    <row r="168">
      <c r="B168" s="6"/>
      <c r="F168" s="7"/>
    </row>
    <row r="169">
      <c r="B169" s="6"/>
      <c r="F169" s="7"/>
    </row>
    <row r="170">
      <c r="B170" s="6"/>
      <c r="F170" s="7"/>
    </row>
    <row r="171">
      <c r="B171" s="6"/>
      <c r="F171" s="7"/>
    </row>
    <row r="172">
      <c r="B172" s="6"/>
      <c r="F172" s="7"/>
    </row>
    <row r="173">
      <c r="B173" s="6"/>
      <c r="F173" s="7"/>
    </row>
    <row r="174">
      <c r="B174" s="6"/>
      <c r="F174" s="7"/>
    </row>
    <row r="175">
      <c r="B175" s="6"/>
      <c r="F175" s="7"/>
    </row>
    <row r="176">
      <c r="B176" s="6"/>
      <c r="F176" s="7"/>
    </row>
    <row r="177">
      <c r="B177" s="6"/>
      <c r="F177" s="7"/>
    </row>
    <row r="178">
      <c r="B178" s="6"/>
      <c r="F178" s="7"/>
    </row>
    <row r="179">
      <c r="B179" s="6"/>
      <c r="F179" s="7"/>
    </row>
    <row r="180">
      <c r="B180" s="6"/>
      <c r="F180" s="7"/>
    </row>
    <row r="181">
      <c r="B181" s="6"/>
      <c r="F181" s="7"/>
    </row>
    <row r="182">
      <c r="B182" s="6"/>
      <c r="F182" s="7"/>
    </row>
    <row r="183">
      <c r="B183" s="6"/>
      <c r="F183" s="7"/>
    </row>
    <row r="184">
      <c r="B184" s="6"/>
      <c r="F184" s="7"/>
    </row>
    <row r="185">
      <c r="B185" s="6"/>
      <c r="F185" s="7"/>
    </row>
    <row r="186">
      <c r="B186" s="6"/>
      <c r="F186" s="7"/>
    </row>
    <row r="187">
      <c r="B187" s="6"/>
      <c r="F187" s="7"/>
    </row>
    <row r="188">
      <c r="B188" s="6"/>
      <c r="F188" s="7"/>
    </row>
    <row r="189">
      <c r="B189" s="6"/>
      <c r="F189" s="7"/>
    </row>
    <row r="190">
      <c r="B190" s="6"/>
      <c r="F190" s="7"/>
    </row>
    <row r="191">
      <c r="B191" s="6"/>
      <c r="F191" s="7"/>
    </row>
    <row r="192">
      <c r="B192" s="6"/>
      <c r="F192" s="7"/>
    </row>
    <row r="193">
      <c r="B193" s="6"/>
      <c r="F193" s="7"/>
    </row>
    <row r="194">
      <c r="B194" s="6"/>
      <c r="F194" s="7"/>
    </row>
    <row r="195">
      <c r="B195" s="6"/>
      <c r="F195" s="7"/>
    </row>
    <row r="196">
      <c r="B196" s="6"/>
      <c r="F196" s="7"/>
    </row>
    <row r="197">
      <c r="B197" s="6"/>
      <c r="F197" s="7"/>
    </row>
    <row r="198">
      <c r="B198" s="6"/>
      <c r="F198" s="7"/>
    </row>
    <row r="199">
      <c r="B199" s="6"/>
      <c r="F199" s="7"/>
    </row>
    <row r="200">
      <c r="B200" s="6"/>
      <c r="F200" s="7"/>
    </row>
    <row r="201">
      <c r="B201" s="6"/>
      <c r="F201" s="7"/>
    </row>
    <row r="202">
      <c r="B202" s="6"/>
      <c r="F202" s="7"/>
    </row>
    <row r="203">
      <c r="B203" s="6"/>
      <c r="F203" s="7"/>
    </row>
    <row r="204">
      <c r="B204" s="6"/>
      <c r="F204" s="7"/>
    </row>
    <row r="205">
      <c r="B205" s="6"/>
      <c r="F205" s="7"/>
    </row>
    <row r="206">
      <c r="B206" s="6"/>
      <c r="F206" s="7"/>
    </row>
    <row r="207">
      <c r="B207" s="6"/>
      <c r="F207" s="7"/>
    </row>
    <row r="208">
      <c r="B208" s="6"/>
      <c r="F208" s="7"/>
    </row>
    <row r="209">
      <c r="B209" s="6"/>
      <c r="F209" s="7"/>
    </row>
    <row r="210">
      <c r="B210" s="6"/>
      <c r="F210" s="7"/>
    </row>
    <row r="211">
      <c r="B211" s="6"/>
      <c r="F211" s="7"/>
    </row>
    <row r="212">
      <c r="B212" s="6"/>
      <c r="F212" s="7"/>
    </row>
    <row r="213">
      <c r="B213" s="6"/>
      <c r="F213" s="7"/>
    </row>
    <row r="214">
      <c r="B214" s="6"/>
      <c r="F214" s="7"/>
    </row>
    <row r="215">
      <c r="B215" s="6"/>
      <c r="F215" s="7"/>
    </row>
    <row r="216">
      <c r="B216" s="6"/>
      <c r="F216" s="7"/>
    </row>
    <row r="217">
      <c r="B217" s="6"/>
      <c r="F217" s="7"/>
    </row>
    <row r="218">
      <c r="B218" s="6"/>
      <c r="F218" s="7"/>
    </row>
    <row r="219">
      <c r="B219" s="6"/>
      <c r="F219" s="7"/>
    </row>
    <row r="220">
      <c r="B220" s="6"/>
      <c r="F220" s="7"/>
    </row>
    <row r="221">
      <c r="B221" s="6"/>
      <c r="F221" s="7"/>
    </row>
    <row r="222">
      <c r="B222" s="6"/>
      <c r="F222" s="7"/>
    </row>
    <row r="223">
      <c r="B223" s="6"/>
      <c r="F223" s="7"/>
    </row>
    <row r="224">
      <c r="B224" s="6"/>
      <c r="F224" s="7"/>
    </row>
    <row r="225">
      <c r="B225" s="6"/>
      <c r="F225" s="7"/>
    </row>
    <row r="226">
      <c r="B226" s="6"/>
      <c r="F226" s="7"/>
    </row>
    <row r="227">
      <c r="B227" s="6"/>
      <c r="F227" s="7"/>
    </row>
    <row r="228">
      <c r="B228" s="6"/>
      <c r="F228" s="7"/>
    </row>
    <row r="229">
      <c r="B229" s="6"/>
      <c r="F229" s="7"/>
    </row>
    <row r="230">
      <c r="B230" s="6"/>
      <c r="F230" s="7"/>
    </row>
    <row r="231">
      <c r="B231" s="6"/>
      <c r="F231" s="7"/>
    </row>
    <row r="232">
      <c r="B232" s="6"/>
      <c r="F232" s="7"/>
    </row>
    <row r="233">
      <c r="B233" s="6"/>
      <c r="F233" s="7"/>
    </row>
    <row r="234">
      <c r="B234" s="6"/>
      <c r="F234" s="7"/>
    </row>
    <row r="235">
      <c r="B235" s="6"/>
      <c r="F235" s="7"/>
    </row>
    <row r="236">
      <c r="B236" s="6"/>
      <c r="F236" s="7"/>
    </row>
    <row r="237">
      <c r="B237" s="6"/>
      <c r="F237" s="7"/>
    </row>
    <row r="238">
      <c r="B238" s="6"/>
      <c r="F238" s="7"/>
    </row>
    <row r="239">
      <c r="B239" s="6"/>
      <c r="F239" s="7"/>
    </row>
    <row r="240">
      <c r="B240" s="6"/>
      <c r="F240" s="7"/>
    </row>
    <row r="241">
      <c r="B241" s="6"/>
      <c r="F241" s="7"/>
    </row>
    <row r="242">
      <c r="B242" s="6"/>
      <c r="F242" s="7"/>
    </row>
    <row r="243">
      <c r="B243" s="6"/>
      <c r="F243" s="7"/>
    </row>
    <row r="244">
      <c r="B244" s="6"/>
      <c r="F244" s="7"/>
    </row>
    <row r="245">
      <c r="B245" s="6"/>
      <c r="F245" s="7"/>
    </row>
    <row r="246">
      <c r="B246" s="6"/>
      <c r="F246" s="7"/>
    </row>
    <row r="247">
      <c r="B247" s="6"/>
      <c r="F247" s="7"/>
    </row>
    <row r="248">
      <c r="B248" s="6"/>
      <c r="F248" s="7"/>
    </row>
    <row r="249">
      <c r="B249" s="6"/>
      <c r="F249" s="7"/>
    </row>
    <row r="250">
      <c r="B250" s="6"/>
      <c r="F250" s="7"/>
    </row>
    <row r="251">
      <c r="B251" s="6"/>
      <c r="F251" s="7"/>
    </row>
    <row r="252">
      <c r="B252" s="6"/>
      <c r="F252" s="7"/>
    </row>
    <row r="253">
      <c r="B253" s="6"/>
      <c r="F253" s="7"/>
    </row>
    <row r="254">
      <c r="B254" s="6"/>
      <c r="F254" s="7"/>
    </row>
    <row r="255">
      <c r="B255" s="6"/>
      <c r="F255" s="7"/>
    </row>
    <row r="256">
      <c r="B256" s="6"/>
      <c r="F256" s="7"/>
    </row>
    <row r="257">
      <c r="B257" s="6"/>
      <c r="F257" s="7"/>
    </row>
    <row r="258">
      <c r="B258" s="6"/>
      <c r="F258" s="7"/>
    </row>
    <row r="259">
      <c r="B259" s="6"/>
      <c r="F259" s="7"/>
    </row>
    <row r="260">
      <c r="B260" s="6"/>
      <c r="F260" s="7"/>
    </row>
    <row r="261">
      <c r="B261" s="6"/>
      <c r="F261" s="7"/>
    </row>
    <row r="262">
      <c r="B262" s="6"/>
      <c r="F262" s="7"/>
    </row>
    <row r="263">
      <c r="B263" s="6"/>
      <c r="F263" s="7"/>
    </row>
    <row r="264">
      <c r="B264" s="6"/>
      <c r="F264" s="7"/>
    </row>
    <row r="265">
      <c r="B265" s="6"/>
      <c r="F265" s="7"/>
    </row>
    <row r="266">
      <c r="B266" s="6"/>
      <c r="F266" s="7"/>
    </row>
    <row r="267">
      <c r="B267" s="6"/>
      <c r="F267" s="7"/>
    </row>
    <row r="268">
      <c r="B268" s="6"/>
      <c r="F268" s="7"/>
    </row>
    <row r="269">
      <c r="B269" s="6"/>
      <c r="F269" s="7"/>
    </row>
    <row r="270">
      <c r="B270" s="6"/>
      <c r="F270" s="7"/>
    </row>
    <row r="271">
      <c r="B271" s="6"/>
      <c r="F271" s="7"/>
    </row>
    <row r="272">
      <c r="B272" s="6"/>
      <c r="F272" s="7"/>
    </row>
    <row r="273">
      <c r="B273" s="6"/>
      <c r="F273" s="7"/>
    </row>
    <row r="274">
      <c r="B274" s="6"/>
      <c r="F274" s="7"/>
    </row>
    <row r="275">
      <c r="B275" s="6"/>
      <c r="F275" s="7"/>
    </row>
    <row r="276">
      <c r="B276" s="6"/>
      <c r="F276" s="7"/>
    </row>
    <row r="277">
      <c r="B277" s="6"/>
      <c r="F277" s="7"/>
    </row>
    <row r="278">
      <c r="B278" s="6"/>
      <c r="F278" s="7"/>
    </row>
    <row r="279">
      <c r="B279" s="6"/>
      <c r="F279" s="7"/>
    </row>
    <row r="280">
      <c r="B280" s="6"/>
      <c r="F280" s="7"/>
    </row>
    <row r="281">
      <c r="B281" s="6"/>
      <c r="F281" s="7"/>
    </row>
    <row r="282">
      <c r="B282" s="6"/>
      <c r="F282" s="7"/>
    </row>
    <row r="283">
      <c r="B283" s="6"/>
      <c r="F283" s="7"/>
    </row>
    <row r="284">
      <c r="B284" s="6"/>
      <c r="F284" s="7"/>
    </row>
    <row r="285">
      <c r="B285" s="6"/>
      <c r="F285" s="7"/>
    </row>
    <row r="286">
      <c r="B286" s="6"/>
      <c r="F286" s="7"/>
    </row>
    <row r="287">
      <c r="B287" s="6"/>
      <c r="F287" s="7"/>
    </row>
    <row r="288">
      <c r="B288" s="6"/>
      <c r="F288" s="7"/>
    </row>
    <row r="289">
      <c r="B289" s="6"/>
      <c r="F289" s="7"/>
    </row>
    <row r="290">
      <c r="B290" s="6"/>
      <c r="F290" s="7"/>
    </row>
    <row r="291">
      <c r="B291" s="6"/>
      <c r="F291" s="7"/>
    </row>
    <row r="292">
      <c r="B292" s="6"/>
      <c r="F292" s="7"/>
    </row>
    <row r="293">
      <c r="B293" s="6"/>
      <c r="F293" s="7"/>
    </row>
    <row r="294">
      <c r="B294" s="6"/>
      <c r="F294" s="7"/>
    </row>
    <row r="295">
      <c r="B295" s="6"/>
      <c r="F295" s="7"/>
    </row>
    <row r="296">
      <c r="B296" s="6"/>
      <c r="F296" s="7"/>
    </row>
    <row r="297">
      <c r="B297" s="6"/>
      <c r="F297" s="7"/>
    </row>
    <row r="298">
      <c r="B298" s="6"/>
      <c r="F298" s="7"/>
    </row>
    <row r="299">
      <c r="B299" s="6"/>
      <c r="F299" s="7"/>
    </row>
    <row r="300">
      <c r="B300" s="6"/>
      <c r="F300" s="7"/>
    </row>
    <row r="301">
      <c r="B301" s="6"/>
      <c r="F301" s="7"/>
    </row>
    <row r="302">
      <c r="B302" s="6"/>
      <c r="F302" s="7"/>
    </row>
    <row r="303">
      <c r="B303" s="6"/>
      <c r="F303" s="7"/>
    </row>
    <row r="304">
      <c r="B304" s="6"/>
      <c r="F304" s="7"/>
    </row>
    <row r="305">
      <c r="B305" s="6"/>
      <c r="F305" s="7"/>
    </row>
    <row r="306">
      <c r="B306" s="6"/>
      <c r="F306" s="7"/>
    </row>
    <row r="307">
      <c r="B307" s="6"/>
      <c r="F307" s="7"/>
    </row>
    <row r="308">
      <c r="B308" s="6"/>
      <c r="F308" s="7"/>
    </row>
    <row r="309">
      <c r="B309" s="6"/>
      <c r="F309" s="7"/>
    </row>
    <row r="310">
      <c r="B310" s="6"/>
      <c r="F310" s="7"/>
    </row>
    <row r="311">
      <c r="B311" s="6"/>
      <c r="F311" s="7"/>
    </row>
    <row r="312">
      <c r="B312" s="6"/>
      <c r="F312" s="7"/>
    </row>
    <row r="313">
      <c r="B313" s="6"/>
      <c r="F313" s="7"/>
    </row>
    <row r="314">
      <c r="B314" s="6"/>
      <c r="F314" s="7"/>
    </row>
    <row r="315">
      <c r="B315" s="6"/>
      <c r="F315" s="7"/>
    </row>
    <row r="316">
      <c r="B316" s="6"/>
      <c r="F316" s="7"/>
    </row>
    <row r="317">
      <c r="B317" s="6"/>
      <c r="F317" s="7"/>
    </row>
    <row r="318">
      <c r="B318" s="6"/>
      <c r="F318" s="7"/>
    </row>
    <row r="319">
      <c r="B319" s="6"/>
      <c r="F319" s="7"/>
    </row>
    <row r="320">
      <c r="B320" s="6"/>
      <c r="F320" s="7"/>
    </row>
    <row r="321">
      <c r="B321" s="6"/>
      <c r="F321" s="7"/>
    </row>
    <row r="322">
      <c r="B322" s="6"/>
      <c r="F322" s="7"/>
    </row>
    <row r="323">
      <c r="B323" s="6"/>
      <c r="F323" s="7"/>
    </row>
    <row r="324">
      <c r="B324" s="6"/>
      <c r="F324" s="7"/>
    </row>
    <row r="325">
      <c r="B325" s="6"/>
      <c r="F325" s="7"/>
    </row>
    <row r="326">
      <c r="B326" s="6"/>
      <c r="F326" s="7"/>
    </row>
    <row r="327">
      <c r="B327" s="6"/>
      <c r="F327" s="7"/>
    </row>
    <row r="328">
      <c r="B328" s="6"/>
      <c r="F328" s="7"/>
    </row>
    <row r="329">
      <c r="B329" s="6"/>
      <c r="F329" s="7"/>
    </row>
    <row r="330">
      <c r="B330" s="6"/>
      <c r="F330" s="7"/>
    </row>
    <row r="331">
      <c r="B331" s="6"/>
      <c r="F331" s="7"/>
    </row>
    <row r="332">
      <c r="B332" s="6"/>
      <c r="F332" s="7"/>
    </row>
    <row r="333">
      <c r="B333" s="6"/>
      <c r="F333" s="7"/>
    </row>
    <row r="334">
      <c r="B334" s="6"/>
      <c r="F334" s="7"/>
    </row>
    <row r="335">
      <c r="B335" s="6"/>
      <c r="F335" s="7"/>
    </row>
    <row r="336">
      <c r="B336" s="6"/>
      <c r="F336" s="7"/>
    </row>
    <row r="337">
      <c r="B337" s="6"/>
      <c r="F337" s="7"/>
    </row>
    <row r="338">
      <c r="B338" s="6"/>
      <c r="F338" s="7"/>
    </row>
    <row r="339">
      <c r="B339" s="6"/>
      <c r="F339" s="7"/>
    </row>
    <row r="340">
      <c r="B340" s="6"/>
      <c r="F340" s="7"/>
    </row>
    <row r="341">
      <c r="B341" s="6"/>
      <c r="F341" s="7"/>
    </row>
    <row r="342">
      <c r="B342" s="6"/>
      <c r="F342" s="7"/>
    </row>
    <row r="343">
      <c r="B343" s="6"/>
      <c r="F343" s="7"/>
    </row>
    <row r="344">
      <c r="B344" s="6"/>
      <c r="F344" s="7"/>
    </row>
    <row r="345">
      <c r="B345" s="6"/>
      <c r="F345" s="7"/>
    </row>
    <row r="346">
      <c r="B346" s="6"/>
      <c r="F346" s="7"/>
    </row>
    <row r="347">
      <c r="B347" s="6"/>
      <c r="F347" s="7"/>
    </row>
    <row r="348">
      <c r="B348" s="6"/>
      <c r="F348" s="7"/>
    </row>
    <row r="349">
      <c r="B349" s="6"/>
      <c r="F349" s="7"/>
    </row>
    <row r="350">
      <c r="B350" s="6"/>
      <c r="F350" s="7"/>
    </row>
    <row r="351">
      <c r="B351" s="6"/>
      <c r="F351" s="7"/>
    </row>
    <row r="352">
      <c r="B352" s="6"/>
      <c r="F352" s="7"/>
    </row>
    <row r="353">
      <c r="B353" s="6"/>
      <c r="F353" s="7"/>
    </row>
    <row r="354">
      <c r="B354" s="6"/>
      <c r="F354" s="7"/>
    </row>
    <row r="355">
      <c r="B355" s="6"/>
      <c r="F355" s="7"/>
    </row>
    <row r="356">
      <c r="B356" s="6"/>
      <c r="F356" s="7"/>
    </row>
    <row r="357">
      <c r="B357" s="6"/>
      <c r="F357" s="7"/>
    </row>
    <row r="358">
      <c r="B358" s="6"/>
      <c r="F358" s="7"/>
    </row>
    <row r="359">
      <c r="B359" s="6"/>
      <c r="F359" s="7"/>
    </row>
    <row r="360">
      <c r="B360" s="6"/>
      <c r="F360" s="7"/>
    </row>
    <row r="361">
      <c r="B361" s="6"/>
      <c r="F361" s="7"/>
    </row>
    <row r="362">
      <c r="B362" s="6"/>
      <c r="F362" s="7"/>
    </row>
    <row r="363">
      <c r="B363" s="6"/>
      <c r="F363" s="7"/>
    </row>
    <row r="364">
      <c r="B364" s="6"/>
      <c r="F364" s="7"/>
    </row>
    <row r="365">
      <c r="B365" s="6"/>
      <c r="F365" s="7"/>
    </row>
    <row r="366">
      <c r="B366" s="6"/>
      <c r="F366" s="7"/>
    </row>
    <row r="367">
      <c r="B367" s="6"/>
      <c r="F367" s="7"/>
    </row>
    <row r="368">
      <c r="B368" s="6"/>
      <c r="F368" s="7"/>
    </row>
    <row r="369">
      <c r="B369" s="6"/>
      <c r="F369" s="7"/>
    </row>
    <row r="370">
      <c r="B370" s="6"/>
      <c r="F370" s="7"/>
    </row>
    <row r="371">
      <c r="B371" s="6"/>
      <c r="F371" s="7"/>
    </row>
    <row r="372">
      <c r="B372" s="6"/>
      <c r="F372" s="7"/>
    </row>
    <row r="373">
      <c r="B373" s="6"/>
      <c r="F373" s="7"/>
    </row>
    <row r="374">
      <c r="B374" s="6"/>
      <c r="F374" s="7"/>
    </row>
    <row r="375">
      <c r="B375" s="6"/>
      <c r="F375" s="7"/>
    </row>
    <row r="376">
      <c r="B376" s="6"/>
      <c r="F376" s="7"/>
    </row>
    <row r="377">
      <c r="B377" s="6"/>
      <c r="F377" s="7"/>
    </row>
    <row r="378">
      <c r="B378" s="6"/>
      <c r="F378" s="7"/>
    </row>
    <row r="379">
      <c r="B379" s="6"/>
      <c r="F379" s="7"/>
    </row>
    <row r="380">
      <c r="B380" s="6"/>
      <c r="F380" s="7"/>
    </row>
    <row r="381">
      <c r="B381" s="6"/>
      <c r="F381" s="7"/>
    </row>
    <row r="382">
      <c r="B382" s="6"/>
      <c r="F382" s="7"/>
    </row>
    <row r="383">
      <c r="B383" s="6"/>
      <c r="F383" s="7"/>
    </row>
    <row r="384">
      <c r="B384" s="6"/>
      <c r="F384" s="7"/>
    </row>
    <row r="385">
      <c r="B385" s="6"/>
      <c r="F385" s="7"/>
    </row>
    <row r="386">
      <c r="B386" s="6"/>
      <c r="F386" s="7"/>
    </row>
    <row r="387">
      <c r="B387" s="6"/>
      <c r="F387" s="7"/>
    </row>
    <row r="388">
      <c r="B388" s="6"/>
      <c r="F388" s="7"/>
    </row>
    <row r="389">
      <c r="B389" s="6"/>
      <c r="F389" s="7"/>
    </row>
    <row r="390">
      <c r="B390" s="6"/>
      <c r="F390" s="7"/>
    </row>
    <row r="391">
      <c r="B391" s="6"/>
      <c r="F391" s="7"/>
    </row>
    <row r="392">
      <c r="B392" s="6"/>
      <c r="F392" s="7"/>
    </row>
    <row r="393">
      <c r="B393" s="6"/>
      <c r="F393" s="7"/>
    </row>
    <row r="394">
      <c r="B394" s="6"/>
      <c r="F394" s="7"/>
    </row>
    <row r="395">
      <c r="B395" s="6"/>
      <c r="F395" s="7"/>
    </row>
    <row r="396">
      <c r="B396" s="6"/>
      <c r="F396" s="7"/>
    </row>
    <row r="397">
      <c r="B397" s="6"/>
      <c r="F397" s="7"/>
    </row>
    <row r="398">
      <c r="B398" s="6"/>
      <c r="F398" s="7"/>
    </row>
    <row r="399">
      <c r="B399" s="6"/>
      <c r="F399" s="7"/>
    </row>
    <row r="400">
      <c r="B400" s="6"/>
      <c r="F400" s="7"/>
    </row>
    <row r="401">
      <c r="B401" s="6"/>
      <c r="F401" s="7"/>
    </row>
    <row r="402">
      <c r="B402" s="6"/>
      <c r="F402" s="7"/>
    </row>
    <row r="403">
      <c r="B403" s="6"/>
      <c r="F403" s="7"/>
    </row>
    <row r="404">
      <c r="B404" s="6"/>
      <c r="F404" s="7"/>
    </row>
    <row r="405">
      <c r="B405" s="6"/>
      <c r="F405" s="7"/>
    </row>
    <row r="406">
      <c r="B406" s="6"/>
      <c r="F406" s="7"/>
    </row>
    <row r="407">
      <c r="B407" s="6"/>
      <c r="F407" s="7"/>
    </row>
    <row r="408">
      <c r="B408" s="6"/>
      <c r="F408" s="7"/>
    </row>
    <row r="409">
      <c r="B409" s="6"/>
      <c r="F409" s="7"/>
    </row>
    <row r="410">
      <c r="B410" s="6"/>
      <c r="F410" s="7"/>
    </row>
    <row r="411">
      <c r="B411" s="6"/>
      <c r="F411" s="7"/>
    </row>
    <row r="412">
      <c r="B412" s="6"/>
      <c r="F412" s="7"/>
    </row>
    <row r="413">
      <c r="B413" s="6"/>
      <c r="F413" s="7"/>
    </row>
    <row r="414">
      <c r="B414" s="6"/>
      <c r="F414" s="7"/>
    </row>
    <row r="415">
      <c r="B415" s="6"/>
      <c r="F415" s="7"/>
    </row>
    <row r="416">
      <c r="B416" s="6"/>
      <c r="F416" s="7"/>
    </row>
    <row r="417">
      <c r="B417" s="6"/>
      <c r="F417" s="7"/>
    </row>
    <row r="418">
      <c r="B418" s="6"/>
      <c r="F418" s="7"/>
    </row>
    <row r="419">
      <c r="B419" s="6"/>
      <c r="F419" s="7"/>
    </row>
    <row r="420">
      <c r="B420" s="6"/>
      <c r="F420" s="7"/>
    </row>
    <row r="421">
      <c r="B421" s="6"/>
      <c r="F421" s="7"/>
    </row>
    <row r="422">
      <c r="B422" s="6"/>
      <c r="F422" s="7"/>
    </row>
    <row r="423">
      <c r="B423" s="6"/>
      <c r="F423" s="7"/>
    </row>
    <row r="424">
      <c r="B424" s="6"/>
      <c r="F424" s="7"/>
    </row>
    <row r="425">
      <c r="B425" s="6"/>
      <c r="F425" s="7"/>
    </row>
    <row r="426">
      <c r="B426" s="6"/>
      <c r="F426" s="7"/>
    </row>
    <row r="427">
      <c r="B427" s="6"/>
      <c r="F427" s="7"/>
    </row>
    <row r="428">
      <c r="B428" s="6"/>
      <c r="F428" s="7"/>
    </row>
    <row r="429">
      <c r="B429" s="6"/>
      <c r="F429" s="7"/>
    </row>
    <row r="430">
      <c r="B430" s="6"/>
      <c r="F430" s="7"/>
    </row>
    <row r="431">
      <c r="B431" s="6"/>
      <c r="F431" s="7"/>
    </row>
    <row r="432">
      <c r="B432" s="6"/>
      <c r="F432" s="7"/>
    </row>
    <row r="433">
      <c r="B433" s="6"/>
      <c r="F433" s="7"/>
    </row>
    <row r="434">
      <c r="B434" s="6"/>
      <c r="F434" s="7"/>
    </row>
    <row r="435">
      <c r="B435" s="6"/>
      <c r="F435" s="7"/>
    </row>
    <row r="436">
      <c r="B436" s="6"/>
      <c r="F436" s="7"/>
    </row>
    <row r="437">
      <c r="B437" s="6"/>
      <c r="F437" s="7"/>
    </row>
    <row r="438">
      <c r="B438" s="6"/>
      <c r="F438" s="7"/>
    </row>
    <row r="439">
      <c r="B439" s="6"/>
      <c r="F439" s="7"/>
    </row>
    <row r="440">
      <c r="B440" s="6"/>
      <c r="F440" s="7"/>
    </row>
    <row r="441">
      <c r="B441" s="6"/>
      <c r="F441" s="7"/>
    </row>
    <row r="442">
      <c r="B442" s="6"/>
      <c r="F442" s="7"/>
    </row>
    <row r="443">
      <c r="B443" s="6"/>
      <c r="F443" s="7"/>
    </row>
    <row r="444">
      <c r="B444" s="6"/>
      <c r="F444" s="7"/>
    </row>
    <row r="445">
      <c r="B445" s="6"/>
      <c r="F445" s="7"/>
    </row>
    <row r="446">
      <c r="B446" s="6"/>
      <c r="F446" s="7"/>
    </row>
    <row r="447">
      <c r="B447" s="6"/>
      <c r="F447" s="7"/>
    </row>
    <row r="448">
      <c r="B448" s="6"/>
      <c r="F448" s="7"/>
    </row>
    <row r="449">
      <c r="B449" s="6"/>
      <c r="F449" s="7"/>
    </row>
    <row r="450">
      <c r="B450" s="6"/>
      <c r="F450" s="7"/>
    </row>
    <row r="451">
      <c r="B451" s="6"/>
      <c r="F451" s="7"/>
    </row>
    <row r="452">
      <c r="B452" s="6"/>
      <c r="F452" s="7"/>
    </row>
    <row r="453">
      <c r="B453" s="6"/>
      <c r="F453" s="7"/>
    </row>
    <row r="454">
      <c r="B454" s="6"/>
      <c r="F454" s="7"/>
    </row>
    <row r="455">
      <c r="B455" s="6"/>
      <c r="F455" s="7"/>
    </row>
    <row r="456">
      <c r="B456" s="6"/>
      <c r="F456" s="7"/>
    </row>
    <row r="457">
      <c r="B457" s="6"/>
      <c r="F457" s="7"/>
    </row>
    <row r="458">
      <c r="B458" s="6"/>
      <c r="F458" s="7"/>
    </row>
    <row r="459">
      <c r="B459" s="6"/>
      <c r="F459" s="7"/>
    </row>
    <row r="460">
      <c r="B460" s="6"/>
      <c r="F460" s="7"/>
    </row>
    <row r="461">
      <c r="B461" s="6"/>
      <c r="F461" s="7"/>
    </row>
    <row r="462">
      <c r="B462" s="6"/>
      <c r="F462" s="7"/>
    </row>
    <row r="463">
      <c r="B463" s="6"/>
      <c r="F463" s="7"/>
    </row>
    <row r="464">
      <c r="B464" s="6"/>
      <c r="F464" s="7"/>
    </row>
    <row r="465">
      <c r="B465" s="6"/>
      <c r="F465" s="7"/>
    </row>
    <row r="466">
      <c r="B466" s="6"/>
      <c r="F466" s="7"/>
    </row>
    <row r="467">
      <c r="B467" s="6"/>
      <c r="F467" s="7"/>
    </row>
    <row r="468">
      <c r="B468" s="6"/>
      <c r="F468" s="7"/>
    </row>
    <row r="469">
      <c r="B469" s="6"/>
      <c r="F469" s="7"/>
    </row>
    <row r="470">
      <c r="B470" s="6"/>
      <c r="F470" s="7"/>
    </row>
    <row r="471">
      <c r="B471" s="6"/>
      <c r="F471" s="7"/>
    </row>
    <row r="472">
      <c r="B472" s="6"/>
      <c r="F472" s="7"/>
    </row>
    <row r="473">
      <c r="B473" s="6"/>
      <c r="F473" s="7"/>
    </row>
    <row r="474">
      <c r="B474" s="6"/>
      <c r="F474" s="7"/>
    </row>
    <row r="475">
      <c r="B475" s="6"/>
      <c r="F475" s="7"/>
    </row>
    <row r="476">
      <c r="B476" s="6"/>
      <c r="F476" s="7"/>
    </row>
    <row r="477">
      <c r="B477" s="6"/>
      <c r="F477" s="7"/>
    </row>
    <row r="478">
      <c r="B478" s="6"/>
      <c r="F478" s="7"/>
    </row>
    <row r="479">
      <c r="B479" s="6"/>
      <c r="F479" s="7"/>
    </row>
    <row r="480">
      <c r="B480" s="6"/>
      <c r="F480" s="7"/>
    </row>
    <row r="481">
      <c r="B481" s="6"/>
      <c r="F481" s="7"/>
    </row>
    <row r="482">
      <c r="B482" s="6"/>
      <c r="F482" s="7"/>
    </row>
    <row r="483">
      <c r="B483" s="6"/>
      <c r="F483" s="7"/>
    </row>
    <row r="484">
      <c r="B484" s="6"/>
      <c r="F484" s="7"/>
    </row>
    <row r="485">
      <c r="B485" s="6"/>
      <c r="F485" s="7"/>
    </row>
    <row r="486">
      <c r="B486" s="6"/>
      <c r="F486" s="7"/>
    </row>
    <row r="487">
      <c r="B487" s="6"/>
      <c r="F487" s="7"/>
    </row>
    <row r="488">
      <c r="B488" s="6"/>
      <c r="F488" s="7"/>
    </row>
    <row r="489">
      <c r="B489" s="6"/>
      <c r="F489" s="7"/>
    </row>
    <row r="490">
      <c r="B490" s="6"/>
      <c r="F490" s="7"/>
    </row>
    <row r="491">
      <c r="B491" s="6"/>
      <c r="F491" s="7"/>
    </row>
    <row r="492">
      <c r="B492" s="6"/>
      <c r="F492" s="7"/>
    </row>
    <row r="493">
      <c r="B493" s="6"/>
      <c r="F493" s="7"/>
    </row>
    <row r="494">
      <c r="B494" s="6"/>
      <c r="F494" s="7"/>
    </row>
    <row r="495">
      <c r="B495" s="6"/>
      <c r="F495" s="7"/>
    </row>
    <row r="496">
      <c r="B496" s="6"/>
      <c r="F496" s="7"/>
    </row>
    <row r="497">
      <c r="B497" s="6"/>
      <c r="F497" s="7"/>
    </row>
    <row r="498">
      <c r="B498" s="6"/>
      <c r="F498" s="7"/>
    </row>
    <row r="499">
      <c r="B499" s="6"/>
      <c r="F499" s="7"/>
    </row>
    <row r="500">
      <c r="B500" s="6"/>
      <c r="F500" s="7"/>
    </row>
    <row r="501">
      <c r="B501" s="6"/>
      <c r="F501" s="7"/>
    </row>
    <row r="502">
      <c r="B502" s="6"/>
      <c r="F502" s="7"/>
    </row>
    <row r="503">
      <c r="B503" s="6"/>
      <c r="F503" s="7"/>
    </row>
    <row r="504">
      <c r="B504" s="6"/>
      <c r="F504" s="7"/>
    </row>
    <row r="505">
      <c r="B505" s="6"/>
      <c r="F505" s="7"/>
    </row>
    <row r="506">
      <c r="B506" s="6"/>
      <c r="F506" s="7"/>
    </row>
    <row r="507">
      <c r="B507" s="6"/>
      <c r="F507" s="7"/>
    </row>
    <row r="508">
      <c r="B508" s="6"/>
      <c r="F508" s="7"/>
    </row>
    <row r="509">
      <c r="B509" s="6"/>
      <c r="F509" s="7"/>
    </row>
    <row r="510">
      <c r="B510" s="6"/>
      <c r="F510" s="7"/>
    </row>
    <row r="511">
      <c r="B511" s="6"/>
      <c r="F511" s="7"/>
    </row>
    <row r="512">
      <c r="B512" s="6"/>
      <c r="F512" s="7"/>
    </row>
    <row r="513">
      <c r="B513" s="6"/>
      <c r="F513" s="7"/>
    </row>
    <row r="514">
      <c r="B514" s="6"/>
      <c r="F514" s="7"/>
    </row>
    <row r="515">
      <c r="B515" s="6"/>
      <c r="F515" s="7"/>
    </row>
    <row r="516">
      <c r="B516" s="6"/>
      <c r="F516" s="7"/>
    </row>
    <row r="517">
      <c r="B517" s="6"/>
      <c r="F517" s="7"/>
    </row>
    <row r="518">
      <c r="B518" s="6"/>
      <c r="F518" s="7"/>
    </row>
    <row r="519">
      <c r="B519" s="6"/>
      <c r="F519" s="7"/>
    </row>
    <row r="520">
      <c r="B520" s="6"/>
      <c r="F520" s="7"/>
    </row>
    <row r="521">
      <c r="B521" s="6"/>
      <c r="F521" s="7"/>
    </row>
    <row r="522">
      <c r="B522" s="6"/>
      <c r="F522" s="7"/>
    </row>
    <row r="523">
      <c r="B523" s="6"/>
      <c r="F523" s="7"/>
    </row>
    <row r="524">
      <c r="B524" s="6"/>
      <c r="F524" s="7"/>
    </row>
    <row r="525">
      <c r="B525" s="6"/>
      <c r="F525" s="7"/>
    </row>
    <row r="526">
      <c r="B526" s="6"/>
      <c r="F526" s="7"/>
    </row>
    <row r="527">
      <c r="B527" s="6"/>
      <c r="F527" s="7"/>
    </row>
    <row r="528">
      <c r="B528" s="6"/>
      <c r="F528" s="7"/>
    </row>
    <row r="529">
      <c r="B529" s="6"/>
      <c r="F529" s="7"/>
    </row>
    <row r="530">
      <c r="B530" s="6"/>
      <c r="F530" s="7"/>
    </row>
    <row r="531">
      <c r="B531" s="6"/>
      <c r="F531" s="7"/>
    </row>
    <row r="532">
      <c r="B532" s="6"/>
      <c r="F532" s="7"/>
    </row>
    <row r="533">
      <c r="B533" s="6"/>
      <c r="F533" s="7"/>
    </row>
    <row r="534">
      <c r="B534" s="6"/>
      <c r="F534" s="7"/>
    </row>
    <row r="535">
      <c r="B535" s="6"/>
      <c r="F535" s="7"/>
    </row>
    <row r="536">
      <c r="B536" s="6"/>
      <c r="F536" s="7"/>
    </row>
    <row r="537">
      <c r="B537" s="6"/>
      <c r="F537" s="7"/>
    </row>
    <row r="538">
      <c r="B538" s="6"/>
      <c r="F538" s="7"/>
    </row>
    <row r="539">
      <c r="B539" s="6"/>
      <c r="F539" s="7"/>
    </row>
    <row r="540">
      <c r="B540" s="6"/>
      <c r="F540" s="7"/>
    </row>
    <row r="541">
      <c r="B541" s="6"/>
      <c r="F541" s="7"/>
    </row>
    <row r="542">
      <c r="B542" s="6"/>
      <c r="F542" s="7"/>
    </row>
    <row r="543">
      <c r="B543" s="6"/>
      <c r="F543" s="7"/>
    </row>
    <row r="544">
      <c r="B544" s="6"/>
      <c r="F544" s="7"/>
    </row>
    <row r="545">
      <c r="B545" s="6"/>
      <c r="F545" s="7"/>
    </row>
    <row r="546">
      <c r="B546" s="6"/>
      <c r="F546" s="7"/>
    </row>
    <row r="547">
      <c r="B547" s="6"/>
      <c r="F547" s="7"/>
    </row>
    <row r="548">
      <c r="B548" s="6"/>
      <c r="F548" s="7"/>
    </row>
    <row r="549">
      <c r="B549" s="6"/>
      <c r="F549" s="7"/>
    </row>
    <row r="550">
      <c r="B550" s="6"/>
      <c r="F550" s="7"/>
    </row>
    <row r="551">
      <c r="B551" s="6"/>
      <c r="F551" s="7"/>
    </row>
    <row r="552">
      <c r="B552" s="6"/>
      <c r="F552" s="7"/>
    </row>
    <row r="553">
      <c r="B553" s="6"/>
      <c r="F553" s="7"/>
    </row>
    <row r="554">
      <c r="B554" s="6"/>
      <c r="F554" s="7"/>
    </row>
    <row r="555">
      <c r="B555" s="6"/>
      <c r="F555" s="7"/>
    </row>
    <row r="556">
      <c r="B556" s="6"/>
      <c r="F556" s="7"/>
    </row>
    <row r="557">
      <c r="B557" s="6"/>
      <c r="F557" s="7"/>
    </row>
    <row r="558">
      <c r="B558" s="6"/>
      <c r="F558" s="7"/>
    </row>
    <row r="559">
      <c r="B559" s="6"/>
      <c r="F559" s="7"/>
    </row>
    <row r="560">
      <c r="B560" s="6"/>
      <c r="F560" s="7"/>
    </row>
    <row r="561">
      <c r="B561" s="6"/>
      <c r="F561" s="7"/>
    </row>
    <row r="562">
      <c r="B562" s="6"/>
      <c r="F562" s="7"/>
    </row>
    <row r="563">
      <c r="B563" s="6"/>
      <c r="F563" s="7"/>
    </row>
    <row r="564">
      <c r="B564" s="6"/>
      <c r="F564" s="7"/>
    </row>
    <row r="565">
      <c r="B565" s="6"/>
      <c r="F565" s="7"/>
    </row>
    <row r="566">
      <c r="B566" s="6"/>
      <c r="F566" s="7"/>
    </row>
    <row r="567">
      <c r="B567" s="6"/>
      <c r="F567" s="7"/>
    </row>
    <row r="568">
      <c r="B568" s="6"/>
      <c r="F568" s="7"/>
    </row>
    <row r="569">
      <c r="B569" s="6"/>
      <c r="F569" s="7"/>
    </row>
    <row r="570">
      <c r="B570" s="6"/>
      <c r="F570" s="7"/>
    </row>
    <row r="571">
      <c r="B571" s="6"/>
      <c r="F571" s="7"/>
    </row>
    <row r="572">
      <c r="B572" s="6"/>
      <c r="F572" s="7"/>
    </row>
    <row r="573">
      <c r="B573" s="6"/>
      <c r="F573" s="7"/>
    </row>
    <row r="574">
      <c r="B574" s="6"/>
      <c r="F574" s="7"/>
    </row>
    <row r="575">
      <c r="B575" s="6"/>
      <c r="F575" s="7"/>
    </row>
    <row r="576">
      <c r="B576" s="6"/>
      <c r="F576" s="7"/>
    </row>
    <row r="577">
      <c r="B577" s="6"/>
      <c r="F577" s="7"/>
    </row>
    <row r="578">
      <c r="B578" s="6"/>
      <c r="F578" s="7"/>
    </row>
    <row r="579">
      <c r="B579" s="6"/>
      <c r="F579" s="7"/>
    </row>
    <row r="580">
      <c r="B580" s="6"/>
      <c r="F580" s="7"/>
    </row>
    <row r="581">
      <c r="B581" s="6"/>
      <c r="F581" s="7"/>
    </row>
    <row r="582">
      <c r="B582" s="6"/>
      <c r="F582" s="7"/>
    </row>
    <row r="583">
      <c r="B583" s="6"/>
      <c r="F583" s="7"/>
    </row>
    <row r="584">
      <c r="B584" s="6"/>
      <c r="F584" s="7"/>
    </row>
    <row r="585">
      <c r="B585" s="6"/>
      <c r="F585" s="7"/>
    </row>
    <row r="586">
      <c r="B586" s="6"/>
      <c r="F586" s="7"/>
    </row>
    <row r="587">
      <c r="B587" s="6"/>
      <c r="F587" s="7"/>
    </row>
    <row r="588">
      <c r="B588" s="6"/>
      <c r="F588" s="7"/>
    </row>
    <row r="589">
      <c r="B589" s="6"/>
      <c r="F589" s="7"/>
    </row>
    <row r="590">
      <c r="B590" s="6"/>
      <c r="F590" s="7"/>
    </row>
    <row r="591">
      <c r="B591" s="6"/>
      <c r="F591" s="7"/>
    </row>
    <row r="592">
      <c r="B592" s="6"/>
      <c r="F592" s="7"/>
    </row>
    <row r="593">
      <c r="B593" s="6"/>
      <c r="F593" s="7"/>
    </row>
    <row r="594">
      <c r="B594" s="6"/>
      <c r="F594" s="7"/>
    </row>
    <row r="595">
      <c r="B595" s="6"/>
      <c r="F595" s="7"/>
    </row>
    <row r="596">
      <c r="B596" s="6"/>
      <c r="F596" s="7"/>
    </row>
    <row r="597">
      <c r="B597" s="6"/>
      <c r="F597" s="7"/>
    </row>
    <row r="598">
      <c r="B598" s="6"/>
      <c r="F598" s="7"/>
    </row>
    <row r="599">
      <c r="B599" s="6"/>
      <c r="F599" s="7"/>
    </row>
    <row r="600">
      <c r="B600" s="6"/>
      <c r="F600" s="7"/>
    </row>
    <row r="601">
      <c r="B601" s="6"/>
      <c r="F601" s="7"/>
    </row>
    <row r="602">
      <c r="B602" s="6"/>
      <c r="F602" s="7"/>
    </row>
    <row r="603">
      <c r="B603" s="6"/>
      <c r="F603" s="7"/>
    </row>
    <row r="604">
      <c r="B604" s="6"/>
      <c r="F604" s="7"/>
    </row>
    <row r="605">
      <c r="B605" s="6"/>
      <c r="F605" s="7"/>
    </row>
    <row r="606">
      <c r="B606" s="6"/>
      <c r="F606" s="7"/>
    </row>
    <row r="607">
      <c r="B607" s="6"/>
      <c r="F607" s="7"/>
    </row>
    <row r="608">
      <c r="B608" s="6"/>
      <c r="F608" s="7"/>
    </row>
    <row r="609">
      <c r="B609" s="6"/>
      <c r="F609" s="7"/>
    </row>
    <row r="610">
      <c r="B610" s="6"/>
      <c r="F610" s="7"/>
    </row>
    <row r="611">
      <c r="B611" s="6"/>
      <c r="F611" s="7"/>
    </row>
    <row r="612">
      <c r="B612" s="6"/>
      <c r="F612" s="7"/>
    </row>
    <row r="613">
      <c r="B613" s="6"/>
      <c r="F613" s="7"/>
    </row>
    <row r="614">
      <c r="B614" s="6"/>
      <c r="F614" s="7"/>
    </row>
    <row r="615">
      <c r="B615" s="6"/>
      <c r="F615" s="7"/>
    </row>
    <row r="616">
      <c r="B616" s="6"/>
      <c r="F616" s="7"/>
    </row>
    <row r="617">
      <c r="B617" s="6"/>
      <c r="F617" s="7"/>
    </row>
    <row r="618">
      <c r="B618" s="6"/>
      <c r="F618" s="7"/>
    </row>
    <row r="619">
      <c r="B619" s="6"/>
      <c r="F619" s="7"/>
    </row>
    <row r="620">
      <c r="B620" s="6"/>
      <c r="F620" s="7"/>
    </row>
    <row r="621">
      <c r="B621" s="6"/>
      <c r="F621" s="7"/>
    </row>
    <row r="622">
      <c r="B622" s="6"/>
      <c r="F622" s="7"/>
    </row>
    <row r="623">
      <c r="B623" s="6"/>
      <c r="F623" s="7"/>
    </row>
    <row r="624">
      <c r="B624" s="6"/>
      <c r="F624" s="7"/>
    </row>
    <row r="625">
      <c r="B625" s="6"/>
      <c r="F625" s="7"/>
    </row>
    <row r="626">
      <c r="B626" s="6"/>
      <c r="F626" s="7"/>
    </row>
    <row r="627">
      <c r="B627" s="6"/>
      <c r="F627" s="7"/>
    </row>
    <row r="628">
      <c r="B628" s="6"/>
      <c r="F628" s="7"/>
    </row>
    <row r="629">
      <c r="B629" s="6"/>
      <c r="F629" s="7"/>
    </row>
    <row r="630">
      <c r="B630" s="6"/>
      <c r="F630" s="7"/>
    </row>
    <row r="631">
      <c r="B631" s="6"/>
      <c r="F631" s="7"/>
    </row>
    <row r="632">
      <c r="B632" s="6"/>
      <c r="F632" s="7"/>
    </row>
    <row r="633">
      <c r="B633" s="6"/>
      <c r="F633" s="7"/>
    </row>
    <row r="634">
      <c r="B634" s="6"/>
      <c r="F634" s="7"/>
    </row>
    <row r="635">
      <c r="B635" s="6"/>
      <c r="F635" s="7"/>
    </row>
    <row r="636">
      <c r="B636" s="6"/>
      <c r="F636" s="7"/>
    </row>
    <row r="637">
      <c r="B637" s="6"/>
      <c r="F637" s="7"/>
    </row>
    <row r="638">
      <c r="B638" s="6"/>
      <c r="F638" s="7"/>
    </row>
    <row r="639">
      <c r="B639" s="6"/>
      <c r="F639" s="7"/>
    </row>
    <row r="640">
      <c r="B640" s="6"/>
      <c r="F640" s="7"/>
    </row>
    <row r="641">
      <c r="B641" s="6"/>
      <c r="F641" s="7"/>
    </row>
    <row r="642">
      <c r="B642" s="6"/>
      <c r="F642" s="7"/>
    </row>
    <row r="643">
      <c r="B643" s="6"/>
      <c r="F643" s="7"/>
    </row>
    <row r="644">
      <c r="B644" s="6"/>
      <c r="F644" s="7"/>
    </row>
    <row r="645">
      <c r="B645" s="6"/>
      <c r="F645" s="7"/>
    </row>
    <row r="646">
      <c r="B646" s="6"/>
      <c r="F646" s="7"/>
    </row>
    <row r="647">
      <c r="B647" s="6"/>
      <c r="F647" s="7"/>
    </row>
    <row r="648">
      <c r="B648" s="6"/>
      <c r="F648" s="7"/>
    </row>
    <row r="649">
      <c r="B649" s="6"/>
      <c r="F649" s="7"/>
    </row>
    <row r="650">
      <c r="B650" s="6"/>
      <c r="F650" s="7"/>
    </row>
    <row r="651">
      <c r="B651" s="6"/>
      <c r="F651" s="7"/>
    </row>
    <row r="652">
      <c r="B652" s="6"/>
      <c r="F652" s="7"/>
    </row>
    <row r="653">
      <c r="B653" s="6"/>
      <c r="F653" s="7"/>
    </row>
    <row r="654">
      <c r="B654" s="6"/>
      <c r="F654" s="7"/>
    </row>
    <row r="655">
      <c r="B655" s="6"/>
      <c r="F655" s="7"/>
    </row>
    <row r="656">
      <c r="B656" s="6"/>
      <c r="F656" s="7"/>
    </row>
    <row r="657">
      <c r="B657" s="6"/>
      <c r="F657" s="7"/>
    </row>
    <row r="658">
      <c r="B658" s="6"/>
      <c r="F658" s="7"/>
    </row>
    <row r="659">
      <c r="B659" s="6"/>
      <c r="F659" s="7"/>
    </row>
    <row r="660">
      <c r="B660" s="6"/>
      <c r="F660" s="7"/>
    </row>
    <row r="661">
      <c r="B661" s="6"/>
      <c r="F661" s="7"/>
    </row>
    <row r="662">
      <c r="B662" s="6"/>
      <c r="F662" s="7"/>
    </row>
    <row r="663">
      <c r="B663" s="6"/>
      <c r="F663" s="7"/>
    </row>
    <row r="664">
      <c r="B664" s="6"/>
      <c r="F664" s="7"/>
    </row>
    <row r="665">
      <c r="B665" s="6"/>
      <c r="F665" s="7"/>
    </row>
    <row r="666">
      <c r="B666" s="6"/>
      <c r="F666" s="7"/>
    </row>
    <row r="667">
      <c r="B667" s="6"/>
      <c r="F667" s="7"/>
    </row>
    <row r="668">
      <c r="B668" s="6"/>
      <c r="F668" s="7"/>
    </row>
    <row r="669">
      <c r="B669" s="6"/>
      <c r="F669" s="7"/>
    </row>
    <row r="670">
      <c r="B670" s="6"/>
      <c r="F670" s="7"/>
    </row>
    <row r="671">
      <c r="B671" s="6"/>
      <c r="F671" s="7"/>
    </row>
    <row r="672">
      <c r="B672" s="6"/>
      <c r="F672" s="7"/>
    </row>
    <row r="673">
      <c r="B673" s="6"/>
      <c r="F673" s="7"/>
    </row>
    <row r="674">
      <c r="B674" s="6"/>
      <c r="F674" s="7"/>
    </row>
    <row r="675">
      <c r="B675" s="6"/>
      <c r="F675" s="7"/>
    </row>
    <row r="676">
      <c r="B676" s="6"/>
      <c r="F676" s="7"/>
    </row>
    <row r="677">
      <c r="B677" s="6"/>
      <c r="F677" s="7"/>
    </row>
    <row r="678">
      <c r="B678" s="6"/>
      <c r="F678" s="7"/>
    </row>
    <row r="679">
      <c r="B679" s="6"/>
      <c r="F679" s="7"/>
    </row>
    <row r="680">
      <c r="B680" s="6"/>
      <c r="F680" s="7"/>
    </row>
    <row r="681">
      <c r="B681" s="6"/>
      <c r="F681" s="7"/>
    </row>
    <row r="682">
      <c r="B682" s="6"/>
      <c r="F682" s="7"/>
    </row>
    <row r="683">
      <c r="B683" s="6"/>
      <c r="F683" s="7"/>
    </row>
    <row r="684">
      <c r="B684" s="6"/>
      <c r="F684" s="7"/>
    </row>
    <row r="685">
      <c r="B685" s="6"/>
      <c r="F685" s="7"/>
    </row>
    <row r="686">
      <c r="B686" s="6"/>
      <c r="F686" s="7"/>
    </row>
    <row r="687">
      <c r="B687" s="6"/>
      <c r="F687" s="7"/>
    </row>
    <row r="688">
      <c r="B688" s="6"/>
      <c r="F688" s="7"/>
    </row>
    <row r="689">
      <c r="B689" s="6"/>
      <c r="F689" s="7"/>
    </row>
    <row r="690">
      <c r="B690" s="6"/>
      <c r="F690" s="7"/>
    </row>
    <row r="691">
      <c r="B691" s="6"/>
      <c r="F691" s="7"/>
    </row>
    <row r="692">
      <c r="B692" s="6"/>
      <c r="F692" s="7"/>
    </row>
    <row r="693">
      <c r="B693" s="6"/>
      <c r="F693" s="7"/>
    </row>
    <row r="694">
      <c r="B694" s="6"/>
      <c r="F694" s="7"/>
    </row>
    <row r="695">
      <c r="B695" s="6"/>
      <c r="F695" s="7"/>
    </row>
    <row r="696">
      <c r="B696" s="6"/>
      <c r="F696" s="7"/>
    </row>
    <row r="697">
      <c r="B697" s="6"/>
      <c r="F697" s="7"/>
    </row>
    <row r="698">
      <c r="B698" s="6"/>
      <c r="F698" s="7"/>
    </row>
    <row r="699">
      <c r="B699" s="6"/>
      <c r="F699" s="7"/>
    </row>
    <row r="700">
      <c r="B700" s="6"/>
      <c r="F700" s="7"/>
    </row>
    <row r="701">
      <c r="B701" s="6"/>
      <c r="F701" s="7"/>
    </row>
    <row r="702">
      <c r="B702" s="6"/>
      <c r="F702" s="7"/>
    </row>
    <row r="703">
      <c r="B703" s="6"/>
      <c r="F703" s="7"/>
    </row>
    <row r="704">
      <c r="B704" s="6"/>
      <c r="F704" s="7"/>
    </row>
    <row r="705">
      <c r="B705" s="6"/>
      <c r="F705" s="7"/>
    </row>
    <row r="706">
      <c r="B706" s="6"/>
      <c r="F706" s="7"/>
    </row>
    <row r="707">
      <c r="B707" s="6"/>
      <c r="F707" s="7"/>
    </row>
    <row r="708">
      <c r="B708" s="6"/>
      <c r="F708" s="7"/>
    </row>
    <row r="709">
      <c r="B709" s="6"/>
      <c r="F709" s="7"/>
    </row>
    <row r="710">
      <c r="B710" s="6"/>
      <c r="F710" s="7"/>
    </row>
    <row r="711">
      <c r="B711" s="6"/>
      <c r="F711" s="7"/>
    </row>
    <row r="712">
      <c r="B712" s="6"/>
      <c r="F712" s="7"/>
    </row>
    <row r="713">
      <c r="B713" s="6"/>
      <c r="F713" s="7"/>
    </row>
    <row r="714">
      <c r="B714" s="6"/>
      <c r="F714" s="7"/>
    </row>
    <row r="715">
      <c r="B715" s="6"/>
      <c r="F715" s="7"/>
    </row>
    <row r="716">
      <c r="B716" s="6"/>
      <c r="F716" s="7"/>
    </row>
    <row r="717">
      <c r="B717" s="6"/>
      <c r="F717" s="7"/>
    </row>
    <row r="718">
      <c r="B718" s="6"/>
      <c r="F718" s="7"/>
    </row>
    <row r="719">
      <c r="B719" s="6"/>
      <c r="F719" s="7"/>
    </row>
    <row r="720">
      <c r="B720" s="6"/>
      <c r="F720" s="7"/>
    </row>
    <row r="721">
      <c r="B721" s="6"/>
      <c r="F721" s="7"/>
    </row>
    <row r="722">
      <c r="B722" s="6"/>
      <c r="F722" s="7"/>
    </row>
    <row r="723">
      <c r="B723" s="6"/>
      <c r="F723" s="7"/>
    </row>
    <row r="724">
      <c r="B724" s="6"/>
      <c r="F724" s="7"/>
    </row>
    <row r="725">
      <c r="B725" s="6"/>
      <c r="F725" s="7"/>
    </row>
    <row r="726">
      <c r="B726" s="6"/>
      <c r="F726" s="7"/>
    </row>
    <row r="727">
      <c r="B727" s="6"/>
      <c r="F727" s="7"/>
    </row>
    <row r="728">
      <c r="B728" s="6"/>
      <c r="F728" s="7"/>
    </row>
    <row r="729">
      <c r="B729" s="6"/>
      <c r="F729" s="7"/>
    </row>
    <row r="730">
      <c r="B730" s="6"/>
      <c r="F730" s="7"/>
    </row>
    <row r="731">
      <c r="B731" s="6"/>
      <c r="F731" s="7"/>
    </row>
    <row r="732">
      <c r="B732" s="6"/>
      <c r="F732" s="7"/>
    </row>
    <row r="733">
      <c r="B733" s="6"/>
      <c r="F733" s="7"/>
    </row>
    <row r="734">
      <c r="B734" s="6"/>
      <c r="F734" s="7"/>
    </row>
    <row r="735">
      <c r="B735" s="6"/>
      <c r="F735" s="7"/>
    </row>
    <row r="736">
      <c r="B736" s="6"/>
      <c r="F736" s="7"/>
    </row>
    <row r="737">
      <c r="B737" s="6"/>
      <c r="F737" s="7"/>
    </row>
    <row r="738">
      <c r="B738" s="6"/>
      <c r="F738" s="7"/>
    </row>
    <row r="739">
      <c r="B739" s="6"/>
      <c r="F739" s="7"/>
    </row>
    <row r="740">
      <c r="B740" s="6"/>
      <c r="F740" s="7"/>
    </row>
    <row r="741">
      <c r="B741" s="6"/>
      <c r="F741" s="7"/>
    </row>
    <row r="742">
      <c r="B742" s="6"/>
      <c r="F742" s="7"/>
    </row>
    <row r="743">
      <c r="B743" s="6"/>
      <c r="F743" s="7"/>
    </row>
    <row r="744">
      <c r="B744" s="6"/>
      <c r="F744" s="7"/>
    </row>
    <row r="745">
      <c r="B745" s="6"/>
      <c r="F745" s="7"/>
    </row>
    <row r="746">
      <c r="B746" s="6"/>
      <c r="F746" s="7"/>
    </row>
    <row r="747">
      <c r="B747" s="6"/>
      <c r="F747" s="7"/>
    </row>
    <row r="748">
      <c r="B748" s="6"/>
      <c r="F748" s="7"/>
    </row>
    <row r="749">
      <c r="B749" s="6"/>
      <c r="F749" s="7"/>
    </row>
    <row r="750">
      <c r="B750" s="6"/>
      <c r="F750" s="7"/>
    </row>
    <row r="751">
      <c r="B751" s="6"/>
      <c r="F751" s="7"/>
    </row>
    <row r="752">
      <c r="B752" s="6"/>
      <c r="F752" s="7"/>
    </row>
    <row r="753">
      <c r="B753" s="6"/>
      <c r="F753" s="7"/>
    </row>
    <row r="754">
      <c r="B754" s="6"/>
      <c r="F754" s="7"/>
    </row>
    <row r="755">
      <c r="B755" s="6"/>
      <c r="F755" s="7"/>
    </row>
    <row r="756">
      <c r="B756" s="6"/>
      <c r="F756" s="7"/>
    </row>
    <row r="757">
      <c r="B757" s="6"/>
      <c r="F757" s="7"/>
    </row>
    <row r="758">
      <c r="B758" s="6"/>
      <c r="F758" s="7"/>
    </row>
    <row r="759">
      <c r="B759" s="6"/>
      <c r="F759" s="7"/>
    </row>
    <row r="760">
      <c r="B760" s="6"/>
      <c r="F760" s="7"/>
    </row>
    <row r="761">
      <c r="B761" s="6"/>
      <c r="F761" s="7"/>
    </row>
    <row r="762">
      <c r="B762" s="6"/>
      <c r="F762" s="7"/>
    </row>
    <row r="763">
      <c r="B763" s="6"/>
      <c r="F763" s="7"/>
    </row>
    <row r="764">
      <c r="B764" s="6"/>
      <c r="F764" s="7"/>
    </row>
    <row r="765">
      <c r="B765" s="6"/>
      <c r="F765" s="7"/>
    </row>
    <row r="766">
      <c r="B766" s="6"/>
      <c r="F766" s="7"/>
    </row>
    <row r="767">
      <c r="B767" s="6"/>
      <c r="F767" s="7"/>
    </row>
    <row r="768">
      <c r="B768" s="6"/>
      <c r="F768" s="7"/>
    </row>
    <row r="769">
      <c r="B769" s="6"/>
      <c r="F769" s="7"/>
    </row>
    <row r="770">
      <c r="B770" s="6"/>
      <c r="F770" s="7"/>
    </row>
    <row r="771">
      <c r="B771" s="6"/>
      <c r="F771" s="7"/>
    </row>
    <row r="772">
      <c r="B772" s="6"/>
      <c r="F772" s="7"/>
    </row>
    <row r="773">
      <c r="B773" s="6"/>
      <c r="F773" s="7"/>
    </row>
    <row r="774">
      <c r="B774" s="6"/>
      <c r="F774" s="7"/>
    </row>
    <row r="775">
      <c r="B775" s="6"/>
      <c r="F775" s="7"/>
    </row>
    <row r="776">
      <c r="B776" s="6"/>
      <c r="F776" s="7"/>
    </row>
    <row r="777">
      <c r="B777" s="6"/>
      <c r="F777" s="7"/>
    </row>
    <row r="778">
      <c r="B778" s="6"/>
      <c r="F778" s="7"/>
    </row>
    <row r="779">
      <c r="B779" s="6"/>
      <c r="F779" s="7"/>
    </row>
    <row r="780">
      <c r="B780" s="6"/>
      <c r="F780" s="7"/>
    </row>
    <row r="781">
      <c r="B781" s="6"/>
      <c r="F781" s="7"/>
    </row>
    <row r="782">
      <c r="B782" s="6"/>
      <c r="F782" s="7"/>
    </row>
    <row r="783">
      <c r="B783" s="6"/>
      <c r="F783" s="7"/>
    </row>
    <row r="784">
      <c r="B784" s="6"/>
      <c r="F784" s="7"/>
    </row>
    <row r="785">
      <c r="B785" s="6"/>
      <c r="F785" s="7"/>
    </row>
    <row r="786">
      <c r="B786" s="6"/>
      <c r="F786" s="7"/>
    </row>
    <row r="787">
      <c r="B787" s="6"/>
      <c r="F787" s="7"/>
    </row>
    <row r="788">
      <c r="B788" s="6"/>
      <c r="F788" s="7"/>
    </row>
    <row r="789">
      <c r="B789" s="6"/>
      <c r="F789" s="7"/>
    </row>
    <row r="790">
      <c r="B790" s="6"/>
      <c r="F790" s="7"/>
    </row>
    <row r="791">
      <c r="B791" s="6"/>
      <c r="F791" s="7"/>
    </row>
    <row r="792">
      <c r="B792" s="6"/>
      <c r="F792" s="7"/>
    </row>
    <row r="793">
      <c r="B793" s="6"/>
      <c r="F793" s="7"/>
    </row>
    <row r="794">
      <c r="B794" s="6"/>
      <c r="F794" s="7"/>
    </row>
    <row r="795">
      <c r="B795" s="6"/>
      <c r="F795" s="7"/>
    </row>
    <row r="796">
      <c r="B796" s="6"/>
      <c r="F796" s="7"/>
    </row>
    <row r="797">
      <c r="B797" s="6"/>
      <c r="F797" s="7"/>
    </row>
    <row r="798">
      <c r="B798" s="6"/>
      <c r="F798" s="7"/>
    </row>
    <row r="799">
      <c r="B799" s="6"/>
      <c r="F799" s="7"/>
    </row>
    <row r="800">
      <c r="B800" s="6"/>
      <c r="F800" s="7"/>
    </row>
    <row r="801">
      <c r="B801" s="6"/>
      <c r="F801" s="7"/>
    </row>
    <row r="802">
      <c r="B802" s="6"/>
      <c r="F802" s="7"/>
    </row>
    <row r="803">
      <c r="B803" s="6"/>
      <c r="F803" s="7"/>
    </row>
    <row r="804">
      <c r="B804" s="6"/>
      <c r="F804" s="7"/>
    </row>
    <row r="805">
      <c r="B805" s="6"/>
      <c r="F805" s="7"/>
    </row>
    <row r="806">
      <c r="B806" s="6"/>
      <c r="F806" s="7"/>
    </row>
    <row r="807">
      <c r="B807" s="6"/>
      <c r="F807" s="7"/>
    </row>
    <row r="808">
      <c r="B808" s="6"/>
      <c r="F808" s="7"/>
    </row>
    <row r="809">
      <c r="B809" s="6"/>
      <c r="F809" s="7"/>
    </row>
    <row r="810">
      <c r="B810" s="6"/>
      <c r="F810" s="7"/>
    </row>
    <row r="811">
      <c r="B811" s="6"/>
      <c r="F811" s="7"/>
    </row>
    <row r="812">
      <c r="B812" s="6"/>
      <c r="F812" s="7"/>
    </row>
    <row r="813">
      <c r="B813" s="6"/>
      <c r="F813" s="7"/>
    </row>
    <row r="814">
      <c r="B814" s="6"/>
      <c r="F814" s="7"/>
    </row>
    <row r="815">
      <c r="B815" s="6"/>
      <c r="F815" s="7"/>
    </row>
    <row r="816">
      <c r="B816" s="6"/>
      <c r="F816" s="7"/>
    </row>
    <row r="817">
      <c r="B817" s="6"/>
      <c r="F817" s="7"/>
    </row>
    <row r="818">
      <c r="B818" s="6"/>
      <c r="F818" s="7"/>
    </row>
    <row r="819">
      <c r="B819" s="6"/>
      <c r="F819" s="7"/>
    </row>
    <row r="820">
      <c r="B820" s="6"/>
      <c r="F820" s="7"/>
    </row>
    <row r="821">
      <c r="B821" s="6"/>
      <c r="F821" s="7"/>
    </row>
    <row r="822">
      <c r="B822" s="6"/>
      <c r="F822" s="7"/>
    </row>
    <row r="823">
      <c r="B823" s="6"/>
      <c r="F823" s="7"/>
    </row>
    <row r="824">
      <c r="B824" s="6"/>
      <c r="F824" s="7"/>
    </row>
    <row r="825">
      <c r="B825" s="6"/>
      <c r="F825" s="7"/>
    </row>
    <row r="826">
      <c r="B826" s="6"/>
      <c r="F826" s="7"/>
    </row>
    <row r="827">
      <c r="B827" s="6"/>
      <c r="F827" s="7"/>
    </row>
    <row r="828">
      <c r="B828" s="6"/>
      <c r="F828" s="7"/>
    </row>
    <row r="829">
      <c r="B829" s="6"/>
      <c r="F829" s="7"/>
    </row>
    <row r="830">
      <c r="B830" s="6"/>
      <c r="F830" s="7"/>
    </row>
    <row r="831">
      <c r="B831" s="6"/>
      <c r="F831" s="7"/>
    </row>
    <row r="832">
      <c r="B832" s="6"/>
      <c r="F832" s="7"/>
    </row>
    <row r="833">
      <c r="B833" s="6"/>
      <c r="F833" s="7"/>
    </row>
    <row r="834">
      <c r="B834" s="6"/>
      <c r="F834" s="7"/>
    </row>
    <row r="835">
      <c r="B835" s="6"/>
      <c r="F835" s="7"/>
    </row>
    <row r="836">
      <c r="B836" s="6"/>
      <c r="F836" s="7"/>
    </row>
    <row r="837">
      <c r="B837" s="6"/>
      <c r="F837" s="7"/>
    </row>
    <row r="838">
      <c r="B838" s="6"/>
      <c r="F838" s="7"/>
    </row>
    <row r="839">
      <c r="B839" s="6"/>
      <c r="F839" s="7"/>
    </row>
    <row r="840">
      <c r="B840" s="6"/>
      <c r="F840" s="7"/>
    </row>
    <row r="841">
      <c r="B841" s="6"/>
      <c r="F841" s="7"/>
    </row>
    <row r="842">
      <c r="B842" s="6"/>
      <c r="F842" s="7"/>
    </row>
    <row r="843">
      <c r="B843" s="6"/>
      <c r="F843" s="7"/>
    </row>
    <row r="844">
      <c r="B844" s="6"/>
      <c r="F844" s="7"/>
    </row>
    <row r="845">
      <c r="B845" s="6"/>
      <c r="F845" s="7"/>
    </row>
    <row r="846">
      <c r="B846" s="6"/>
      <c r="F846" s="7"/>
    </row>
    <row r="847">
      <c r="B847" s="6"/>
      <c r="F847" s="7"/>
    </row>
    <row r="848">
      <c r="B848" s="6"/>
      <c r="F848" s="7"/>
    </row>
    <row r="849">
      <c r="B849" s="6"/>
      <c r="F849" s="7"/>
    </row>
    <row r="850">
      <c r="B850" s="6"/>
      <c r="F850" s="7"/>
    </row>
    <row r="851">
      <c r="B851" s="6"/>
      <c r="F851" s="7"/>
    </row>
    <row r="852">
      <c r="B852" s="6"/>
      <c r="F852" s="7"/>
    </row>
    <row r="853">
      <c r="B853" s="6"/>
      <c r="F853" s="7"/>
    </row>
    <row r="854">
      <c r="B854" s="6"/>
      <c r="F854" s="7"/>
    </row>
    <row r="855">
      <c r="B855" s="6"/>
      <c r="F855" s="7"/>
    </row>
    <row r="856">
      <c r="B856" s="6"/>
      <c r="F856" s="7"/>
    </row>
    <row r="857">
      <c r="B857" s="6"/>
      <c r="F857" s="7"/>
    </row>
    <row r="858">
      <c r="B858" s="6"/>
      <c r="F858" s="7"/>
    </row>
    <row r="859">
      <c r="B859" s="6"/>
      <c r="F859" s="7"/>
    </row>
    <row r="860">
      <c r="B860" s="6"/>
      <c r="F860" s="7"/>
    </row>
    <row r="861">
      <c r="B861" s="6"/>
      <c r="F861" s="7"/>
    </row>
    <row r="862">
      <c r="B862" s="6"/>
      <c r="F862" s="7"/>
    </row>
    <row r="863">
      <c r="B863" s="6"/>
      <c r="F863" s="7"/>
    </row>
    <row r="864">
      <c r="B864" s="6"/>
      <c r="F864" s="7"/>
    </row>
    <row r="865">
      <c r="B865" s="6"/>
      <c r="F865" s="7"/>
    </row>
    <row r="866">
      <c r="B866" s="6"/>
      <c r="F866" s="7"/>
    </row>
    <row r="867">
      <c r="B867" s="6"/>
      <c r="F867" s="7"/>
    </row>
    <row r="868">
      <c r="B868" s="6"/>
      <c r="F868" s="7"/>
    </row>
    <row r="869">
      <c r="B869" s="6"/>
      <c r="F869" s="7"/>
    </row>
    <row r="870">
      <c r="B870" s="6"/>
      <c r="F870" s="7"/>
    </row>
    <row r="871">
      <c r="B871" s="6"/>
      <c r="F871" s="7"/>
    </row>
    <row r="872">
      <c r="B872" s="6"/>
      <c r="F872" s="7"/>
    </row>
    <row r="873">
      <c r="B873" s="6"/>
      <c r="F873" s="7"/>
    </row>
    <row r="874">
      <c r="B874" s="6"/>
      <c r="F874" s="7"/>
    </row>
    <row r="875">
      <c r="B875" s="6"/>
      <c r="F875" s="7"/>
    </row>
    <row r="876">
      <c r="B876" s="6"/>
      <c r="F876" s="7"/>
    </row>
    <row r="877">
      <c r="B877" s="6"/>
      <c r="F877" s="7"/>
    </row>
    <row r="878">
      <c r="B878" s="6"/>
      <c r="F878" s="7"/>
    </row>
    <row r="879">
      <c r="B879" s="6"/>
      <c r="F879" s="7"/>
    </row>
    <row r="880">
      <c r="B880" s="6"/>
      <c r="F880" s="7"/>
    </row>
    <row r="881">
      <c r="B881" s="6"/>
      <c r="F881" s="7"/>
    </row>
    <row r="882">
      <c r="B882" s="6"/>
      <c r="F882" s="7"/>
    </row>
    <row r="883">
      <c r="B883" s="6"/>
      <c r="F883" s="7"/>
    </row>
    <row r="884">
      <c r="B884" s="6"/>
      <c r="F884" s="7"/>
    </row>
    <row r="885">
      <c r="B885" s="6"/>
      <c r="F885" s="7"/>
    </row>
    <row r="886">
      <c r="B886" s="6"/>
      <c r="F886" s="7"/>
    </row>
    <row r="887">
      <c r="B887" s="6"/>
      <c r="F887" s="7"/>
    </row>
    <row r="888">
      <c r="B888" s="6"/>
      <c r="F888" s="7"/>
    </row>
    <row r="889">
      <c r="B889" s="6"/>
      <c r="F889" s="7"/>
    </row>
    <row r="890">
      <c r="B890" s="6"/>
      <c r="F890" s="7"/>
    </row>
    <row r="891">
      <c r="B891" s="6"/>
      <c r="F891" s="7"/>
    </row>
    <row r="892">
      <c r="B892" s="6"/>
      <c r="F892" s="7"/>
    </row>
    <row r="893">
      <c r="B893" s="6"/>
      <c r="F893" s="7"/>
    </row>
    <row r="894">
      <c r="B894" s="6"/>
      <c r="F894" s="7"/>
    </row>
    <row r="895">
      <c r="B895" s="6"/>
      <c r="F895" s="7"/>
    </row>
    <row r="896">
      <c r="B896" s="6"/>
      <c r="F896" s="7"/>
    </row>
    <row r="897">
      <c r="B897" s="6"/>
      <c r="F897" s="7"/>
    </row>
    <row r="898">
      <c r="B898" s="6"/>
      <c r="F898" s="7"/>
    </row>
    <row r="899">
      <c r="B899" s="6"/>
      <c r="F899" s="7"/>
    </row>
    <row r="900">
      <c r="B900" s="6"/>
      <c r="F900" s="7"/>
    </row>
    <row r="901">
      <c r="B901" s="6"/>
      <c r="F901" s="7"/>
    </row>
    <row r="902">
      <c r="B902" s="6"/>
      <c r="F902" s="7"/>
    </row>
    <row r="903">
      <c r="B903" s="6"/>
      <c r="F903" s="7"/>
    </row>
    <row r="904">
      <c r="B904" s="6"/>
      <c r="F904" s="7"/>
    </row>
    <row r="905">
      <c r="B905" s="6"/>
      <c r="F905" s="7"/>
    </row>
    <row r="906">
      <c r="B906" s="6"/>
      <c r="F906" s="7"/>
    </row>
    <row r="907">
      <c r="B907" s="6"/>
      <c r="F907" s="7"/>
    </row>
    <row r="908">
      <c r="B908" s="6"/>
      <c r="F908" s="7"/>
    </row>
    <row r="909">
      <c r="B909" s="6"/>
      <c r="F909" s="7"/>
    </row>
    <row r="910">
      <c r="B910" s="6"/>
      <c r="F910" s="7"/>
    </row>
    <row r="911">
      <c r="B911" s="6"/>
      <c r="F911" s="7"/>
    </row>
    <row r="912">
      <c r="B912" s="6"/>
      <c r="F912" s="7"/>
    </row>
    <row r="913">
      <c r="B913" s="6"/>
      <c r="F913" s="7"/>
    </row>
    <row r="914">
      <c r="B914" s="6"/>
      <c r="F914" s="7"/>
    </row>
    <row r="915">
      <c r="B915" s="6"/>
      <c r="F915" s="7"/>
    </row>
    <row r="916">
      <c r="B916" s="6"/>
      <c r="F916" s="7"/>
    </row>
    <row r="917">
      <c r="B917" s="6"/>
      <c r="F917" s="7"/>
    </row>
    <row r="918">
      <c r="B918" s="6"/>
      <c r="F918" s="7"/>
    </row>
    <row r="919">
      <c r="B919" s="6"/>
      <c r="F919" s="7"/>
    </row>
    <row r="920">
      <c r="B920" s="6"/>
      <c r="F920" s="7"/>
    </row>
    <row r="921">
      <c r="B921" s="6"/>
      <c r="F921" s="7"/>
    </row>
    <row r="922">
      <c r="B922" s="6"/>
      <c r="F922" s="7"/>
    </row>
    <row r="923">
      <c r="B923" s="6"/>
      <c r="F923" s="7"/>
    </row>
    <row r="924">
      <c r="B924" s="6"/>
      <c r="F924" s="7"/>
    </row>
    <row r="925">
      <c r="B925" s="6"/>
      <c r="F925" s="7"/>
    </row>
    <row r="926">
      <c r="B926" s="6"/>
      <c r="F926" s="7"/>
    </row>
    <row r="927">
      <c r="B927" s="6"/>
      <c r="F927" s="7"/>
    </row>
    <row r="928">
      <c r="B928" s="6"/>
      <c r="F928" s="7"/>
    </row>
    <row r="929">
      <c r="B929" s="6"/>
      <c r="F929" s="7"/>
    </row>
    <row r="930">
      <c r="B930" s="6"/>
      <c r="F930" s="7"/>
    </row>
    <row r="931">
      <c r="B931" s="6"/>
      <c r="F931" s="7"/>
    </row>
    <row r="932">
      <c r="B932" s="6"/>
      <c r="F932" s="7"/>
    </row>
    <row r="933">
      <c r="B933" s="6"/>
      <c r="F933" s="7"/>
    </row>
    <row r="934">
      <c r="B934" s="6"/>
      <c r="F934" s="7"/>
    </row>
    <row r="935">
      <c r="B935" s="6"/>
      <c r="F935" s="7"/>
    </row>
    <row r="936">
      <c r="B936" s="6"/>
      <c r="F936" s="7"/>
    </row>
    <row r="937">
      <c r="B937" s="6"/>
      <c r="F937" s="7"/>
    </row>
    <row r="938">
      <c r="B938" s="6"/>
      <c r="F938" s="7"/>
    </row>
    <row r="939">
      <c r="B939" s="6"/>
      <c r="F939" s="7"/>
    </row>
    <row r="940">
      <c r="B940" s="6"/>
      <c r="F940" s="7"/>
    </row>
    <row r="941">
      <c r="B941" s="6"/>
      <c r="F941" s="7"/>
    </row>
    <row r="942">
      <c r="B942" s="6"/>
      <c r="F942" s="7"/>
    </row>
    <row r="943">
      <c r="B943" s="6"/>
      <c r="F943" s="7"/>
    </row>
    <row r="944">
      <c r="B944" s="6"/>
      <c r="F944" s="7"/>
    </row>
    <row r="945">
      <c r="B945" s="6"/>
      <c r="F945" s="7"/>
    </row>
    <row r="946">
      <c r="B946" s="6"/>
      <c r="F946" s="7"/>
    </row>
    <row r="947">
      <c r="B947" s="6"/>
      <c r="F947" s="7"/>
    </row>
    <row r="948">
      <c r="B948" s="6"/>
      <c r="F948" s="7"/>
    </row>
    <row r="949">
      <c r="B949" s="6"/>
      <c r="F949" s="7"/>
    </row>
    <row r="950">
      <c r="B950" s="6"/>
      <c r="F950" s="7"/>
    </row>
    <row r="951">
      <c r="B951" s="6"/>
      <c r="F951" s="7"/>
    </row>
    <row r="952">
      <c r="B952" s="6"/>
      <c r="F952" s="7"/>
    </row>
    <row r="953">
      <c r="B953" s="6"/>
      <c r="F953" s="7"/>
    </row>
    <row r="954">
      <c r="B954" s="6"/>
      <c r="F954" s="7"/>
    </row>
    <row r="955">
      <c r="B955" s="6"/>
      <c r="F955" s="7"/>
    </row>
    <row r="956">
      <c r="B956" s="6"/>
      <c r="F956" s="7"/>
    </row>
    <row r="957">
      <c r="B957" s="6"/>
      <c r="F957" s="7"/>
    </row>
    <row r="958">
      <c r="B958" s="6"/>
      <c r="F958" s="7"/>
    </row>
    <row r="959">
      <c r="B959" s="6"/>
      <c r="F959" s="7"/>
    </row>
    <row r="960">
      <c r="B960" s="6"/>
      <c r="F960" s="7"/>
    </row>
    <row r="961">
      <c r="B961" s="6"/>
      <c r="F961" s="7"/>
    </row>
    <row r="962">
      <c r="B962" s="6"/>
      <c r="F962" s="7"/>
    </row>
    <row r="963">
      <c r="B963" s="6"/>
      <c r="F963" s="7"/>
    </row>
    <row r="964">
      <c r="B964" s="6"/>
      <c r="F964" s="7"/>
    </row>
    <row r="965">
      <c r="B965" s="6"/>
      <c r="F965" s="7"/>
    </row>
    <row r="966">
      <c r="B966" s="6"/>
      <c r="F966" s="7"/>
    </row>
    <row r="967">
      <c r="B967" s="6"/>
      <c r="F967" s="7"/>
    </row>
    <row r="968">
      <c r="B968" s="6"/>
      <c r="F968" s="7"/>
    </row>
    <row r="969">
      <c r="B969" s="6"/>
      <c r="F969" s="7"/>
    </row>
    <row r="970">
      <c r="B970" s="6"/>
      <c r="F970" s="7"/>
    </row>
    <row r="971">
      <c r="B971" s="6"/>
      <c r="F971" s="7"/>
    </row>
    <row r="972">
      <c r="B972" s="6"/>
      <c r="F972" s="7"/>
    </row>
    <row r="973">
      <c r="B973" s="6"/>
      <c r="F973" s="7"/>
    </row>
    <row r="974">
      <c r="B974" s="6"/>
      <c r="F974" s="7"/>
    </row>
    <row r="975">
      <c r="B975" s="6"/>
      <c r="F975" s="7"/>
    </row>
    <row r="976">
      <c r="B976" s="6"/>
      <c r="F976" s="7"/>
    </row>
    <row r="977">
      <c r="B977" s="6"/>
      <c r="F977" s="7"/>
    </row>
    <row r="978">
      <c r="B978" s="6"/>
      <c r="F978" s="7"/>
    </row>
    <row r="979">
      <c r="B979" s="6"/>
      <c r="F979" s="7"/>
    </row>
    <row r="980">
      <c r="B980" s="6"/>
      <c r="F980" s="7"/>
    </row>
    <row r="981">
      <c r="B981" s="6"/>
      <c r="F981" s="7"/>
    </row>
    <row r="982">
      <c r="B982" s="6"/>
      <c r="F982" s="7"/>
    </row>
    <row r="983">
      <c r="B983" s="6"/>
      <c r="F983" s="7"/>
    </row>
    <row r="984">
      <c r="B984" s="6"/>
      <c r="F984" s="7"/>
    </row>
    <row r="985">
      <c r="B985" s="6"/>
      <c r="F985" s="7"/>
    </row>
    <row r="986">
      <c r="B986" s="6"/>
      <c r="F986" s="7"/>
    </row>
    <row r="987">
      <c r="B987" s="6"/>
      <c r="F987" s="7"/>
    </row>
    <row r="988">
      <c r="B988" s="6"/>
      <c r="F988" s="7"/>
    </row>
    <row r="989">
      <c r="B989" s="6"/>
      <c r="F989" s="7"/>
    </row>
    <row r="990">
      <c r="B990" s="6"/>
      <c r="F990" s="7"/>
    </row>
    <row r="991">
      <c r="B991" s="6"/>
      <c r="F991" s="7"/>
    </row>
    <row r="992">
      <c r="B992" s="6"/>
      <c r="F992" s="7"/>
    </row>
    <row r="993">
      <c r="B993" s="6"/>
      <c r="F993" s="7"/>
    </row>
    <row r="994">
      <c r="B994" s="6"/>
      <c r="F994" s="7"/>
    </row>
    <row r="995">
      <c r="B995" s="6"/>
      <c r="F995" s="7"/>
    </row>
    <row r="996">
      <c r="B996" s="6"/>
      <c r="F996" s="7"/>
    </row>
    <row r="997">
      <c r="B997" s="6"/>
      <c r="F997" s="7"/>
    </row>
    <row r="998">
      <c r="B998" s="6"/>
      <c r="F998" s="7"/>
    </row>
    <row r="999">
      <c r="B999" s="6"/>
      <c r="F999" s="7"/>
    </row>
    <row r="1000">
      <c r="B1000" s="6"/>
      <c r="F1000" s="7"/>
    </row>
  </sheetData>
  <dataValidations>
    <dataValidation type="list" allowBlank="1" showErrorMessage="1" sqref="B2:B1000">
      <formula1>"Pass,Fail"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5" max="5" width="37.71"/>
  </cols>
  <sheetData>
    <row r="1" ht="22.5" customHeight="1">
      <c r="A1" s="1" t="s">
        <v>0</v>
      </c>
      <c r="B1" s="1" t="s">
        <v>717</v>
      </c>
      <c r="C1" s="1" t="s">
        <v>718</v>
      </c>
      <c r="D1" s="13" t="s">
        <v>7</v>
      </c>
      <c r="E1" s="1" t="s">
        <v>11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>
      <c r="A2" s="6" t="str">
        <f>IFERROR(__xludf.DUMMYFUNCTION("FILTER('Phase 1'!A2:A997, LOWER('Phase 1'!J2:J997)=""pass"")"),"Acorn Energy, Inc. (NASDAQCM:ACFN)")</f>
        <v>Acorn Energy, Inc. (NASDAQCM:ACFN)</v>
      </c>
      <c r="B2" s="5" t="s">
        <v>722</v>
      </c>
      <c r="C2" s="15" t="s">
        <v>723</v>
      </c>
      <c r="D2" s="10" t="s">
        <v>724</v>
      </c>
      <c r="E2" s="7"/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722</v>
      </c>
      <c r="C3" s="15" t="s">
        <v>723</v>
      </c>
      <c r="D3" s="10" t="s">
        <v>725</v>
      </c>
      <c r="E3" s="7"/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726</v>
      </c>
      <c r="C4" s="15" t="s">
        <v>723</v>
      </c>
      <c r="D4" s="10" t="s">
        <v>727</v>
      </c>
      <c r="E4" s="7"/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726</v>
      </c>
      <c r="C5" s="15" t="s">
        <v>723</v>
      </c>
      <c r="D5" s="10" t="s">
        <v>728</v>
      </c>
      <c r="E5" s="10" t="s">
        <v>729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722</v>
      </c>
      <c r="C6" s="15" t="s">
        <v>723</v>
      </c>
      <c r="D6" s="10" t="s">
        <v>725</v>
      </c>
      <c r="E6" s="7"/>
    </row>
    <row r="7">
      <c r="A7" s="6" t="str">
        <f>IFERROR(__xludf.DUMMYFUNCTION("""COMPUTED_VALUE"""),"BJ's Restaurants, Inc. (NASDAQGS:BJRI)")</f>
        <v>BJ's Restaurants, Inc. (NASDAQGS:BJRI)</v>
      </c>
      <c r="B7" s="5" t="s">
        <v>722</v>
      </c>
      <c r="C7" s="15" t="s">
        <v>723</v>
      </c>
      <c r="D7" s="10" t="s">
        <v>730</v>
      </c>
      <c r="E7" s="7"/>
    </row>
    <row r="8">
      <c r="A8" s="6" t="str">
        <f>IFERROR(__xludf.DUMMYFUNCTION("""COMPUTED_VALUE"""),"Build-A-Bear Workshop, Inc. (NYSE:BBW)")</f>
        <v>Build-A-Bear Workshop, Inc. (NYSE:BBW)</v>
      </c>
      <c r="B8" s="5" t="s">
        <v>726</v>
      </c>
      <c r="C8" s="15" t="s">
        <v>723</v>
      </c>
      <c r="D8" s="10" t="s">
        <v>731</v>
      </c>
      <c r="E8" s="10" t="s">
        <v>732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726</v>
      </c>
      <c r="C9" s="15" t="s">
        <v>723</v>
      </c>
      <c r="D9" s="10" t="s">
        <v>728</v>
      </c>
      <c r="E9" s="7"/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5" t="s">
        <v>722</v>
      </c>
      <c r="C10" s="15" t="s">
        <v>723</v>
      </c>
      <c r="D10" s="10" t="s">
        <v>730</v>
      </c>
      <c r="E10" s="7"/>
    </row>
    <row r="11">
      <c r="A11" s="6" t="str">
        <f>IFERROR(__xludf.DUMMYFUNCTION("""COMPUTED_VALUE"""),"Cricut, Inc. (NASDAQGS:CRCT)")</f>
        <v>Cricut, Inc. (NASDAQGS:CRCT)</v>
      </c>
      <c r="B11" s="5" t="s">
        <v>726</v>
      </c>
      <c r="C11" s="15" t="s">
        <v>723</v>
      </c>
      <c r="D11" s="10" t="s">
        <v>725</v>
      </c>
      <c r="E11" s="7"/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0" t="s">
        <v>733</v>
      </c>
      <c r="E12" s="7"/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0" t="s">
        <v>724</v>
      </c>
      <c r="E13" s="7"/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0" t="s">
        <v>734</v>
      </c>
      <c r="E14" s="7"/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0" t="s">
        <v>730</v>
      </c>
      <c r="E15" s="7"/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0" t="s">
        <v>735</v>
      </c>
      <c r="E16" s="7"/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0" t="s">
        <v>730</v>
      </c>
      <c r="E17" s="7"/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0" t="s">
        <v>735</v>
      </c>
      <c r="E18" s="7"/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0" t="s">
        <v>728</v>
      </c>
      <c r="E19" s="7"/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0" t="s">
        <v>735</v>
      </c>
      <c r="E20" s="7"/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0" t="s">
        <v>733</v>
      </c>
      <c r="E21" s="7"/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0" t="s">
        <v>725</v>
      </c>
      <c r="E22" s="7"/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0" t="s">
        <v>736</v>
      </c>
      <c r="E23" s="7"/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0" t="s">
        <v>725</v>
      </c>
      <c r="E24" s="7"/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0" t="s">
        <v>737</v>
      </c>
      <c r="E25" s="7"/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0" t="s">
        <v>725</v>
      </c>
      <c r="E26" s="7"/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0" t="s">
        <v>735</v>
      </c>
      <c r="E27" s="7"/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0" t="s">
        <v>736</v>
      </c>
      <c r="E28" s="7"/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0" t="s">
        <v>730</v>
      </c>
      <c r="E29" s="7"/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0" t="s">
        <v>733</v>
      </c>
      <c r="E30" s="7"/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0" t="s">
        <v>735</v>
      </c>
      <c r="E31" s="7"/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0" t="s">
        <v>736</v>
      </c>
      <c r="E32" s="7"/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0" t="s">
        <v>727</v>
      </c>
      <c r="E33" s="7"/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0" t="s">
        <v>734</v>
      </c>
      <c r="E34" s="7"/>
    </row>
    <row r="35">
      <c r="A35" s="6" t="str">
        <f>IFERROR(__xludf.DUMMYFUNCTION("""COMPUTED_VALUE"""),"Good Times Restaurants Inc. (NASDAQCM:GTIM)")</f>
        <v>Good Times Restaurants Inc. (NASDAQCM:GTIM)</v>
      </c>
      <c r="B35" s="5" t="s">
        <v>722</v>
      </c>
      <c r="C35" s="15" t="s">
        <v>723</v>
      </c>
      <c r="D35" s="10" t="s">
        <v>730</v>
      </c>
      <c r="E35" s="10" t="s">
        <v>738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5" t="s">
        <v>726</v>
      </c>
      <c r="C36" s="15" t="s">
        <v>723</v>
      </c>
      <c r="D36" s="10" t="s">
        <v>725</v>
      </c>
      <c r="E36" s="7"/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0" t="s">
        <v>731</v>
      </c>
      <c r="E37" s="7"/>
    </row>
    <row r="38">
      <c r="A38" s="6" t="str">
        <f>IFERROR(__xludf.DUMMYFUNCTION("""COMPUTED_VALUE"""),"Helen of Troy Limited (NASDAQGS:HELE)")</f>
        <v>Helen of Troy Limited (NASDAQGS:HELE)</v>
      </c>
      <c r="B38" s="5" t="s">
        <v>726</v>
      </c>
      <c r="C38" s="15" t="s">
        <v>723</v>
      </c>
      <c r="D38" s="10" t="s">
        <v>725</v>
      </c>
      <c r="E38" s="7"/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0" t="s">
        <v>735</v>
      </c>
      <c r="E39" s="7"/>
    </row>
    <row r="40">
      <c r="A40" s="6" t="str">
        <f>IFERROR(__xludf.DUMMYFUNCTION("""COMPUTED_VALUE"""),"J.Jill, Inc. (NYSE:JILL)")</f>
        <v>J.Jill, Inc. (NYSE:JILL)</v>
      </c>
      <c r="B40" s="5" t="s">
        <v>726</v>
      </c>
      <c r="C40" s="15" t="s">
        <v>723</v>
      </c>
      <c r="D40" s="10" t="s">
        <v>731</v>
      </c>
      <c r="E40" s="7"/>
    </row>
    <row r="41">
      <c r="A41" s="6" t="str">
        <f>IFERROR(__xludf.DUMMYFUNCTION("""COMPUTED_VALUE"""),"JAKKS Pacific, Inc. (NASDAQGS:JAKK)")</f>
        <v>JAKKS Pacific, Inc. (NASDAQGS:JAKK)</v>
      </c>
      <c r="B41" s="6"/>
      <c r="C41" s="7"/>
      <c r="D41" s="10" t="s">
        <v>725</v>
      </c>
      <c r="E41" s="7"/>
    </row>
    <row r="42">
      <c r="A42" s="6" t="str">
        <f>IFERROR(__xludf.DUMMYFUNCTION("""COMPUTED_VALUE"""),"John B. Sanfilippo &amp; Son, Inc. (NASDAQGS:JBSS)")</f>
        <v>John B. Sanfilippo &amp; Son, Inc. (NASDAQGS:JBSS)</v>
      </c>
      <c r="B42" s="5" t="s">
        <v>726</v>
      </c>
      <c r="C42" s="15" t="s">
        <v>723</v>
      </c>
      <c r="D42" s="10" t="s">
        <v>725</v>
      </c>
      <c r="E42" s="7"/>
    </row>
    <row r="43">
      <c r="A43" s="6" t="str">
        <f>IFERROR(__xludf.DUMMYFUNCTION("""COMPUTED_VALUE"""),"Karat Packaging Inc. (NASDAQGS:KRT)")</f>
        <v>Karat Packaging Inc. (NASDAQGS:KRT)</v>
      </c>
      <c r="B43" s="6"/>
      <c r="C43" s="7"/>
      <c r="D43" s="10" t="s">
        <v>725</v>
      </c>
      <c r="E43" s="7"/>
    </row>
    <row r="44">
      <c r="A44" s="6" t="str">
        <f>IFERROR(__xludf.DUMMYFUNCTION("""COMPUTED_VALUE"""),"Legacy Housing Corporation (NASDAQGS:LEGH)")</f>
        <v>Legacy Housing Corporation (NASDAQGS:LEGH)</v>
      </c>
      <c r="B44" s="6"/>
      <c r="C44" s="7"/>
      <c r="D44" s="10" t="s">
        <v>725</v>
      </c>
      <c r="E44" s="7"/>
    </row>
    <row r="45">
      <c r="A45" s="6" t="str">
        <f>IFERROR(__xludf.DUMMYFUNCTION("""COMPUTED_VALUE"""),"Lifeway Foods, Inc. (NASDAQGM:LWAY)")</f>
        <v>Lifeway Foods, Inc. (NASDAQGM:LWAY)</v>
      </c>
      <c r="B45" s="6"/>
      <c r="C45" s="7"/>
      <c r="D45" s="10" t="s">
        <v>725</v>
      </c>
      <c r="E45" s="7"/>
    </row>
    <row r="46">
      <c r="A46" s="6" t="str">
        <f>IFERROR(__xludf.DUMMYFUNCTION("""COMPUTED_VALUE"""),"Lincoln Educational Services Corporation (NASDAQGS:LINC)")</f>
        <v>Lincoln Educational Services Corporation (NASDAQGS:LINC)</v>
      </c>
      <c r="B46" s="6"/>
      <c r="C46" s="7"/>
      <c r="D46" s="10" t="s">
        <v>739</v>
      </c>
      <c r="E46" s="7"/>
    </row>
    <row r="47">
      <c r="A47" s="6" t="str">
        <f>IFERROR(__xludf.DUMMYFUNCTION("""COMPUTED_VALUE"""),"Maison Solutions Inc. (NASDAQCM:MSS)")</f>
        <v>Maison Solutions Inc. (NASDAQCM:MSS)</v>
      </c>
      <c r="B47" s="6"/>
      <c r="C47" s="7"/>
      <c r="D47" s="10" t="s">
        <v>731</v>
      </c>
      <c r="E47" s="7"/>
    </row>
    <row r="48">
      <c r="A48" s="6" t="str">
        <f>IFERROR(__xludf.DUMMYFUNCTION("""COMPUTED_VALUE"""),"Malibu Boats, Inc. (NASDAQGM:MBUU)")</f>
        <v>Malibu Boats, Inc. (NASDAQGM:MBUU)</v>
      </c>
      <c r="B48" s="6"/>
      <c r="C48" s="7"/>
      <c r="D48" s="10" t="s">
        <v>725</v>
      </c>
      <c r="E48" s="7"/>
    </row>
    <row r="49">
      <c r="A49" s="6" t="str">
        <f>IFERROR(__xludf.DUMMYFUNCTION("""COMPUTED_VALUE"""),"Mama's Creations, Inc. (NASDAQCM:MAMA)")</f>
        <v>Mama's Creations, Inc. (NASDAQCM:MAMA)</v>
      </c>
      <c r="B49" s="6"/>
      <c r="C49" s="7"/>
      <c r="D49" s="10" t="s">
        <v>725</v>
      </c>
      <c r="E49" s="7"/>
    </row>
    <row r="50">
      <c r="A50" s="6" t="str">
        <f>IFERROR(__xludf.DUMMYFUNCTION("""COMPUTED_VALUE"""),"Montauk Renewables, Inc. (NASDAQCM:MNTK)")</f>
        <v>Montauk Renewables, Inc. (NASDAQCM:MNTK)</v>
      </c>
      <c r="B50" s="6"/>
      <c r="C50" s="7"/>
      <c r="D50" s="10" t="s">
        <v>733</v>
      </c>
      <c r="E50" s="7"/>
    </row>
    <row r="51">
      <c r="A51" s="6" t="str">
        <f>IFERROR(__xludf.DUMMYFUNCTION("""COMPUTED_VALUE"""),"Nathan's Famous, Inc. (NASDAQGS:NATH)")</f>
        <v>Nathan's Famous, Inc. (NASDAQGS:NATH)</v>
      </c>
      <c r="B51" s="5" t="s">
        <v>722</v>
      </c>
      <c r="C51" s="15" t="s">
        <v>723</v>
      </c>
      <c r="D51" s="10" t="s">
        <v>735</v>
      </c>
      <c r="E51" s="10" t="s">
        <v>740</v>
      </c>
    </row>
    <row r="52">
      <c r="A52" s="6" t="str">
        <f>IFERROR(__xludf.DUMMYFUNCTION("""COMPUTED_VALUE"""),"Pioneer Power Solutions, Inc. (NASDAQCM:PPSI)")</f>
        <v>Pioneer Power Solutions, Inc. (NASDAQCM:PPSI)</v>
      </c>
      <c r="B52" s="6"/>
      <c r="C52" s="7"/>
      <c r="D52" s="10" t="s">
        <v>728</v>
      </c>
      <c r="E52" s="7"/>
    </row>
    <row r="53">
      <c r="A53" s="6" t="str">
        <f>IFERROR(__xludf.DUMMYFUNCTION("""COMPUTED_VALUE"""),"Saga Communications, Inc. (NASDAQGM:SGA)")</f>
        <v>Saga Communications, Inc. (NASDAQGM:SGA)</v>
      </c>
      <c r="B53" s="6"/>
      <c r="C53" s="7"/>
      <c r="D53" s="10" t="s">
        <v>731</v>
      </c>
      <c r="E53" s="7"/>
    </row>
    <row r="54">
      <c r="A54" s="6" t="str">
        <f>IFERROR(__xludf.DUMMYFUNCTION("""COMPUTED_VALUE"""),"Shoe Carnival, Inc. (NASDAQGS:SCVL)")</f>
        <v>Shoe Carnival, Inc. (NASDAQGS:SCVL)</v>
      </c>
      <c r="B54" s="6"/>
      <c r="C54" s="7"/>
      <c r="D54" s="10" t="s">
        <v>724</v>
      </c>
      <c r="E54" s="7"/>
    </row>
    <row r="55">
      <c r="A55" s="6" t="str">
        <f>IFERROR(__xludf.DUMMYFUNCTION("""COMPUTED_VALUE"""),"Shutterstock, Inc. (NYSE:SSTK)")</f>
        <v>Shutterstock, Inc. (NYSE:SSTK)</v>
      </c>
      <c r="B55" s="6"/>
      <c r="C55" s="7"/>
      <c r="D55" s="10" t="s">
        <v>731</v>
      </c>
      <c r="E55" s="7"/>
    </row>
    <row r="56">
      <c r="A56" s="6" t="str">
        <f>IFERROR(__xludf.DUMMYFUNCTION("""COMPUTED_VALUE"""),"Tandy Leather Factory, Inc. (NASDAQCM:TLF)")</f>
        <v>Tandy Leather Factory, Inc. (NASDAQCM:TLF)</v>
      </c>
      <c r="B56" s="6"/>
      <c r="C56" s="7"/>
      <c r="D56" s="10" t="s">
        <v>735</v>
      </c>
      <c r="E56" s="7"/>
    </row>
    <row r="57">
      <c r="A57" s="6" t="str">
        <f>IFERROR(__xludf.DUMMYFUNCTION("""COMPUTED_VALUE"""),"Ultralife Corporation (NASDAQGM:ULBI)")</f>
        <v>Ultralife Corporation (NASDAQGM:ULBI)</v>
      </c>
      <c r="B57" s="6"/>
      <c r="C57" s="7"/>
      <c r="D57" s="10" t="s">
        <v>735</v>
      </c>
      <c r="E57" s="7"/>
    </row>
    <row r="58">
      <c r="A58" s="6" t="str">
        <f>IFERROR(__xludf.DUMMYFUNCTION("""COMPUTED_VALUE"""),"Wabash National Corporation (NYSE:WNC)")</f>
        <v>Wabash National Corporation (NYSE:WNC)</v>
      </c>
      <c r="B58" s="6"/>
      <c r="C58" s="7"/>
      <c r="D58" s="7"/>
      <c r="E58" s="7"/>
    </row>
    <row r="59">
      <c r="B59" s="6"/>
      <c r="C59" s="7"/>
      <c r="D59" s="7"/>
      <c r="E59" s="7"/>
    </row>
    <row r="60">
      <c r="B60" s="6"/>
      <c r="C60" s="7"/>
      <c r="D60" s="7"/>
      <c r="E60" s="7"/>
    </row>
    <row r="61">
      <c r="B61" s="6"/>
      <c r="C61" s="7"/>
      <c r="D61" s="7"/>
      <c r="E61" s="7"/>
    </row>
    <row r="62">
      <c r="B62" s="6"/>
      <c r="C62" s="7"/>
      <c r="D62" s="7"/>
      <c r="E62" s="7"/>
    </row>
    <row r="63">
      <c r="B63" s="6"/>
      <c r="C63" s="7"/>
      <c r="D63" s="7"/>
      <c r="E63" s="7"/>
    </row>
    <row r="64">
      <c r="B64" s="6"/>
      <c r="C64" s="7"/>
      <c r="D64" s="7"/>
      <c r="E64" s="7"/>
    </row>
    <row r="65">
      <c r="B65" s="6"/>
      <c r="C65" s="7"/>
      <c r="D65" s="7"/>
      <c r="E65" s="7"/>
    </row>
    <row r="66">
      <c r="B66" s="6"/>
      <c r="C66" s="7"/>
      <c r="D66" s="7"/>
      <c r="E66" s="7"/>
    </row>
    <row r="67">
      <c r="B67" s="6"/>
      <c r="C67" s="7"/>
      <c r="D67" s="7"/>
      <c r="E67" s="7"/>
    </row>
    <row r="68">
      <c r="B68" s="6"/>
      <c r="C68" s="7"/>
      <c r="D68" s="7"/>
      <c r="E68" s="7"/>
    </row>
    <row r="69">
      <c r="B69" s="6"/>
      <c r="C69" s="7"/>
      <c r="D69" s="7"/>
      <c r="E69" s="7"/>
    </row>
    <row r="70">
      <c r="B70" s="6"/>
      <c r="C70" s="7"/>
      <c r="D70" s="7"/>
      <c r="E70" s="7"/>
    </row>
    <row r="71">
      <c r="B71" s="6"/>
      <c r="C71" s="7"/>
      <c r="D71" s="7"/>
      <c r="E71" s="7"/>
    </row>
    <row r="72">
      <c r="B72" s="6"/>
      <c r="C72" s="7"/>
      <c r="D72" s="7"/>
      <c r="E72" s="7"/>
    </row>
    <row r="73">
      <c r="B73" s="6"/>
      <c r="C73" s="7"/>
      <c r="D73" s="7"/>
      <c r="E73" s="7"/>
    </row>
    <row r="74">
      <c r="B74" s="6"/>
      <c r="C74" s="7"/>
      <c r="D74" s="7"/>
      <c r="E74" s="7"/>
    </row>
    <row r="75">
      <c r="B75" s="6"/>
      <c r="C75" s="7"/>
      <c r="D75" s="7"/>
      <c r="E75" s="7"/>
    </row>
    <row r="76">
      <c r="B76" s="6"/>
      <c r="C76" s="7"/>
      <c r="D76" s="7"/>
      <c r="E76" s="7"/>
    </row>
    <row r="77">
      <c r="B77" s="6"/>
      <c r="C77" s="7"/>
      <c r="D77" s="7"/>
      <c r="E77" s="7"/>
    </row>
    <row r="78">
      <c r="B78" s="6"/>
      <c r="C78" s="7"/>
      <c r="D78" s="7"/>
      <c r="E78" s="7"/>
    </row>
    <row r="79">
      <c r="B79" s="6"/>
      <c r="C79" s="7"/>
      <c r="D79" s="7"/>
      <c r="E79" s="7"/>
    </row>
    <row r="80">
      <c r="B80" s="6"/>
      <c r="C80" s="7"/>
      <c r="D80" s="7"/>
      <c r="E80" s="7"/>
    </row>
    <row r="81">
      <c r="B81" s="6"/>
      <c r="C81" s="7"/>
      <c r="D81" s="7"/>
      <c r="E81" s="7"/>
    </row>
    <row r="82">
      <c r="B82" s="6"/>
      <c r="C82" s="7"/>
      <c r="D82" s="7"/>
      <c r="E82" s="7"/>
    </row>
    <row r="83">
      <c r="B83" s="6"/>
      <c r="C83" s="7"/>
      <c r="D83" s="7"/>
      <c r="E83" s="7"/>
    </row>
    <row r="84">
      <c r="B84" s="6"/>
      <c r="C84" s="7"/>
      <c r="D84" s="7"/>
      <c r="E84" s="7"/>
    </row>
    <row r="85">
      <c r="B85" s="6"/>
      <c r="C85" s="7"/>
      <c r="D85" s="7"/>
      <c r="E85" s="7"/>
    </row>
    <row r="86">
      <c r="B86" s="6"/>
      <c r="C86" s="7"/>
      <c r="D86" s="7"/>
      <c r="E86" s="7"/>
    </row>
    <row r="87">
      <c r="B87" s="6"/>
      <c r="C87" s="7"/>
      <c r="D87" s="7"/>
      <c r="E87" s="7"/>
    </row>
    <row r="88">
      <c r="B88" s="6"/>
      <c r="C88" s="7"/>
      <c r="D88" s="7"/>
      <c r="E88" s="7"/>
    </row>
    <row r="89">
      <c r="B89" s="6"/>
      <c r="C89" s="7"/>
      <c r="D89" s="7"/>
      <c r="E89" s="7"/>
    </row>
    <row r="90">
      <c r="B90" s="6"/>
      <c r="C90" s="7"/>
      <c r="D90" s="7"/>
      <c r="E90" s="7"/>
    </row>
    <row r="91">
      <c r="B91" s="6"/>
      <c r="C91" s="7"/>
      <c r="D91" s="7"/>
      <c r="E91" s="7"/>
    </row>
    <row r="92">
      <c r="B92" s="6"/>
      <c r="C92" s="7"/>
      <c r="D92" s="7"/>
      <c r="E92" s="7"/>
    </row>
    <row r="93">
      <c r="B93" s="6"/>
      <c r="C93" s="7"/>
      <c r="D93" s="7"/>
      <c r="E93" s="7"/>
    </row>
    <row r="94">
      <c r="B94" s="6"/>
      <c r="C94" s="7"/>
      <c r="D94" s="7"/>
      <c r="E94" s="7"/>
    </row>
    <row r="95">
      <c r="B95" s="6"/>
      <c r="C95" s="7"/>
      <c r="D95" s="7"/>
      <c r="E95" s="7"/>
    </row>
    <row r="96">
      <c r="B96" s="6"/>
      <c r="C96" s="7"/>
      <c r="D96" s="7"/>
      <c r="E96" s="7"/>
    </row>
    <row r="97">
      <c r="B97" s="6"/>
      <c r="C97" s="7"/>
      <c r="D97" s="7"/>
      <c r="E97" s="7"/>
    </row>
    <row r="98">
      <c r="B98" s="6"/>
      <c r="C98" s="7"/>
      <c r="D98" s="7"/>
      <c r="E98" s="7"/>
    </row>
    <row r="99">
      <c r="B99" s="6"/>
      <c r="C99" s="7"/>
      <c r="D99" s="7"/>
      <c r="E99" s="7"/>
    </row>
    <row r="100">
      <c r="B100" s="6"/>
      <c r="C100" s="7"/>
      <c r="D100" s="7"/>
      <c r="E100" s="7"/>
    </row>
    <row r="101">
      <c r="B101" s="6"/>
      <c r="C101" s="7"/>
      <c r="D101" s="7"/>
      <c r="E101" s="7"/>
    </row>
    <row r="102">
      <c r="B102" s="6"/>
      <c r="C102" s="7"/>
      <c r="D102" s="7"/>
      <c r="E102" s="7"/>
    </row>
    <row r="103">
      <c r="B103" s="6"/>
      <c r="C103" s="7"/>
      <c r="D103" s="7"/>
      <c r="E103" s="7"/>
    </row>
    <row r="104">
      <c r="B104" s="6"/>
      <c r="C104" s="7"/>
      <c r="D104" s="7"/>
      <c r="E104" s="7"/>
    </row>
    <row r="105">
      <c r="B105" s="6"/>
      <c r="C105" s="7"/>
      <c r="D105" s="7"/>
      <c r="E105" s="7"/>
    </row>
    <row r="106">
      <c r="B106" s="6"/>
      <c r="C106" s="7"/>
      <c r="D106" s="7"/>
      <c r="E106" s="7"/>
    </row>
    <row r="107">
      <c r="B107" s="6"/>
      <c r="C107" s="7"/>
      <c r="D107" s="7"/>
      <c r="E107" s="7"/>
    </row>
    <row r="108">
      <c r="B108" s="6"/>
      <c r="C108" s="7"/>
      <c r="D108" s="7"/>
      <c r="E108" s="7"/>
    </row>
    <row r="109">
      <c r="B109" s="6"/>
      <c r="C109" s="7"/>
      <c r="D109" s="7"/>
      <c r="E109" s="7"/>
    </row>
    <row r="110">
      <c r="B110" s="6"/>
      <c r="C110" s="7"/>
      <c r="D110" s="7"/>
      <c r="E110" s="7"/>
    </row>
    <row r="111">
      <c r="B111" s="6"/>
      <c r="C111" s="7"/>
      <c r="D111" s="7"/>
      <c r="E111" s="7"/>
    </row>
    <row r="112">
      <c r="B112" s="6"/>
      <c r="C112" s="7"/>
      <c r="D112" s="7"/>
      <c r="E112" s="7"/>
    </row>
    <row r="113">
      <c r="B113" s="6"/>
      <c r="C113" s="7"/>
      <c r="D113" s="7"/>
      <c r="E113" s="7"/>
    </row>
    <row r="114">
      <c r="B114" s="6"/>
      <c r="C114" s="7"/>
      <c r="D114" s="7"/>
      <c r="E114" s="7"/>
    </row>
    <row r="115">
      <c r="B115" s="6"/>
      <c r="C115" s="7"/>
      <c r="D115" s="7"/>
      <c r="E115" s="7"/>
    </row>
    <row r="116">
      <c r="B116" s="6"/>
      <c r="C116" s="7"/>
      <c r="D116" s="7"/>
      <c r="E116" s="7"/>
    </row>
    <row r="117">
      <c r="B117" s="6"/>
      <c r="C117" s="7"/>
      <c r="D117" s="7"/>
      <c r="E117" s="7"/>
    </row>
    <row r="118">
      <c r="B118" s="6"/>
      <c r="C118" s="7"/>
      <c r="D118" s="7"/>
      <c r="E118" s="7"/>
    </row>
    <row r="119">
      <c r="B119" s="6"/>
      <c r="C119" s="7"/>
      <c r="D119" s="7"/>
      <c r="E119" s="7"/>
    </row>
    <row r="120">
      <c r="B120" s="6"/>
      <c r="C120" s="7"/>
      <c r="D120" s="7"/>
      <c r="E120" s="7"/>
    </row>
    <row r="121">
      <c r="B121" s="6"/>
      <c r="C121" s="7"/>
      <c r="D121" s="7"/>
      <c r="E121" s="7"/>
    </row>
    <row r="122">
      <c r="B122" s="6"/>
      <c r="C122" s="7"/>
      <c r="D122" s="7"/>
      <c r="E122" s="7"/>
    </row>
    <row r="123">
      <c r="B123" s="6"/>
      <c r="C123" s="7"/>
      <c r="D123" s="7"/>
      <c r="E123" s="7"/>
    </row>
    <row r="124">
      <c r="B124" s="6"/>
      <c r="C124" s="7"/>
      <c r="D124" s="7"/>
      <c r="E124" s="7"/>
    </row>
    <row r="125">
      <c r="B125" s="6"/>
      <c r="C125" s="7"/>
      <c r="D125" s="7"/>
      <c r="E125" s="7"/>
    </row>
    <row r="126">
      <c r="B126" s="6"/>
      <c r="C126" s="7"/>
      <c r="D126" s="7"/>
      <c r="E126" s="7"/>
    </row>
    <row r="127">
      <c r="B127" s="6"/>
      <c r="C127" s="7"/>
      <c r="D127" s="7"/>
      <c r="E127" s="7"/>
    </row>
    <row r="128">
      <c r="B128" s="6"/>
      <c r="C128" s="7"/>
      <c r="D128" s="7"/>
      <c r="E128" s="7"/>
    </row>
    <row r="129">
      <c r="B129" s="6"/>
      <c r="C129" s="7"/>
      <c r="D129" s="7"/>
      <c r="E129" s="7"/>
    </row>
    <row r="130">
      <c r="B130" s="6"/>
      <c r="C130" s="7"/>
      <c r="D130" s="7"/>
      <c r="E130" s="7"/>
    </row>
    <row r="131">
      <c r="B131" s="6"/>
      <c r="C131" s="7"/>
      <c r="D131" s="7"/>
      <c r="E131" s="7"/>
    </row>
    <row r="132">
      <c r="B132" s="6"/>
      <c r="C132" s="7"/>
      <c r="D132" s="7"/>
      <c r="E132" s="7"/>
    </row>
    <row r="133">
      <c r="B133" s="6"/>
      <c r="C133" s="7"/>
      <c r="D133" s="7"/>
      <c r="E133" s="7"/>
    </row>
    <row r="134">
      <c r="B134" s="6"/>
      <c r="C134" s="7"/>
      <c r="D134" s="7"/>
      <c r="E134" s="7"/>
    </row>
    <row r="135">
      <c r="B135" s="6"/>
      <c r="C135" s="7"/>
      <c r="D135" s="7"/>
      <c r="E135" s="7"/>
    </row>
    <row r="136">
      <c r="B136" s="6"/>
      <c r="C136" s="7"/>
      <c r="D136" s="7"/>
      <c r="E136" s="7"/>
    </row>
    <row r="137">
      <c r="B137" s="6"/>
      <c r="C137" s="7"/>
      <c r="D137" s="7"/>
      <c r="E137" s="7"/>
    </row>
    <row r="138">
      <c r="B138" s="6"/>
      <c r="C138" s="7"/>
      <c r="D138" s="7"/>
      <c r="E138" s="7"/>
    </row>
    <row r="139">
      <c r="B139" s="6"/>
      <c r="C139" s="7"/>
      <c r="D139" s="7"/>
      <c r="E139" s="7"/>
    </row>
    <row r="140">
      <c r="B140" s="6"/>
      <c r="C140" s="7"/>
      <c r="D140" s="7"/>
      <c r="E140" s="7"/>
    </row>
    <row r="141">
      <c r="B141" s="6"/>
      <c r="C141" s="7"/>
      <c r="D141" s="7"/>
      <c r="E141" s="7"/>
    </row>
    <row r="142">
      <c r="B142" s="6"/>
      <c r="C142" s="7"/>
      <c r="D142" s="7"/>
      <c r="E142" s="7"/>
    </row>
    <row r="143">
      <c r="B143" s="6"/>
      <c r="C143" s="7"/>
      <c r="D143" s="7"/>
      <c r="E143" s="7"/>
    </row>
    <row r="144">
      <c r="B144" s="6"/>
      <c r="C144" s="7"/>
      <c r="D144" s="7"/>
      <c r="E144" s="7"/>
    </row>
    <row r="145">
      <c r="B145" s="6"/>
      <c r="C145" s="7"/>
      <c r="D145" s="7"/>
      <c r="E145" s="7"/>
    </row>
    <row r="146">
      <c r="B146" s="6"/>
      <c r="C146" s="7"/>
      <c r="D146" s="7"/>
      <c r="E146" s="7"/>
    </row>
    <row r="147">
      <c r="B147" s="6"/>
      <c r="C147" s="7"/>
      <c r="D147" s="7"/>
      <c r="E147" s="7"/>
    </row>
    <row r="148">
      <c r="B148" s="6"/>
      <c r="C148" s="7"/>
      <c r="D148" s="7"/>
      <c r="E148" s="7"/>
    </row>
    <row r="149">
      <c r="B149" s="6"/>
      <c r="C149" s="7"/>
      <c r="D149" s="7"/>
      <c r="E149" s="7"/>
    </row>
    <row r="150">
      <c r="B150" s="6"/>
      <c r="C150" s="7"/>
      <c r="D150" s="7"/>
      <c r="E150" s="7"/>
    </row>
    <row r="151">
      <c r="B151" s="6"/>
      <c r="C151" s="7"/>
      <c r="D151" s="7"/>
      <c r="E151" s="7"/>
    </row>
    <row r="152">
      <c r="B152" s="6"/>
      <c r="C152" s="7"/>
      <c r="D152" s="7"/>
      <c r="E152" s="7"/>
    </row>
    <row r="153">
      <c r="B153" s="6"/>
      <c r="C153" s="7"/>
      <c r="D153" s="7"/>
      <c r="E153" s="7"/>
    </row>
    <row r="154">
      <c r="B154" s="6"/>
      <c r="C154" s="7"/>
      <c r="D154" s="7"/>
      <c r="E154" s="7"/>
    </row>
    <row r="155">
      <c r="B155" s="6"/>
      <c r="C155" s="7"/>
      <c r="D155" s="7"/>
      <c r="E155" s="7"/>
    </row>
    <row r="156">
      <c r="B156" s="6"/>
      <c r="C156" s="7"/>
      <c r="D156" s="7"/>
      <c r="E156" s="7"/>
    </row>
    <row r="157">
      <c r="B157" s="6"/>
      <c r="C157" s="7"/>
      <c r="D157" s="7"/>
      <c r="E157" s="7"/>
    </row>
    <row r="158">
      <c r="B158" s="6"/>
      <c r="C158" s="7"/>
      <c r="D158" s="7"/>
      <c r="E158" s="7"/>
    </row>
    <row r="159">
      <c r="B159" s="6"/>
      <c r="C159" s="7"/>
      <c r="D159" s="7"/>
      <c r="E159" s="7"/>
    </row>
    <row r="160">
      <c r="B160" s="6"/>
      <c r="C160" s="7"/>
      <c r="D160" s="7"/>
      <c r="E160" s="7"/>
    </row>
    <row r="161">
      <c r="B161" s="6"/>
      <c r="C161" s="7"/>
      <c r="D161" s="7"/>
      <c r="E161" s="7"/>
    </row>
    <row r="162">
      <c r="B162" s="6"/>
      <c r="C162" s="7"/>
      <c r="D162" s="7"/>
      <c r="E162" s="7"/>
    </row>
    <row r="163">
      <c r="B163" s="6"/>
      <c r="C163" s="7"/>
      <c r="D163" s="7"/>
      <c r="E163" s="7"/>
    </row>
    <row r="164">
      <c r="B164" s="6"/>
      <c r="C164" s="7"/>
      <c r="D164" s="7"/>
      <c r="E164" s="7"/>
    </row>
    <row r="165">
      <c r="B165" s="6"/>
      <c r="C165" s="7"/>
      <c r="D165" s="7"/>
      <c r="E165" s="7"/>
    </row>
    <row r="166">
      <c r="B166" s="6"/>
      <c r="C166" s="7"/>
      <c r="D166" s="7"/>
      <c r="E166" s="7"/>
    </row>
    <row r="167">
      <c r="B167" s="6"/>
      <c r="C167" s="7"/>
      <c r="D167" s="7"/>
      <c r="E167" s="7"/>
    </row>
    <row r="168">
      <c r="B168" s="6"/>
      <c r="C168" s="7"/>
      <c r="D168" s="7"/>
      <c r="E168" s="7"/>
    </row>
    <row r="169">
      <c r="B169" s="6"/>
      <c r="C169" s="7"/>
      <c r="D169" s="7"/>
      <c r="E169" s="7"/>
    </row>
    <row r="170">
      <c r="B170" s="6"/>
      <c r="C170" s="7"/>
      <c r="D170" s="7"/>
      <c r="E170" s="7"/>
    </row>
    <row r="171">
      <c r="B171" s="6"/>
      <c r="C171" s="7"/>
      <c r="D171" s="7"/>
      <c r="E171" s="7"/>
    </row>
    <row r="172">
      <c r="B172" s="6"/>
      <c r="C172" s="7"/>
      <c r="D172" s="7"/>
      <c r="E172" s="7"/>
    </row>
    <row r="173">
      <c r="B173" s="6"/>
      <c r="C173" s="7"/>
      <c r="D173" s="7"/>
      <c r="E173" s="7"/>
    </row>
    <row r="174">
      <c r="B174" s="6"/>
      <c r="C174" s="7"/>
      <c r="D174" s="7"/>
      <c r="E174" s="7"/>
    </row>
    <row r="175">
      <c r="B175" s="6"/>
      <c r="C175" s="7"/>
      <c r="D175" s="7"/>
      <c r="E175" s="7"/>
    </row>
    <row r="176">
      <c r="B176" s="6"/>
      <c r="C176" s="7"/>
      <c r="D176" s="7"/>
      <c r="E176" s="7"/>
    </row>
    <row r="177">
      <c r="B177" s="6"/>
      <c r="C177" s="7"/>
      <c r="D177" s="7"/>
      <c r="E177" s="7"/>
    </row>
    <row r="178">
      <c r="B178" s="6"/>
      <c r="C178" s="7"/>
      <c r="D178" s="7"/>
      <c r="E178" s="7"/>
    </row>
    <row r="179">
      <c r="B179" s="6"/>
      <c r="C179" s="7"/>
      <c r="D179" s="7"/>
      <c r="E179" s="7"/>
    </row>
    <row r="180">
      <c r="B180" s="6"/>
      <c r="C180" s="7"/>
      <c r="D180" s="7"/>
      <c r="E180" s="7"/>
    </row>
    <row r="181">
      <c r="B181" s="6"/>
      <c r="C181" s="7"/>
      <c r="D181" s="7"/>
      <c r="E181" s="7"/>
    </row>
    <row r="182">
      <c r="B182" s="6"/>
      <c r="C182" s="7"/>
      <c r="D182" s="7"/>
      <c r="E182" s="7"/>
    </row>
    <row r="183">
      <c r="B183" s="6"/>
      <c r="C183" s="7"/>
      <c r="D183" s="7"/>
      <c r="E183" s="7"/>
    </row>
    <row r="184">
      <c r="B184" s="6"/>
      <c r="C184" s="7"/>
      <c r="D184" s="7"/>
      <c r="E184" s="7"/>
    </row>
    <row r="185">
      <c r="B185" s="6"/>
      <c r="C185" s="7"/>
      <c r="D185" s="7"/>
      <c r="E185" s="7"/>
    </row>
    <row r="186">
      <c r="B186" s="6"/>
      <c r="C186" s="7"/>
      <c r="D186" s="7"/>
      <c r="E186" s="7"/>
    </row>
    <row r="187">
      <c r="B187" s="6"/>
      <c r="C187" s="7"/>
      <c r="D187" s="7"/>
      <c r="E187" s="7"/>
    </row>
    <row r="188">
      <c r="B188" s="6"/>
      <c r="C188" s="7"/>
      <c r="D188" s="7"/>
      <c r="E188" s="7"/>
    </row>
    <row r="189">
      <c r="B189" s="6"/>
      <c r="C189" s="7"/>
      <c r="D189" s="7"/>
      <c r="E189" s="7"/>
    </row>
    <row r="190">
      <c r="B190" s="6"/>
      <c r="C190" s="7"/>
      <c r="D190" s="7"/>
      <c r="E190" s="7"/>
    </row>
    <row r="191">
      <c r="B191" s="6"/>
      <c r="C191" s="7"/>
      <c r="D191" s="7"/>
      <c r="E191" s="7"/>
    </row>
    <row r="192">
      <c r="B192" s="6"/>
      <c r="C192" s="7"/>
      <c r="D192" s="7"/>
      <c r="E192" s="7"/>
    </row>
    <row r="193">
      <c r="B193" s="6"/>
      <c r="C193" s="7"/>
      <c r="D193" s="7"/>
      <c r="E193" s="7"/>
    </row>
    <row r="194">
      <c r="B194" s="6"/>
      <c r="C194" s="7"/>
      <c r="D194" s="7"/>
      <c r="E194" s="7"/>
    </row>
    <row r="195">
      <c r="B195" s="6"/>
      <c r="C195" s="7"/>
      <c r="D195" s="7"/>
      <c r="E195" s="7"/>
    </row>
    <row r="196">
      <c r="B196" s="6"/>
      <c r="C196" s="7"/>
      <c r="D196" s="7"/>
      <c r="E196" s="7"/>
    </row>
    <row r="197">
      <c r="B197" s="6"/>
      <c r="C197" s="7"/>
      <c r="D197" s="7"/>
      <c r="E197" s="7"/>
    </row>
    <row r="198">
      <c r="B198" s="6"/>
      <c r="C198" s="7"/>
      <c r="D198" s="7"/>
      <c r="E198" s="7"/>
    </row>
    <row r="199">
      <c r="B199" s="6"/>
      <c r="C199" s="7"/>
      <c r="D199" s="7"/>
      <c r="E199" s="7"/>
    </row>
    <row r="200">
      <c r="B200" s="6"/>
      <c r="C200" s="7"/>
      <c r="D200" s="7"/>
      <c r="E200" s="7"/>
    </row>
    <row r="201">
      <c r="B201" s="6"/>
      <c r="C201" s="7"/>
      <c r="D201" s="7"/>
      <c r="E201" s="7"/>
    </row>
    <row r="202">
      <c r="B202" s="6"/>
      <c r="C202" s="7"/>
      <c r="D202" s="7"/>
      <c r="E202" s="7"/>
    </row>
    <row r="203">
      <c r="B203" s="6"/>
      <c r="C203" s="7"/>
      <c r="D203" s="7"/>
      <c r="E203" s="7"/>
    </row>
    <row r="204">
      <c r="B204" s="6"/>
      <c r="C204" s="7"/>
      <c r="D204" s="7"/>
      <c r="E204" s="7"/>
    </row>
    <row r="205">
      <c r="B205" s="6"/>
      <c r="C205" s="7"/>
      <c r="D205" s="7"/>
      <c r="E205" s="7"/>
    </row>
    <row r="206">
      <c r="B206" s="6"/>
      <c r="C206" s="7"/>
      <c r="D206" s="7"/>
      <c r="E206" s="7"/>
    </row>
    <row r="207">
      <c r="B207" s="6"/>
      <c r="C207" s="7"/>
      <c r="D207" s="7"/>
      <c r="E207" s="7"/>
    </row>
    <row r="208">
      <c r="B208" s="6"/>
      <c r="C208" s="7"/>
      <c r="D208" s="7"/>
      <c r="E208" s="7"/>
    </row>
    <row r="209">
      <c r="B209" s="6"/>
      <c r="C209" s="7"/>
      <c r="D209" s="7"/>
      <c r="E209" s="7"/>
    </row>
    <row r="210">
      <c r="B210" s="6"/>
      <c r="C210" s="7"/>
      <c r="D210" s="7"/>
      <c r="E210" s="7"/>
    </row>
    <row r="211">
      <c r="B211" s="6"/>
      <c r="C211" s="7"/>
      <c r="D211" s="7"/>
      <c r="E211" s="7"/>
    </row>
    <row r="212">
      <c r="B212" s="6"/>
      <c r="C212" s="7"/>
      <c r="D212" s="7"/>
      <c r="E212" s="7"/>
    </row>
    <row r="213">
      <c r="B213" s="6"/>
      <c r="C213" s="7"/>
      <c r="D213" s="7"/>
      <c r="E213" s="7"/>
    </row>
    <row r="214">
      <c r="B214" s="6"/>
      <c r="C214" s="7"/>
      <c r="D214" s="7"/>
      <c r="E214" s="7"/>
    </row>
    <row r="215">
      <c r="B215" s="6"/>
      <c r="C215" s="7"/>
      <c r="D215" s="7"/>
      <c r="E215" s="7"/>
    </row>
    <row r="216">
      <c r="B216" s="6"/>
      <c r="C216" s="7"/>
      <c r="D216" s="7"/>
      <c r="E216" s="7"/>
    </row>
    <row r="217">
      <c r="B217" s="6"/>
      <c r="C217" s="7"/>
      <c r="D217" s="7"/>
      <c r="E217" s="7"/>
    </row>
    <row r="218">
      <c r="B218" s="6"/>
      <c r="C218" s="7"/>
      <c r="D218" s="7"/>
      <c r="E218" s="7"/>
    </row>
    <row r="219">
      <c r="B219" s="6"/>
      <c r="C219" s="7"/>
      <c r="D219" s="7"/>
      <c r="E219" s="7"/>
    </row>
    <row r="220">
      <c r="B220" s="6"/>
      <c r="C220" s="7"/>
      <c r="D220" s="7"/>
      <c r="E220" s="7"/>
    </row>
    <row r="221">
      <c r="B221" s="6"/>
      <c r="C221" s="7"/>
      <c r="D221" s="7"/>
      <c r="E221" s="7"/>
    </row>
    <row r="222">
      <c r="B222" s="6"/>
      <c r="C222" s="7"/>
      <c r="D222" s="7"/>
      <c r="E222" s="7"/>
    </row>
    <row r="223">
      <c r="B223" s="6"/>
      <c r="C223" s="7"/>
      <c r="D223" s="7"/>
      <c r="E223" s="7"/>
    </row>
    <row r="224">
      <c r="B224" s="6"/>
      <c r="C224" s="7"/>
      <c r="D224" s="7"/>
      <c r="E224" s="7"/>
    </row>
    <row r="225">
      <c r="B225" s="6"/>
      <c r="C225" s="7"/>
      <c r="D225" s="7"/>
      <c r="E225" s="7"/>
    </row>
    <row r="226">
      <c r="B226" s="6"/>
      <c r="C226" s="7"/>
      <c r="D226" s="7"/>
      <c r="E226" s="7"/>
    </row>
    <row r="227">
      <c r="B227" s="6"/>
      <c r="C227" s="7"/>
      <c r="D227" s="7"/>
      <c r="E227" s="7"/>
    </row>
    <row r="228">
      <c r="B228" s="6"/>
      <c r="C228" s="7"/>
      <c r="D228" s="7"/>
      <c r="E228" s="7"/>
    </row>
    <row r="229">
      <c r="B229" s="6"/>
      <c r="C229" s="7"/>
      <c r="D229" s="7"/>
      <c r="E229" s="7"/>
    </row>
    <row r="230">
      <c r="B230" s="6"/>
      <c r="C230" s="7"/>
      <c r="D230" s="7"/>
      <c r="E230" s="7"/>
    </row>
    <row r="231">
      <c r="B231" s="6"/>
      <c r="C231" s="7"/>
      <c r="D231" s="7"/>
      <c r="E231" s="7"/>
    </row>
    <row r="232">
      <c r="B232" s="6"/>
      <c r="C232" s="7"/>
      <c r="D232" s="7"/>
      <c r="E232" s="7"/>
    </row>
    <row r="233">
      <c r="B233" s="6"/>
      <c r="C233" s="7"/>
      <c r="D233" s="7"/>
      <c r="E233" s="7"/>
    </row>
    <row r="234">
      <c r="B234" s="6"/>
      <c r="C234" s="7"/>
      <c r="D234" s="7"/>
      <c r="E234" s="7"/>
    </row>
    <row r="235">
      <c r="B235" s="6"/>
      <c r="C235" s="7"/>
      <c r="D235" s="7"/>
      <c r="E235" s="7"/>
    </row>
    <row r="236">
      <c r="B236" s="6"/>
      <c r="C236" s="7"/>
      <c r="D236" s="7"/>
      <c r="E236" s="7"/>
    </row>
    <row r="237">
      <c r="B237" s="6"/>
      <c r="C237" s="7"/>
      <c r="D237" s="7"/>
      <c r="E237" s="7"/>
    </row>
    <row r="238">
      <c r="B238" s="6"/>
      <c r="C238" s="7"/>
      <c r="D238" s="7"/>
      <c r="E238" s="7"/>
    </row>
    <row r="239">
      <c r="B239" s="6"/>
      <c r="C239" s="7"/>
      <c r="D239" s="7"/>
      <c r="E239" s="7"/>
    </row>
    <row r="240">
      <c r="B240" s="6"/>
      <c r="C240" s="7"/>
      <c r="D240" s="7"/>
      <c r="E240" s="7"/>
    </row>
    <row r="241">
      <c r="B241" s="6"/>
      <c r="C241" s="7"/>
      <c r="D241" s="7"/>
      <c r="E241" s="7"/>
    </row>
    <row r="242">
      <c r="B242" s="6"/>
      <c r="C242" s="7"/>
      <c r="D242" s="7"/>
      <c r="E242" s="7"/>
    </row>
    <row r="243">
      <c r="B243" s="6"/>
      <c r="C243" s="7"/>
      <c r="D243" s="7"/>
      <c r="E243" s="7"/>
    </row>
    <row r="244">
      <c r="B244" s="6"/>
      <c r="C244" s="7"/>
      <c r="D244" s="7"/>
      <c r="E244" s="7"/>
    </row>
    <row r="245">
      <c r="B245" s="6"/>
      <c r="C245" s="7"/>
      <c r="D245" s="7"/>
      <c r="E245" s="7"/>
    </row>
    <row r="246">
      <c r="B246" s="6"/>
      <c r="C246" s="7"/>
      <c r="D246" s="7"/>
      <c r="E246" s="7"/>
    </row>
    <row r="247">
      <c r="B247" s="6"/>
      <c r="C247" s="7"/>
      <c r="D247" s="7"/>
      <c r="E247" s="7"/>
    </row>
    <row r="248">
      <c r="B248" s="6"/>
      <c r="C248" s="7"/>
      <c r="D248" s="7"/>
      <c r="E248" s="7"/>
    </row>
    <row r="249">
      <c r="B249" s="6"/>
      <c r="C249" s="7"/>
      <c r="D249" s="7"/>
      <c r="E249" s="7"/>
    </row>
    <row r="250">
      <c r="B250" s="6"/>
      <c r="C250" s="7"/>
      <c r="D250" s="7"/>
      <c r="E250" s="7"/>
    </row>
    <row r="251">
      <c r="B251" s="6"/>
      <c r="C251" s="7"/>
      <c r="D251" s="7"/>
      <c r="E251" s="7"/>
    </row>
    <row r="252">
      <c r="B252" s="6"/>
      <c r="C252" s="7"/>
      <c r="D252" s="7"/>
      <c r="E252" s="7"/>
    </row>
    <row r="253">
      <c r="B253" s="6"/>
      <c r="C253" s="7"/>
      <c r="D253" s="7"/>
      <c r="E253" s="7"/>
    </row>
    <row r="254">
      <c r="B254" s="6"/>
      <c r="C254" s="7"/>
      <c r="D254" s="7"/>
      <c r="E254" s="7"/>
    </row>
    <row r="255">
      <c r="B255" s="6"/>
      <c r="C255" s="7"/>
      <c r="D255" s="7"/>
      <c r="E255" s="7"/>
    </row>
    <row r="256">
      <c r="B256" s="6"/>
      <c r="C256" s="7"/>
      <c r="D256" s="7"/>
      <c r="E256" s="7"/>
    </row>
    <row r="257">
      <c r="B257" s="6"/>
      <c r="C257" s="7"/>
      <c r="D257" s="7"/>
      <c r="E257" s="7"/>
    </row>
    <row r="258">
      <c r="B258" s="6"/>
      <c r="C258" s="7"/>
      <c r="D258" s="7"/>
      <c r="E258" s="7"/>
    </row>
    <row r="259">
      <c r="B259" s="6"/>
      <c r="C259" s="7"/>
      <c r="D259" s="7"/>
      <c r="E259" s="7"/>
    </row>
    <row r="260">
      <c r="B260" s="6"/>
      <c r="C260" s="7"/>
      <c r="D260" s="7"/>
      <c r="E260" s="7"/>
    </row>
    <row r="261">
      <c r="B261" s="6"/>
      <c r="C261" s="7"/>
      <c r="D261" s="7"/>
      <c r="E261" s="7"/>
    </row>
    <row r="262">
      <c r="B262" s="6"/>
      <c r="C262" s="7"/>
      <c r="D262" s="7"/>
      <c r="E262" s="7"/>
    </row>
    <row r="263">
      <c r="B263" s="6"/>
      <c r="C263" s="7"/>
      <c r="D263" s="7"/>
      <c r="E263" s="7"/>
    </row>
    <row r="264">
      <c r="B264" s="6"/>
      <c r="C264" s="7"/>
      <c r="D264" s="7"/>
      <c r="E264" s="7"/>
    </row>
    <row r="265">
      <c r="B265" s="6"/>
      <c r="C265" s="7"/>
      <c r="D265" s="7"/>
      <c r="E265" s="7"/>
    </row>
    <row r="266">
      <c r="B266" s="6"/>
      <c r="C266" s="7"/>
      <c r="D266" s="7"/>
      <c r="E266" s="7"/>
    </row>
    <row r="267">
      <c r="B267" s="6"/>
      <c r="C267" s="7"/>
      <c r="D267" s="7"/>
      <c r="E267" s="7"/>
    </row>
    <row r="268">
      <c r="B268" s="6"/>
      <c r="C268" s="7"/>
      <c r="D268" s="7"/>
      <c r="E268" s="7"/>
    </row>
    <row r="269">
      <c r="B269" s="6"/>
      <c r="C269" s="7"/>
      <c r="D269" s="7"/>
      <c r="E269" s="7"/>
    </row>
    <row r="270">
      <c r="B270" s="6"/>
      <c r="C270" s="7"/>
      <c r="D270" s="7"/>
      <c r="E270" s="7"/>
    </row>
    <row r="271">
      <c r="B271" s="6"/>
      <c r="C271" s="7"/>
      <c r="D271" s="7"/>
      <c r="E271" s="7"/>
    </row>
    <row r="272">
      <c r="B272" s="6"/>
      <c r="C272" s="7"/>
      <c r="D272" s="7"/>
      <c r="E272" s="7"/>
    </row>
    <row r="273">
      <c r="B273" s="6"/>
      <c r="C273" s="7"/>
      <c r="D273" s="7"/>
      <c r="E273" s="7"/>
    </row>
    <row r="274">
      <c r="B274" s="6"/>
      <c r="C274" s="7"/>
      <c r="D274" s="7"/>
      <c r="E274" s="7"/>
    </row>
    <row r="275">
      <c r="B275" s="6"/>
      <c r="C275" s="7"/>
      <c r="D275" s="7"/>
      <c r="E275" s="7"/>
    </row>
    <row r="276">
      <c r="B276" s="6"/>
      <c r="C276" s="7"/>
      <c r="D276" s="7"/>
      <c r="E276" s="7"/>
    </row>
    <row r="277">
      <c r="B277" s="6"/>
      <c r="C277" s="7"/>
      <c r="D277" s="7"/>
      <c r="E277" s="7"/>
    </row>
    <row r="278">
      <c r="B278" s="6"/>
      <c r="C278" s="7"/>
      <c r="D278" s="7"/>
      <c r="E278" s="7"/>
    </row>
    <row r="279">
      <c r="B279" s="6"/>
      <c r="C279" s="7"/>
      <c r="D279" s="7"/>
      <c r="E279" s="7"/>
    </row>
    <row r="280">
      <c r="B280" s="6"/>
      <c r="C280" s="7"/>
      <c r="D280" s="7"/>
      <c r="E280" s="7"/>
    </row>
    <row r="281">
      <c r="B281" s="6"/>
      <c r="C281" s="7"/>
      <c r="D281" s="7"/>
      <c r="E281" s="7"/>
    </row>
    <row r="282">
      <c r="B282" s="6"/>
      <c r="C282" s="7"/>
      <c r="D282" s="7"/>
      <c r="E282" s="7"/>
    </row>
    <row r="283">
      <c r="B283" s="6"/>
      <c r="C283" s="7"/>
      <c r="D283" s="7"/>
      <c r="E283" s="7"/>
    </row>
    <row r="284">
      <c r="B284" s="6"/>
      <c r="C284" s="7"/>
      <c r="D284" s="7"/>
      <c r="E284" s="7"/>
    </row>
    <row r="285">
      <c r="B285" s="6"/>
      <c r="C285" s="7"/>
      <c r="D285" s="7"/>
      <c r="E285" s="7"/>
    </row>
    <row r="286">
      <c r="B286" s="6"/>
      <c r="C286" s="7"/>
      <c r="D286" s="7"/>
      <c r="E286" s="7"/>
    </row>
    <row r="287">
      <c r="B287" s="6"/>
      <c r="C287" s="7"/>
      <c r="D287" s="7"/>
      <c r="E287" s="7"/>
    </row>
    <row r="288">
      <c r="B288" s="6"/>
      <c r="C288" s="7"/>
      <c r="D288" s="7"/>
      <c r="E288" s="7"/>
    </row>
    <row r="289">
      <c r="B289" s="6"/>
      <c r="C289" s="7"/>
      <c r="D289" s="7"/>
      <c r="E289" s="7"/>
    </row>
    <row r="290">
      <c r="B290" s="6"/>
      <c r="C290" s="7"/>
      <c r="D290" s="7"/>
      <c r="E290" s="7"/>
    </row>
    <row r="291">
      <c r="B291" s="6"/>
      <c r="C291" s="7"/>
      <c r="D291" s="7"/>
      <c r="E291" s="7"/>
    </row>
    <row r="292">
      <c r="B292" s="6"/>
      <c r="C292" s="7"/>
      <c r="D292" s="7"/>
      <c r="E292" s="7"/>
    </row>
    <row r="293">
      <c r="B293" s="6"/>
      <c r="C293" s="7"/>
      <c r="D293" s="7"/>
      <c r="E293" s="7"/>
    </row>
    <row r="294">
      <c r="B294" s="6"/>
      <c r="C294" s="7"/>
      <c r="D294" s="7"/>
      <c r="E294" s="7"/>
    </row>
    <row r="295">
      <c r="B295" s="6"/>
      <c r="C295" s="7"/>
      <c r="D295" s="7"/>
      <c r="E295" s="7"/>
    </row>
    <row r="296">
      <c r="B296" s="6"/>
      <c r="C296" s="7"/>
      <c r="D296" s="7"/>
      <c r="E296" s="7"/>
    </row>
    <row r="297">
      <c r="B297" s="6"/>
      <c r="C297" s="7"/>
      <c r="D297" s="7"/>
      <c r="E297" s="7"/>
    </row>
    <row r="298">
      <c r="B298" s="6"/>
      <c r="C298" s="7"/>
      <c r="D298" s="7"/>
      <c r="E298" s="7"/>
    </row>
    <row r="299">
      <c r="B299" s="6"/>
      <c r="C299" s="7"/>
      <c r="D299" s="7"/>
      <c r="E299" s="7"/>
    </row>
    <row r="300">
      <c r="B300" s="6"/>
      <c r="C300" s="7"/>
      <c r="D300" s="7"/>
      <c r="E300" s="7"/>
    </row>
    <row r="301">
      <c r="B301" s="6"/>
      <c r="C301" s="7"/>
      <c r="D301" s="7"/>
      <c r="E301" s="7"/>
    </row>
    <row r="302">
      <c r="B302" s="6"/>
      <c r="C302" s="7"/>
      <c r="D302" s="7"/>
      <c r="E302" s="7"/>
    </row>
    <row r="303">
      <c r="B303" s="6"/>
      <c r="C303" s="7"/>
      <c r="D303" s="7"/>
      <c r="E303" s="7"/>
    </row>
    <row r="304">
      <c r="B304" s="6"/>
      <c r="C304" s="7"/>
      <c r="D304" s="7"/>
      <c r="E304" s="7"/>
    </row>
    <row r="305">
      <c r="B305" s="6"/>
      <c r="C305" s="7"/>
      <c r="D305" s="7"/>
      <c r="E305" s="7"/>
    </row>
    <row r="306">
      <c r="B306" s="6"/>
      <c r="C306" s="7"/>
      <c r="D306" s="7"/>
      <c r="E306" s="7"/>
    </row>
    <row r="307">
      <c r="B307" s="6"/>
      <c r="C307" s="7"/>
      <c r="D307" s="7"/>
      <c r="E307" s="7"/>
    </row>
    <row r="308">
      <c r="B308" s="6"/>
      <c r="C308" s="7"/>
      <c r="D308" s="7"/>
      <c r="E308" s="7"/>
    </row>
    <row r="309">
      <c r="B309" s="6"/>
      <c r="C309" s="7"/>
      <c r="D309" s="7"/>
      <c r="E309" s="7"/>
    </row>
    <row r="310">
      <c r="B310" s="6"/>
      <c r="C310" s="7"/>
      <c r="D310" s="7"/>
      <c r="E310" s="7"/>
    </row>
    <row r="311">
      <c r="B311" s="6"/>
      <c r="C311" s="7"/>
      <c r="D311" s="7"/>
      <c r="E311" s="7"/>
    </row>
    <row r="312">
      <c r="B312" s="6"/>
      <c r="C312" s="7"/>
      <c r="D312" s="7"/>
      <c r="E312" s="7"/>
    </row>
    <row r="313">
      <c r="B313" s="6"/>
      <c r="C313" s="7"/>
      <c r="D313" s="7"/>
      <c r="E313" s="7"/>
    </row>
    <row r="314">
      <c r="B314" s="6"/>
      <c r="C314" s="7"/>
      <c r="D314" s="7"/>
      <c r="E314" s="7"/>
    </row>
    <row r="315">
      <c r="B315" s="6"/>
      <c r="C315" s="7"/>
      <c r="D315" s="7"/>
      <c r="E315" s="7"/>
    </row>
    <row r="316">
      <c r="B316" s="6"/>
      <c r="C316" s="7"/>
      <c r="D316" s="7"/>
      <c r="E316" s="7"/>
    </row>
    <row r="317">
      <c r="B317" s="6"/>
      <c r="C317" s="7"/>
      <c r="D317" s="7"/>
      <c r="E317" s="7"/>
    </row>
    <row r="318">
      <c r="B318" s="6"/>
      <c r="C318" s="7"/>
      <c r="D318" s="7"/>
      <c r="E318" s="7"/>
    </row>
    <row r="319">
      <c r="B319" s="6"/>
      <c r="C319" s="7"/>
      <c r="D319" s="7"/>
      <c r="E319" s="7"/>
    </row>
    <row r="320">
      <c r="B320" s="6"/>
      <c r="C320" s="7"/>
      <c r="D320" s="7"/>
      <c r="E320" s="7"/>
    </row>
    <row r="321">
      <c r="B321" s="6"/>
      <c r="C321" s="7"/>
      <c r="D321" s="7"/>
      <c r="E321" s="7"/>
    </row>
    <row r="322">
      <c r="B322" s="6"/>
      <c r="C322" s="7"/>
      <c r="D322" s="7"/>
      <c r="E322" s="7"/>
    </row>
    <row r="323">
      <c r="B323" s="6"/>
      <c r="C323" s="7"/>
      <c r="D323" s="7"/>
      <c r="E323" s="7"/>
    </row>
    <row r="324">
      <c r="B324" s="6"/>
      <c r="C324" s="7"/>
      <c r="D324" s="7"/>
      <c r="E324" s="7"/>
    </row>
    <row r="325">
      <c r="B325" s="6"/>
      <c r="C325" s="7"/>
      <c r="D325" s="7"/>
      <c r="E325" s="7"/>
    </row>
    <row r="326">
      <c r="B326" s="6"/>
      <c r="C326" s="7"/>
      <c r="D326" s="7"/>
      <c r="E326" s="7"/>
    </row>
    <row r="327">
      <c r="B327" s="6"/>
      <c r="C327" s="7"/>
      <c r="D327" s="7"/>
      <c r="E327" s="7"/>
    </row>
    <row r="328">
      <c r="B328" s="6"/>
      <c r="C328" s="7"/>
      <c r="D328" s="7"/>
      <c r="E328" s="7"/>
    </row>
    <row r="329">
      <c r="B329" s="6"/>
      <c r="C329" s="7"/>
      <c r="D329" s="7"/>
      <c r="E329" s="7"/>
    </row>
    <row r="330">
      <c r="B330" s="6"/>
      <c r="C330" s="7"/>
      <c r="D330" s="7"/>
      <c r="E330" s="7"/>
    </row>
    <row r="331">
      <c r="B331" s="6"/>
      <c r="C331" s="7"/>
      <c r="D331" s="7"/>
      <c r="E331" s="7"/>
    </row>
    <row r="332">
      <c r="B332" s="6"/>
      <c r="C332" s="7"/>
      <c r="D332" s="7"/>
      <c r="E332" s="7"/>
    </row>
    <row r="333">
      <c r="B333" s="6"/>
      <c r="C333" s="7"/>
      <c r="D333" s="7"/>
      <c r="E333" s="7"/>
    </row>
    <row r="334">
      <c r="B334" s="6"/>
      <c r="C334" s="7"/>
      <c r="D334" s="7"/>
      <c r="E334" s="7"/>
    </row>
    <row r="335">
      <c r="B335" s="6"/>
      <c r="C335" s="7"/>
      <c r="D335" s="7"/>
      <c r="E335" s="7"/>
    </row>
    <row r="336">
      <c r="B336" s="6"/>
      <c r="C336" s="7"/>
      <c r="D336" s="7"/>
      <c r="E336" s="7"/>
    </row>
    <row r="337">
      <c r="B337" s="6"/>
      <c r="C337" s="7"/>
      <c r="D337" s="7"/>
      <c r="E337" s="7"/>
    </row>
    <row r="338">
      <c r="B338" s="6"/>
      <c r="C338" s="7"/>
      <c r="D338" s="7"/>
      <c r="E338" s="7"/>
    </row>
    <row r="339">
      <c r="B339" s="6"/>
      <c r="C339" s="7"/>
      <c r="D339" s="7"/>
      <c r="E339" s="7"/>
    </row>
    <row r="340">
      <c r="B340" s="6"/>
      <c r="C340" s="7"/>
      <c r="D340" s="7"/>
      <c r="E340" s="7"/>
    </row>
    <row r="341">
      <c r="B341" s="6"/>
      <c r="C341" s="7"/>
      <c r="D341" s="7"/>
      <c r="E341" s="7"/>
    </row>
    <row r="342">
      <c r="B342" s="6"/>
      <c r="C342" s="7"/>
      <c r="D342" s="7"/>
      <c r="E342" s="7"/>
    </row>
    <row r="343">
      <c r="B343" s="6"/>
      <c r="C343" s="7"/>
      <c r="D343" s="7"/>
      <c r="E343" s="7"/>
    </row>
    <row r="344">
      <c r="B344" s="6"/>
      <c r="C344" s="7"/>
      <c r="D344" s="7"/>
      <c r="E344" s="7"/>
    </row>
    <row r="345">
      <c r="B345" s="6"/>
      <c r="C345" s="7"/>
      <c r="D345" s="7"/>
      <c r="E345" s="7"/>
    </row>
    <row r="346">
      <c r="B346" s="6"/>
      <c r="C346" s="7"/>
      <c r="D346" s="7"/>
      <c r="E346" s="7"/>
    </row>
    <row r="347">
      <c r="B347" s="6"/>
      <c r="C347" s="7"/>
      <c r="D347" s="7"/>
      <c r="E347" s="7"/>
    </row>
    <row r="348">
      <c r="B348" s="6"/>
      <c r="C348" s="7"/>
      <c r="D348" s="7"/>
      <c r="E348" s="7"/>
    </row>
    <row r="349">
      <c r="B349" s="6"/>
      <c r="C349" s="7"/>
      <c r="D349" s="7"/>
      <c r="E349" s="7"/>
    </row>
    <row r="350">
      <c r="B350" s="6"/>
      <c r="C350" s="7"/>
      <c r="D350" s="7"/>
      <c r="E350" s="7"/>
    </row>
    <row r="351">
      <c r="B351" s="6"/>
      <c r="C351" s="7"/>
      <c r="D351" s="7"/>
      <c r="E351" s="7"/>
    </row>
    <row r="352">
      <c r="B352" s="6"/>
      <c r="C352" s="7"/>
      <c r="D352" s="7"/>
      <c r="E352" s="7"/>
    </row>
    <row r="353">
      <c r="B353" s="6"/>
      <c r="C353" s="7"/>
      <c r="D353" s="7"/>
      <c r="E353" s="7"/>
    </row>
    <row r="354">
      <c r="B354" s="6"/>
      <c r="C354" s="7"/>
      <c r="D354" s="7"/>
      <c r="E354" s="7"/>
    </row>
    <row r="355">
      <c r="B355" s="6"/>
      <c r="C355" s="7"/>
      <c r="D355" s="7"/>
      <c r="E355" s="7"/>
    </row>
    <row r="356">
      <c r="B356" s="6"/>
      <c r="C356" s="7"/>
      <c r="D356" s="7"/>
      <c r="E356" s="7"/>
    </row>
    <row r="357">
      <c r="B357" s="6"/>
      <c r="C357" s="7"/>
      <c r="D357" s="7"/>
      <c r="E357" s="7"/>
    </row>
    <row r="358">
      <c r="B358" s="6"/>
      <c r="C358" s="7"/>
      <c r="D358" s="7"/>
      <c r="E358" s="7"/>
    </row>
    <row r="359">
      <c r="B359" s="6"/>
      <c r="C359" s="7"/>
      <c r="D359" s="7"/>
      <c r="E359" s="7"/>
    </row>
    <row r="360">
      <c r="B360" s="6"/>
      <c r="C360" s="7"/>
      <c r="D360" s="7"/>
      <c r="E360" s="7"/>
    </row>
    <row r="361">
      <c r="B361" s="6"/>
      <c r="C361" s="7"/>
      <c r="D361" s="7"/>
      <c r="E361" s="7"/>
    </row>
    <row r="362">
      <c r="B362" s="6"/>
      <c r="C362" s="7"/>
      <c r="D362" s="7"/>
      <c r="E362" s="7"/>
    </row>
    <row r="363">
      <c r="B363" s="6"/>
      <c r="C363" s="7"/>
      <c r="D363" s="7"/>
      <c r="E363" s="7"/>
    </row>
    <row r="364">
      <c r="B364" s="6"/>
      <c r="C364" s="7"/>
      <c r="D364" s="7"/>
      <c r="E364" s="7"/>
    </row>
    <row r="365">
      <c r="B365" s="6"/>
      <c r="C365" s="7"/>
      <c r="D365" s="7"/>
      <c r="E365" s="7"/>
    </row>
    <row r="366">
      <c r="B366" s="6"/>
      <c r="C366" s="7"/>
      <c r="D366" s="7"/>
      <c r="E366" s="7"/>
    </row>
    <row r="367">
      <c r="B367" s="6"/>
      <c r="C367" s="7"/>
      <c r="D367" s="7"/>
      <c r="E367" s="7"/>
    </row>
    <row r="368">
      <c r="B368" s="6"/>
      <c r="C368" s="7"/>
      <c r="D368" s="7"/>
      <c r="E368" s="7"/>
    </row>
    <row r="369">
      <c r="B369" s="6"/>
      <c r="C369" s="7"/>
      <c r="D369" s="7"/>
      <c r="E369" s="7"/>
    </row>
    <row r="370">
      <c r="B370" s="6"/>
      <c r="C370" s="7"/>
      <c r="D370" s="7"/>
      <c r="E370" s="7"/>
    </row>
    <row r="371">
      <c r="B371" s="6"/>
      <c r="C371" s="7"/>
      <c r="D371" s="7"/>
      <c r="E371" s="7"/>
    </row>
    <row r="372">
      <c r="B372" s="6"/>
      <c r="C372" s="7"/>
      <c r="D372" s="7"/>
      <c r="E372" s="7"/>
    </row>
    <row r="373">
      <c r="B373" s="6"/>
      <c r="C373" s="7"/>
      <c r="D373" s="7"/>
      <c r="E373" s="7"/>
    </row>
    <row r="374">
      <c r="B374" s="6"/>
      <c r="C374" s="7"/>
      <c r="D374" s="7"/>
      <c r="E374" s="7"/>
    </row>
    <row r="375">
      <c r="B375" s="6"/>
      <c r="C375" s="7"/>
      <c r="D375" s="7"/>
      <c r="E375" s="7"/>
    </row>
    <row r="376">
      <c r="B376" s="6"/>
      <c r="C376" s="7"/>
      <c r="D376" s="7"/>
      <c r="E376" s="7"/>
    </row>
    <row r="377">
      <c r="B377" s="6"/>
      <c r="C377" s="7"/>
      <c r="D377" s="7"/>
      <c r="E377" s="7"/>
    </row>
    <row r="378">
      <c r="B378" s="6"/>
      <c r="C378" s="7"/>
      <c r="D378" s="7"/>
      <c r="E378" s="7"/>
    </row>
    <row r="379">
      <c r="B379" s="6"/>
      <c r="C379" s="7"/>
      <c r="D379" s="7"/>
      <c r="E379" s="7"/>
    </row>
    <row r="380">
      <c r="B380" s="6"/>
      <c r="C380" s="7"/>
      <c r="D380" s="7"/>
      <c r="E380" s="7"/>
    </row>
    <row r="381">
      <c r="B381" s="6"/>
      <c r="C381" s="7"/>
      <c r="D381" s="7"/>
      <c r="E381" s="7"/>
    </row>
    <row r="382">
      <c r="B382" s="6"/>
      <c r="C382" s="7"/>
      <c r="D382" s="7"/>
      <c r="E382" s="7"/>
    </row>
    <row r="383">
      <c r="B383" s="6"/>
      <c r="C383" s="7"/>
      <c r="D383" s="7"/>
      <c r="E383" s="7"/>
    </row>
    <row r="384">
      <c r="B384" s="6"/>
      <c r="C384" s="7"/>
      <c r="D384" s="7"/>
      <c r="E384" s="7"/>
    </row>
    <row r="385">
      <c r="B385" s="6"/>
      <c r="C385" s="7"/>
      <c r="D385" s="7"/>
      <c r="E385" s="7"/>
    </row>
    <row r="386">
      <c r="B386" s="6"/>
      <c r="C386" s="7"/>
      <c r="D386" s="7"/>
      <c r="E386" s="7"/>
    </row>
    <row r="387">
      <c r="B387" s="6"/>
      <c r="C387" s="7"/>
      <c r="D387" s="7"/>
      <c r="E387" s="7"/>
    </row>
    <row r="388">
      <c r="B388" s="6"/>
      <c r="C388" s="7"/>
      <c r="D388" s="7"/>
      <c r="E388" s="7"/>
    </row>
    <row r="389">
      <c r="B389" s="6"/>
      <c r="C389" s="7"/>
      <c r="D389" s="7"/>
      <c r="E389" s="7"/>
    </row>
    <row r="390">
      <c r="B390" s="6"/>
      <c r="C390" s="7"/>
      <c r="D390" s="7"/>
      <c r="E390" s="7"/>
    </row>
    <row r="391">
      <c r="B391" s="6"/>
      <c r="C391" s="7"/>
      <c r="D391" s="7"/>
      <c r="E391" s="7"/>
    </row>
    <row r="392">
      <c r="B392" s="6"/>
      <c r="C392" s="7"/>
      <c r="D392" s="7"/>
      <c r="E392" s="7"/>
    </row>
    <row r="393">
      <c r="B393" s="6"/>
      <c r="C393" s="7"/>
      <c r="D393" s="7"/>
      <c r="E393" s="7"/>
    </row>
    <row r="394">
      <c r="B394" s="6"/>
      <c r="C394" s="7"/>
      <c r="D394" s="7"/>
      <c r="E394" s="7"/>
    </row>
    <row r="395">
      <c r="B395" s="6"/>
      <c r="C395" s="7"/>
      <c r="D395" s="7"/>
      <c r="E395" s="7"/>
    </row>
    <row r="396">
      <c r="B396" s="6"/>
      <c r="C396" s="7"/>
      <c r="D396" s="7"/>
      <c r="E396" s="7"/>
    </row>
    <row r="397">
      <c r="B397" s="6"/>
      <c r="C397" s="7"/>
      <c r="D397" s="7"/>
      <c r="E397" s="7"/>
    </row>
    <row r="398">
      <c r="B398" s="6"/>
      <c r="C398" s="7"/>
      <c r="D398" s="7"/>
      <c r="E398" s="7"/>
    </row>
    <row r="399">
      <c r="B399" s="6"/>
      <c r="C399" s="7"/>
      <c r="D399" s="7"/>
      <c r="E399" s="7"/>
    </row>
    <row r="400">
      <c r="B400" s="6"/>
      <c r="C400" s="7"/>
      <c r="D400" s="7"/>
      <c r="E400" s="7"/>
    </row>
    <row r="401">
      <c r="B401" s="6"/>
      <c r="C401" s="7"/>
      <c r="D401" s="7"/>
      <c r="E401" s="7"/>
    </row>
    <row r="402">
      <c r="B402" s="6"/>
      <c r="C402" s="7"/>
      <c r="D402" s="7"/>
      <c r="E402" s="7"/>
    </row>
    <row r="403">
      <c r="B403" s="6"/>
      <c r="C403" s="7"/>
      <c r="D403" s="7"/>
      <c r="E403" s="7"/>
    </row>
    <row r="404">
      <c r="B404" s="6"/>
      <c r="C404" s="7"/>
      <c r="D404" s="7"/>
      <c r="E404" s="7"/>
    </row>
    <row r="405">
      <c r="B405" s="6"/>
      <c r="C405" s="7"/>
      <c r="D405" s="7"/>
      <c r="E405" s="7"/>
    </row>
    <row r="406">
      <c r="B406" s="6"/>
      <c r="C406" s="7"/>
      <c r="D406" s="7"/>
      <c r="E406" s="7"/>
    </row>
    <row r="407">
      <c r="B407" s="6"/>
      <c r="C407" s="7"/>
      <c r="D407" s="7"/>
      <c r="E407" s="7"/>
    </row>
    <row r="408">
      <c r="B408" s="6"/>
      <c r="C408" s="7"/>
      <c r="D408" s="7"/>
      <c r="E408" s="7"/>
    </row>
    <row r="409">
      <c r="B409" s="6"/>
      <c r="C409" s="7"/>
      <c r="D409" s="7"/>
      <c r="E409" s="7"/>
    </row>
    <row r="410">
      <c r="B410" s="6"/>
      <c r="C410" s="7"/>
      <c r="D410" s="7"/>
      <c r="E410" s="7"/>
    </row>
    <row r="411">
      <c r="B411" s="6"/>
      <c r="C411" s="7"/>
      <c r="D411" s="7"/>
      <c r="E411" s="7"/>
    </row>
    <row r="412">
      <c r="B412" s="6"/>
      <c r="C412" s="7"/>
      <c r="D412" s="7"/>
      <c r="E412" s="7"/>
    </row>
    <row r="413">
      <c r="B413" s="6"/>
      <c r="C413" s="7"/>
      <c r="D413" s="7"/>
      <c r="E413" s="7"/>
    </row>
    <row r="414">
      <c r="B414" s="6"/>
      <c r="C414" s="7"/>
      <c r="D414" s="7"/>
      <c r="E414" s="7"/>
    </row>
    <row r="415">
      <c r="B415" s="6"/>
      <c r="C415" s="7"/>
      <c r="D415" s="7"/>
      <c r="E415" s="7"/>
    </row>
    <row r="416">
      <c r="B416" s="6"/>
      <c r="C416" s="7"/>
      <c r="D416" s="7"/>
      <c r="E416" s="7"/>
    </row>
    <row r="417">
      <c r="B417" s="6"/>
      <c r="C417" s="7"/>
      <c r="D417" s="7"/>
      <c r="E417" s="7"/>
    </row>
    <row r="418">
      <c r="B418" s="6"/>
      <c r="C418" s="7"/>
      <c r="D418" s="7"/>
      <c r="E418" s="7"/>
    </row>
    <row r="419">
      <c r="B419" s="6"/>
      <c r="C419" s="7"/>
      <c r="D419" s="7"/>
      <c r="E419" s="7"/>
    </row>
    <row r="420">
      <c r="B420" s="6"/>
      <c r="C420" s="7"/>
      <c r="D420" s="7"/>
      <c r="E420" s="7"/>
    </row>
    <row r="421">
      <c r="B421" s="6"/>
      <c r="C421" s="7"/>
      <c r="D421" s="7"/>
      <c r="E421" s="7"/>
    </row>
    <row r="422">
      <c r="B422" s="6"/>
      <c r="C422" s="7"/>
      <c r="D422" s="7"/>
      <c r="E422" s="7"/>
    </row>
    <row r="423">
      <c r="B423" s="6"/>
      <c r="C423" s="7"/>
      <c r="D423" s="7"/>
      <c r="E423" s="7"/>
    </row>
    <row r="424">
      <c r="B424" s="6"/>
      <c r="C424" s="7"/>
      <c r="D424" s="7"/>
      <c r="E424" s="7"/>
    </row>
    <row r="425">
      <c r="B425" s="6"/>
      <c r="C425" s="7"/>
      <c r="D425" s="7"/>
      <c r="E425" s="7"/>
    </row>
    <row r="426">
      <c r="B426" s="6"/>
      <c r="C426" s="7"/>
      <c r="D426" s="7"/>
      <c r="E426" s="7"/>
    </row>
    <row r="427">
      <c r="B427" s="6"/>
      <c r="C427" s="7"/>
      <c r="D427" s="7"/>
      <c r="E427" s="7"/>
    </row>
    <row r="428">
      <c r="B428" s="6"/>
      <c r="C428" s="7"/>
      <c r="D428" s="7"/>
      <c r="E428" s="7"/>
    </row>
    <row r="429">
      <c r="B429" s="6"/>
      <c r="C429" s="7"/>
      <c r="D429" s="7"/>
      <c r="E429" s="7"/>
    </row>
    <row r="430">
      <c r="B430" s="6"/>
      <c r="C430" s="7"/>
      <c r="D430" s="7"/>
      <c r="E430" s="7"/>
    </row>
    <row r="431">
      <c r="B431" s="6"/>
      <c r="C431" s="7"/>
      <c r="D431" s="7"/>
      <c r="E431" s="7"/>
    </row>
    <row r="432">
      <c r="B432" s="6"/>
      <c r="C432" s="7"/>
      <c r="D432" s="7"/>
      <c r="E432" s="7"/>
    </row>
    <row r="433">
      <c r="B433" s="6"/>
      <c r="C433" s="7"/>
      <c r="D433" s="7"/>
      <c r="E433" s="7"/>
    </row>
    <row r="434">
      <c r="B434" s="6"/>
      <c r="C434" s="7"/>
      <c r="D434" s="7"/>
      <c r="E434" s="7"/>
    </row>
    <row r="435">
      <c r="B435" s="6"/>
      <c r="C435" s="7"/>
      <c r="D435" s="7"/>
      <c r="E435" s="7"/>
    </row>
    <row r="436">
      <c r="B436" s="6"/>
      <c r="C436" s="7"/>
      <c r="D436" s="7"/>
      <c r="E436" s="7"/>
    </row>
    <row r="437">
      <c r="B437" s="6"/>
      <c r="C437" s="7"/>
      <c r="D437" s="7"/>
      <c r="E437" s="7"/>
    </row>
    <row r="438">
      <c r="B438" s="6"/>
      <c r="C438" s="7"/>
      <c r="D438" s="7"/>
      <c r="E438" s="7"/>
    </row>
    <row r="439">
      <c r="B439" s="6"/>
      <c r="C439" s="7"/>
      <c r="D439" s="7"/>
      <c r="E439" s="7"/>
    </row>
    <row r="440">
      <c r="B440" s="6"/>
      <c r="C440" s="7"/>
      <c r="D440" s="7"/>
      <c r="E440" s="7"/>
    </row>
    <row r="441">
      <c r="B441" s="6"/>
      <c r="C441" s="7"/>
      <c r="D441" s="7"/>
      <c r="E441" s="7"/>
    </row>
    <row r="442">
      <c r="B442" s="6"/>
      <c r="C442" s="7"/>
      <c r="D442" s="7"/>
      <c r="E442" s="7"/>
    </row>
    <row r="443">
      <c r="B443" s="6"/>
      <c r="C443" s="7"/>
      <c r="D443" s="7"/>
      <c r="E443" s="7"/>
    </row>
    <row r="444">
      <c r="B444" s="6"/>
      <c r="C444" s="7"/>
      <c r="D444" s="7"/>
      <c r="E444" s="7"/>
    </row>
    <row r="445">
      <c r="B445" s="6"/>
      <c r="C445" s="7"/>
      <c r="D445" s="7"/>
      <c r="E445" s="7"/>
    </row>
    <row r="446">
      <c r="B446" s="6"/>
      <c r="C446" s="7"/>
      <c r="D446" s="7"/>
      <c r="E446" s="7"/>
    </row>
    <row r="447">
      <c r="B447" s="6"/>
      <c r="C447" s="7"/>
      <c r="D447" s="7"/>
      <c r="E447" s="7"/>
    </row>
    <row r="448">
      <c r="B448" s="6"/>
      <c r="C448" s="7"/>
      <c r="D448" s="7"/>
      <c r="E448" s="7"/>
    </row>
    <row r="449">
      <c r="B449" s="6"/>
      <c r="C449" s="7"/>
      <c r="D449" s="7"/>
      <c r="E449" s="7"/>
    </row>
    <row r="450">
      <c r="B450" s="6"/>
      <c r="C450" s="7"/>
      <c r="D450" s="7"/>
      <c r="E450" s="7"/>
    </row>
    <row r="451">
      <c r="B451" s="6"/>
      <c r="C451" s="7"/>
      <c r="D451" s="7"/>
      <c r="E451" s="7"/>
    </row>
    <row r="452">
      <c r="B452" s="6"/>
      <c r="C452" s="7"/>
      <c r="D452" s="7"/>
      <c r="E452" s="7"/>
    </row>
    <row r="453">
      <c r="B453" s="6"/>
      <c r="C453" s="7"/>
      <c r="D453" s="7"/>
      <c r="E453" s="7"/>
    </row>
    <row r="454">
      <c r="B454" s="6"/>
      <c r="C454" s="7"/>
      <c r="D454" s="7"/>
      <c r="E454" s="7"/>
    </row>
    <row r="455">
      <c r="B455" s="6"/>
      <c r="C455" s="7"/>
      <c r="D455" s="7"/>
      <c r="E455" s="7"/>
    </row>
    <row r="456">
      <c r="B456" s="6"/>
      <c r="C456" s="7"/>
      <c r="D456" s="7"/>
      <c r="E456" s="7"/>
    </row>
    <row r="457">
      <c r="B457" s="6"/>
      <c r="C457" s="7"/>
      <c r="D457" s="7"/>
      <c r="E457" s="7"/>
    </row>
    <row r="458">
      <c r="B458" s="6"/>
      <c r="C458" s="7"/>
      <c r="D458" s="7"/>
      <c r="E458" s="7"/>
    </row>
    <row r="459">
      <c r="B459" s="6"/>
      <c r="C459" s="7"/>
      <c r="D459" s="7"/>
      <c r="E459" s="7"/>
    </row>
    <row r="460">
      <c r="B460" s="6"/>
      <c r="C460" s="7"/>
      <c r="D460" s="7"/>
      <c r="E460" s="7"/>
    </row>
    <row r="461">
      <c r="B461" s="6"/>
      <c r="C461" s="7"/>
      <c r="D461" s="7"/>
      <c r="E461" s="7"/>
    </row>
    <row r="462">
      <c r="B462" s="6"/>
      <c r="C462" s="7"/>
      <c r="D462" s="7"/>
      <c r="E462" s="7"/>
    </row>
    <row r="463">
      <c r="B463" s="6"/>
      <c r="C463" s="7"/>
      <c r="D463" s="7"/>
      <c r="E463" s="7"/>
    </row>
    <row r="464">
      <c r="B464" s="6"/>
      <c r="C464" s="7"/>
      <c r="D464" s="7"/>
      <c r="E464" s="7"/>
    </row>
    <row r="465">
      <c r="B465" s="6"/>
      <c r="C465" s="7"/>
      <c r="D465" s="7"/>
      <c r="E465" s="7"/>
    </row>
    <row r="466">
      <c r="B466" s="6"/>
      <c r="C466" s="7"/>
      <c r="D466" s="7"/>
      <c r="E466" s="7"/>
    </row>
    <row r="467">
      <c r="B467" s="6"/>
      <c r="C467" s="7"/>
      <c r="D467" s="7"/>
      <c r="E467" s="7"/>
    </row>
    <row r="468">
      <c r="B468" s="6"/>
      <c r="C468" s="7"/>
      <c r="D468" s="7"/>
      <c r="E468" s="7"/>
    </row>
    <row r="469">
      <c r="B469" s="6"/>
      <c r="C469" s="7"/>
      <c r="D469" s="7"/>
      <c r="E469" s="7"/>
    </row>
    <row r="470">
      <c r="B470" s="6"/>
      <c r="C470" s="7"/>
      <c r="D470" s="7"/>
      <c r="E470" s="7"/>
    </row>
    <row r="471">
      <c r="B471" s="6"/>
      <c r="C471" s="7"/>
      <c r="D471" s="7"/>
      <c r="E471" s="7"/>
    </row>
    <row r="472">
      <c r="B472" s="6"/>
      <c r="C472" s="7"/>
      <c r="D472" s="7"/>
      <c r="E472" s="7"/>
    </row>
    <row r="473">
      <c r="B473" s="6"/>
      <c r="C473" s="7"/>
      <c r="D473" s="7"/>
      <c r="E473" s="7"/>
    </row>
    <row r="474">
      <c r="B474" s="6"/>
      <c r="C474" s="7"/>
      <c r="D474" s="7"/>
      <c r="E474" s="7"/>
    </row>
    <row r="475">
      <c r="B475" s="6"/>
      <c r="C475" s="7"/>
      <c r="D475" s="7"/>
      <c r="E475" s="7"/>
    </row>
    <row r="476">
      <c r="B476" s="6"/>
      <c r="C476" s="7"/>
      <c r="D476" s="7"/>
      <c r="E476" s="7"/>
    </row>
    <row r="477">
      <c r="B477" s="6"/>
      <c r="C477" s="7"/>
      <c r="D477" s="7"/>
      <c r="E477" s="7"/>
    </row>
    <row r="478">
      <c r="B478" s="6"/>
      <c r="C478" s="7"/>
      <c r="D478" s="7"/>
      <c r="E478" s="7"/>
    </row>
    <row r="479">
      <c r="B479" s="6"/>
      <c r="C479" s="7"/>
      <c r="D479" s="7"/>
      <c r="E479" s="7"/>
    </row>
    <row r="480">
      <c r="B480" s="6"/>
      <c r="C480" s="7"/>
      <c r="D480" s="7"/>
      <c r="E480" s="7"/>
    </row>
    <row r="481">
      <c r="B481" s="6"/>
      <c r="C481" s="7"/>
      <c r="D481" s="7"/>
      <c r="E481" s="7"/>
    </row>
    <row r="482">
      <c r="B482" s="6"/>
      <c r="C482" s="7"/>
      <c r="D482" s="7"/>
      <c r="E482" s="7"/>
    </row>
    <row r="483">
      <c r="B483" s="6"/>
      <c r="C483" s="7"/>
      <c r="D483" s="7"/>
      <c r="E483" s="7"/>
    </row>
    <row r="484">
      <c r="B484" s="6"/>
      <c r="C484" s="7"/>
      <c r="D484" s="7"/>
      <c r="E484" s="7"/>
    </row>
    <row r="485">
      <c r="B485" s="6"/>
      <c r="C485" s="7"/>
      <c r="D485" s="7"/>
      <c r="E485" s="7"/>
    </row>
    <row r="486">
      <c r="B486" s="6"/>
      <c r="C486" s="7"/>
      <c r="D486" s="7"/>
      <c r="E486" s="7"/>
    </row>
    <row r="487">
      <c r="B487" s="6"/>
      <c r="C487" s="7"/>
      <c r="D487" s="7"/>
      <c r="E487" s="7"/>
    </row>
    <row r="488">
      <c r="B488" s="6"/>
      <c r="C488" s="7"/>
      <c r="D488" s="7"/>
      <c r="E488" s="7"/>
    </row>
    <row r="489">
      <c r="B489" s="6"/>
      <c r="C489" s="7"/>
      <c r="D489" s="7"/>
      <c r="E489" s="7"/>
    </row>
    <row r="490">
      <c r="B490" s="6"/>
      <c r="C490" s="7"/>
      <c r="D490" s="7"/>
      <c r="E490" s="7"/>
    </row>
    <row r="491">
      <c r="B491" s="6"/>
      <c r="C491" s="7"/>
      <c r="D491" s="7"/>
      <c r="E491" s="7"/>
    </row>
    <row r="492">
      <c r="B492" s="6"/>
      <c r="C492" s="7"/>
      <c r="D492" s="7"/>
      <c r="E492" s="7"/>
    </row>
    <row r="493">
      <c r="B493" s="6"/>
      <c r="C493" s="7"/>
      <c r="D493" s="7"/>
      <c r="E493" s="7"/>
    </row>
    <row r="494">
      <c r="B494" s="6"/>
      <c r="C494" s="7"/>
      <c r="D494" s="7"/>
      <c r="E494" s="7"/>
    </row>
    <row r="495">
      <c r="B495" s="6"/>
      <c r="C495" s="7"/>
      <c r="D495" s="7"/>
      <c r="E495" s="7"/>
    </row>
    <row r="496">
      <c r="B496" s="6"/>
      <c r="C496" s="7"/>
      <c r="D496" s="7"/>
      <c r="E496" s="7"/>
    </row>
    <row r="497">
      <c r="B497" s="6"/>
      <c r="C497" s="7"/>
      <c r="D497" s="7"/>
      <c r="E497" s="7"/>
    </row>
    <row r="498">
      <c r="B498" s="6"/>
      <c r="C498" s="7"/>
      <c r="D498" s="7"/>
      <c r="E498" s="7"/>
    </row>
    <row r="499">
      <c r="B499" s="6"/>
      <c r="C499" s="7"/>
      <c r="D499" s="7"/>
      <c r="E499" s="7"/>
    </row>
    <row r="500">
      <c r="B500" s="6"/>
      <c r="C500" s="7"/>
      <c r="D500" s="7"/>
      <c r="E500" s="7"/>
    </row>
    <row r="501">
      <c r="B501" s="6"/>
      <c r="C501" s="7"/>
      <c r="D501" s="7"/>
      <c r="E501" s="7"/>
    </row>
    <row r="502">
      <c r="B502" s="6"/>
      <c r="C502" s="7"/>
      <c r="D502" s="7"/>
      <c r="E502" s="7"/>
    </row>
    <row r="503">
      <c r="B503" s="6"/>
      <c r="C503" s="7"/>
      <c r="D503" s="7"/>
      <c r="E503" s="7"/>
    </row>
    <row r="504">
      <c r="B504" s="6"/>
      <c r="C504" s="7"/>
      <c r="D504" s="7"/>
      <c r="E504" s="7"/>
    </row>
    <row r="505">
      <c r="B505" s="6"/>
      <c r="C505" s="7"/>
      <c r="D505" s="7"/>
      <c r="E505" s="7"/>
    </row>
    <row r="506">
      <c r="B506" s="6"/>
      <c r="C506" s="7"/>
      <c r="D506" s="7"/>
      <c r="E506" s="7"/>
    </row>
    <row r="507">
      <c r="B507" s="6"/>
      <c r="C507" s="7"/>
      <c r="D507" s="7"/>
      <c r="E507" s="7"/>
    </row>
    <row r="508">
      <c r="B508" s="6"/>
      <c r="C508" s="7"/>
      <c r="D508" s="7"/>
      <c r="E508" s="7"/>
    </row>
    <row r="509">
      <c r="B509" s="6"/>
      <c r="C509" s="7"/>
      <c r="D509" s="7"/>
      <c r="E509" s="7"/>
    </row>
    <row r="510">
      <c r="B510" s="6"/>
      <c r="C510" s="7"/>
      <c r="D510" s="7"/>
      <c r="E510" s="7"/>
    </row>
    <row r="511">
      <c r="B511" s="6"/>
      <c r="C511" s="7"/>
      <c r="D511" s="7"/>
      <c r="E511" s="7"/>
    </row>
    <row r="512">
      <c r="B512" s="6"/>
      <c r="C512" s="7"/>
      <c r="D512" s="7"/>
      <c r="E512" s="7"/>
    </row>
    <row r="513">
      <c r="B513" s="6"/>
      <c r="C513" s="7"/>
      <c r="D513" s="7"/>
      <c r="E513" s="7"/>
    </row>
    <row r="514">
      <c r="B514" s="6"/>
      <c r="C514" s="7"/>
      <c r="D514" s="7"/>
      <c r="E514" s="7"/>
    </row>
    <row r="515">
      <c r="B515" s="6"/>
      <c r="C515" s="7"/>
      <c r="D515" s="7"/>
      <c r="E515" s="7"/>
    </row>
    <row r="516">
      <c r="B516" s="6"/>
      <c r="C516" s="7"/>
      <c r="D516" s="7"/>
      <c r="E516" s="7"/>
    </row>
    <row r="517">
      <c r="B517" s="6"/>
      <c r="C517" s="7"/>
      <c r="D517" s="7"/>
      <c r="E517" s="7"/>
    </row>
    <row r="518">
      <c r="B518" s="6"/>
      <c r="C518" s="7"/>
      <c r="D518" s="7"/>
      <c r="E518" s="7"/>
    </row>
    <row r="519">
      <c r="B519" s="6"/>
      <c r="C519" s="7"/>
      <c r="D519" s="7"/>
      <c r="E519" s="7"/>
    </row>
    <row r="520">
      <c r="B520" s="6"/>
      <c r="C520" s="7"/>
      <c r="D520" s="7"/>
      <c r="E520" s="7"/>
    </row>
    <row r="521">
      <c r="B521" s="6"/>
      <c r="C521" s="7"/>
      <c r="D521" s="7"/>
      <c r="E521" s="7"/>
    </row>
    <row r="522">
      <c r="B522" s="6"/>
      <c r="C522" s="7"/>
      <c r="D522" s="7"/>
      <c r="E522" s="7"/>
    </row>
    <row r="523">
      <c r="B523" s="6"/>
      <c r="C523" s="7"/>
      <c r="D523" s="7"/>
      <c r="E523" s="7"/>
    </row>
    <row r="524">
      <c r="B524" s="6"/>
      <c r="C524" s="7"/>
      <c r="D524" s="7"/>
      <c r="E524" s="7"/>
    </row>
    <row r="525">
      <c r="B525" s="6"/>
      <c r="C525" s="7"/>
      <c r="D525" s="7"/>
      <c r="E525" s="7"/>
    </row>
    <row r="526">
      <c r="B526" s="6"/>
      <c r="C526" s="7"/>
      <c r="D526" s="7"/>
      <c r="E526" s="7"/>
    </row>
    <row r="527">
      <c r="B527" s="6"/>
      <c r="C527" s="7"/>
      <c r="D527" s="7"/>
      <c r="E527" s="7"/>
    </row>
    <row r="528">
      <c r="B528" s="6"/>
      <c r="C528" s="7"/>
      <c r="D528" s="7"/>
      <c r="E528" s="7"/>
    </row>
    <row r="529">
      <c r="B529" s="6"/>
      <c r="C529" s="7"/>
      <c r="D529" s="7"/>
      <c r="E529" s="7"/>
    </row>
    <row r="530">
      <c r="B530" s="6"/>
      <c r="C530" s="7"/>
      <c r="D530" s="7"/>
      <c r="E530" s="7"/>
    </row>
    <row r="531">
      <c r="B531" s="6"/>
      <c r="C531" s="7"/>
      <c r="D531" s="7"/>
      <c r="E531" s="7"/>
    </row>
    <row r="532">
      <c r="B532" s="6"/>
      <c r="C532" s="7"/>
      <c r="D532" s="7"/>
      <c r="E532" s="7"/>
    </row>
    <row r="533">
      <c r="B533" s="6"/>
      <c r="C533" s="7"/>
      <c r="D533" s="7"/>
      <c r="E533" s="7"/>
    </row>
    <row r="534">
      <c r="B534" s="6"/>
      <c r="C534" s="7"/>
      <c r="D534" s="7"/>
      <c r="E534" s="7"/>
    </row>
    <row r="535">
      <c r="B535" s="6"/>
      <c r="C535" s="7"/>
      <c r="D535" s="7"/>
      <c r="E535" s="7"/>
    </row>
    <row r="536">
      <c r="B536" s="6"/>
      <c r="C536" s="7"/>
      <c r="D536" s="7"/>
      <c r="E536" s="7"/>
    </row>
    <row r="537">
      <c r="B537" s="6"/>
      <c r="C537" s="7"/>
      <c r="D537" s="7"/>
      <c r="E537" s="7"/>
    </row>
    <row r="538">
      <c r="B538" s="6"/>
      <c r="C538" s="7"/>
      <c r="D538" s="7"/>
      <c r="E538" s="7"/>
    </row>
    <row r="539">
      <c r="B539" s="6"/>
      <c r="C539" s="7"/>
      <c r="D539" s="7"/>
      <c r="E539" s="7"/>
    </row>
    <row r="540">
      <c r="B540" s="6"/>
      <c r="C540" s="7"/>
      <c r="D540" s="7"/>
      <c r="E540" s="7"/>
    </row>
    <row r="541">
      <c r="B541" s="6"/>
      <c r="C541" s="7"/>
      <c r="D541" s="7"/>
      <c r="E541" s="7"/>
    </row>
    <row r="542">
      <c r="B542" s="6"/>
      <c r="C542" s="7"/>
      <c r="D542" s="7"/>
      <c r="E542" s="7"/>
    </row>
    <row r="543">
      <c r="B543" s="6"/>
      <c r="C543" s="7"/>
      <c r="D543" s="7"/>
      <c r="E543" s="7"/>
    </row>
    <row r="544">
      <c r="B544" s="6"/>
      <c r="C544" s="7"/>
      <c r="D544" s="7"/>
      <c r="E544" s="7"/>
    </row>
    <row r="545">
      <c r="B545" s="6"/>
      <c r="C545" s="7"/>
      <c r="D545" s="7"/>
      <c r="E545" s="7"/>
    </row>
    <row r="546">
      <c r="B546" s="6"/>
      <c r="C546" s="7"/>
      <c r="D546" s="7"/>
      <c r="E546" s="7"/>
    </row>
    <row r="547">
      <c r="B547" s="6"/>
      <c r="C547" s="7"/>
      <c r="D547" s="7"/>
      <c r="E547" s="7"/>
    </row>
    <row r="548">
      <c r="B548" s="6"/>
      <c r="C548" s="7"/>
      <c r="D548" s="7"/>
      <c r="E548" s="7"/>
    </row>
    <row r="549">
      <c r="B549" s="6"/>
      <c r="C549" s="7"/>
      <c r="D549" s="7"/>
      <c r="E549" s="7"/>
    </row>
    <row r="550">
      <c r="B550" s="6"/>
      <c r="C550" s="7"/>
      <c r="D550" s="7"/>
      <c r="E550" s="7"/>
    </row>
    <row r="551">
      <c r="B551" s="6"/>
      <c r="C551" s="7"/>
      <c r="D551" s="7"/>
      <c r="E551" s="7"/>
    </row>
    <row r="552">
      <c r="B552" s="6"/>
      <c r="C552" s="7"/>
      <c r="D552" s="7"/>
      <c r="E552" s="7"/>
    </row>
    <row r="553">
      <c r="B553" s="6"/>
      <c r="C553" s="7"/>
      <c r="D553" s="7"/>
      <c r="E553" s="7"/>
    </row>
    <row r="554">
      <c r="B554" s="6"/>
      <c r="C554" s="7"/>
      <c r="D554" s="7"/>
      <c r="E554" s="7"/>
    </row>
    <row r="555">
      <c r="B555" s="6"/>
      <c r="C555" s="7"/>
      <c r="D555" s="7"/>
      <c r="E555" s="7"/>
    </row>
    <row r="556">
      <c r="B556" s="6"/>
      <c r="C556" s="7"/>
      <c r="D556" s="7"/>
      <c r="E556" s="7"/>
    </row>
    <row r="557">
      <c r="B557" s="6"/>
      <c r="C557" s="7"/>
      <c r="D557" s="7"/>
      <c r="E557" s="7"/>
    </row>
    <row r="558">
      <c r="B558" s="6"/>
      <c r="C558" s="7"/>
      <c r="D558" s="7"/>
      <c r="E558" s="7"/>
    </row>
    <row r="559">
      <c r="B559" s="6"/>
      <c r="C559" s="7"/>
      <c r="D559" s="7"/>
      <c r="E559" s="7"/>
    </row>
    <row r="560">
      <c r="B560" s="6"/>
      <c r="C560" s="7"/>
      <c r="D560" s="7"/>
      <c r="E560" s="7"/>
    </row>
    <row r="561">
      <c r="B561" s="6"/>
      <c r="C561" s="7"/>
      <c r="D561" s="7"/>
      <c r="E561" s="7"/>
    </row>
    <row r="562">
      <c r="B562" s="6"/>
      <c r="C562" s="7"/>
      <c r="D562" s="7"/>
      <c r="E562" s="7"/>
    </row>
    <row r="563">
      <c r="B563" s="6"/>
      <c r="C563" s="7"/>
      <c r="D563" s="7"/>
      <c r="E563" s="7"/>
    </row>
    <row r="564">
      <c r="B564" s="6"/>
      <c r="C564" s="7"/>
      <c r="D564" s="7"/>
      <c r="E564" s="7"/>
    </row>
    <row r="565">
      <c r="B565" s="6"/>
      <c r="C565" s="7"/>
      <c r="D565" s="7"/>
      <c r="E565" s="7"/>
    </row>
    <row r="566">
      <c r="B566" s="6"/>
      <c r="C566" s="7"/>
      <c r="D566" s="7"/>
      <c r="E566" s="7"/>
    </row>
    <row r="567">
      <c r="B567" s="6"/>
      <c r="C567" s="7"/>
      <c r="D567" s="7"/>
      <c r="E567" s="7"/>
    </row>
    <row r="568">
      <c r="B568" s="6"/>
      <c r="C568" s="7"/>
      <c r="D568" s="7"/>
      <c r="E568" s="7"/>
    </row>
    <row r="569">
      <c r="B569" s="6"/>
      <c r="C569" s="7"/>
      <c r="D569" s="7"/>
      <c r="E569" s="7"/>
    </row>
    <row r="570">
      <c r="B570" s="6"/>
      <c r="C570" s="7"/>
      <c r="D570" s="7"/>
      <c r="E570" s="7"/>
    </row>
    <row r="571">
      <c r="B571" s="6"/>
      <c r="C571" s="7"/>
      <c r="D571" s="7"/>
      <c r="E571" s="7"/>
    </row>
    <row r="572">
      <c r="B572" s="6"/>
      <c r="C572" s="7"/>
      <c r="D572" s="7"/>
      <c r="E572" s="7"/>
    </row>
    <row r="573">
      <c r="B573" s="6"/>
      <c r="C573" s="7"/>
      <c r="D573" s="7"/>
      <c r="E573" s="7"/>
    </row>
    <row r="574">
      <c r="B574" s="6"/>
      <c r="C574" s="7"/>
      <c r="D574" s="7"/>
      <c r="E574" s="7"/>
    </row>
    <row r="575">
      <c r="B575" s="6"/>
      <c r="C575" s="7"/>
      <c r="D575" s="7"/>
      <c r="E575" s="7"/>
    </row>
    <row r="576">
      <c r="B576" s="6"/>
      <c r="C576" s="7"/>
      <c r="D576" s="7"/>
      <c r="E576" s="7"/>
    </row>
    <row r="577">
      <c r="B577" s="6"/>
      <c r="C577" s="7"/>
      <c r="D577" s="7"/>
      <c r="E577" s="7"/>
    </row>
    <row r="578">
      <c r="B578" s="6"/>
      <c r="C578" s="7"/>
      <c r="D578" s="7"/>
      <c r="E578" s="7"/>
    </row>
    <row r="579">
      <c r="B579" s="6"/>
      <c r="C579" s="7"/>
      <c r="D579" s="7"/>
      <c r="E579" s="7"/>
    </row>
    <row r="580">
      <c r="B580" s="6"/>
      <c r="C580" s="7"/>
      <c r="D580" s="7"/>
      <c r="E580" s="7"/>
    </row>
    <row r="581">
      <c r="B581" s="6"/>
      <c r="C581" s="7"/>
      <c r="D581" s="7"/>
      <c r="E581" s="7"/>
    </row>
    <row r="582">
      <c r="B582" s="6"/>
      <c r="C582" s="7"/>
      <c r="D582" s="7"/>
      <c r="E582" s="7"/>
    </row>
    <row r="583">
      <c r="B583" s="6"/>
      <c r="C583" s="7"/>
      <c r="D583" s="7"/>
      <c r="E583" s="7"/>
    </row>
    <row r="584">
      <c r="B584" s="6"/>
      <c r="C584" s="7"/>
      <c r="D584" s="7"/>
      <c r="E584" s="7"/>
    </row>
    <row r="585">
      <c r="B585" s="6"/>
      <c r="C585" s="7"/>
      <c r="D585" s="7"/>
      <c r="E585" s="7"/>
    </row>
    <row r="586">
      <c r="B586" s="6"/>
      <c r="C586" s="7"/>
      <c r="D586" s="7"/>
      <c r="E586" s="7"/>
    </row>
    <row r="587">
      <c r="B587" s="6"/>
      <c r="C587" s="7"/>
      <c r="D587" s="7"/>
      <c r="E587" s="7"/>
    </row>
    <row r="588">
      <c r="B588" s="6"/>
      <c r="C588" s="7"/>
      <c r="D588" s="7"/>
      <c r="E588" s="7"/>
    </row>
    <row r="589">
      <c r="B589" s="6"/>
      <c r="C589" s="7"/>
      <c r="D589" s="7"/>
      <c r="E589" s="7"/>
    </row>
    <row r="590">
      <c r="B590" s="6"/>
      <c r="C590" s="7"/>
      <c r="D590" s="7"/>
      <c r="E590" s="7"/>
    </row>
    <row r="591">
      <c r="B591" s="6"/>
      <c r="C591" s="7"/>
      <c r="D591" s="7"/>
      <c r="E591" s="7"/>
    </row>
    <row r="592">
      <c r="B592" s="6"/>
      <c r="C592" s="7"/>
      <c r="D592" s="7"/>
      <c r="E592" s="7"/>
    </row>
    <row r="593">
      <c r="B593" s="6"/>
      <c r="C593" s="7"/>
      <c r="D593" s="7"/>
      <c r="E593" s="7"/>
    </row>
    <row r="594">
      <c r="B594" s="6"/>
      <c r="C594" s="7"/>
      <c r="D594" s="7"/>
      <c r="E594" s="7"/>
    </row>
    <row r="595">
      <c r="B595" s="6"/>
      <c r="C595" s="7"/>
      <c r="D595" s="7"/>
      <c r="E595" s="7"/>
    </row>
    <row r="596">
      <c r="B596" s="6"/>
      <c r="C596" s="7"/>
      <c r="D596" s="7"/>
      <c r="E596" s="7"/>
    </row>
    <row r="597">
      <c r="B597" s="6"/>
      <c r="C597" s="7"/>
      <c r="D597" s="7"/>
      <c r="E597" s="7"/>
    </row>
    <row r="598">
      <c r="B598" s="6"/>
      <c r="C598" s="7"/>
      <c r="D598" s="7"/>
      <c r="E598" s="7"/>
    </row>
    <row r="599">
      <c r="B599" s="6"/>
      <c r="C599" s="7"/>
      <c r="D599" s="7"/>
      <c r="E599" s="7"/>
    </row>
    <row r="600">
      <c r="B600" s="6"/>
      <c r="C600" s="7"/>
      <c r="D600" s="7"/>
      <c r="E600" s="7"/>
    </row>
    <row r="601">
      <c r="B601" s="6"/>
      <c r="C601" s="7"/>
      <c r="D601" s="7"/>
      <c r="E601" s="7"/>
    </row>
    <row r="602">
      <c r="B602" s="6"/>
      <c r="C602" s="7"/>
      <c r="D602" s="7"/>
      <c r="E602" s="7"/>
    </row>
    <row r="603">
      <c r="B603" s="6"/>
      <c r="C603" s="7"/>
      <c r="D603" s="7"/>
      <c r="E603" s="7"/>
    </row>
    <row r="604">
      <c r="B604" s="6"/>
      <c r="C604" s="7"/>
      <c r="D604" s="7"/>
      <c r="E604" s="7"/>
    </row>
    <row r="605">
      <c r="B605" s="6"/>
      <c r="C605" s="7"/>
      <c r="D605" s="7"/>
      <c r="E605" s="7"/>
    </row>
    <row r="606">
      <c r="B606" s="6"/>
      <c r="C606" s="7"/>
      <c r="D606" s="7"/>
      <c r="E606" s="7"/>
    </row>
    <row r="607">
      <c r="B607" s="6"/>
      <c r="C607" s="7"/>
      <c r="D607" s="7"/>
      <c r="E607" s="7"/>
    </row>
    <row r="608">
      <c r="B608" s="6"/>
      <c r="C608" s="7"/>
      <c r="D608" s="7"/>
      <c r="E608" s="7"/>
    </row>
    <row r="609">
      <c r="B609" s="6"/>
      <c r="C609" s="7"/>
      <c r="D609" s="7"/>
      <c r="E609" s="7"/>
    </row>
    <row r="610">
      <c r="B610" s="6"/>
      <c r="C610" s="7"/>
      <c r="D610" s="7"/>
      <c r="E610" s="7"/>
    </row>
    <row r="611">
      <c r="B611" s="6"/>
      <c r="C611" s="7"/>
      <c r="D611" s="7"/>
      <c r="E611" s="7"/>
    </row>
    <row r="612">
      <c r="B612" s="6"/>
      <c r="C612" s="7"/>
      <c r="D612" s="7"/>
      <c r="E612" s="7"/>
    </row>
    <row r="613">
      <c r="B613" s="6"/>
      <c r="C613" s="7"/>
      <c r="D613" s="7"/>
      <c r="E613" s="7"/>
    </row>
    <row r="614">
      <c r="B614" s="6"/>
      <c r="C614" s="7"/>
      <c r="D614" s="7"/>
      <c r="E614" s="7"/>
    </row>
    <row r="615">
      <c r="B615" s="6"/>
      <c r="C615" s="7"/>
      <c r="D615" s="7"/>
      <c r="E615" s="7"/>
    </row>
    <row r="616">
      <c r="B616" s="6"/>
      <c r="C616" s="7"/>
      <c r="D616" s="7"/>
      <c r="E616" s="7"/>
    </row>
    <row r="617">
      <c r="B617" s="6"/>
      <c r="C617" s="7"/>
      <c r="D617" s="7"/>
      <c r="E617" s="7"/>
    </row>
    <row r="618">
      <c r="B618" s="6"/>
      <c r="C618" s="7"/>
      <c r="D618" s="7"/>
      <c r="E618" s="7"/>
    </row>
    <row r="619">
      <c r="B619" s="6"/>
      <c r="C619" s="7"/>
      <c r="D619" s="7"/>
      <c r="E619" s="7"/>
    </row>
    <row r="620">
      <c r="B620" s="6"/>
      <c r="C620" s="7"/>
      <c r="D620" s="7"/>
      <c r="E620" s="7"/>
    </row>
    <row r="621">
      <c r="B621" s="6"/>
      <c r="C621" s="7"/>
      <c r="D621" s="7"/>
      <c r="E621" s="7"/>
    </row>
    <row r="622">
      <c r="B622" s="6"/>
      <c r="C622" s="7"/>
      <c r="D622" s="7"/>
      <c r="E622" s="7"/>
    </row>
    <row r="623">
      <c r="B623" s="6"/>
      <c r="C623" s="7"/>
      <c r="D623" s="7"/>
      <c r="E623" s="7"/>
    </row>
    <row r="624">
      <c r="B624" s="6"/>
      <c r="C624" s="7"/>
      <c r="D624" s="7"/>
      <c r="E624" s="7"/>
    </row>
    <row r="625">
      <c r="B625" s="6"/>
      <c r="C625" s="7"/>
      <c r="D625" s="7"/>
      <c r="E625" s="7"/>
    </row>
    <row r="626">
      <c r="B626" s="6"/>
      <c r="C626" s="7"/>
      <c r="D626" s="7"/>
      <c r="E626" s="7"/>
    </row>
    <row r="627">
      <c r="B627" s="6"/>
      <c r="C627" s="7"/>
      <c r="D627" s="7"/>
      <c r="E627" s="7"/>
    </row>
    <row r="628">
      <c r="B628" s="6"/>
      <c r="C628" s="7"/>
      <c r="D628" s="7"/>
      <c r="E628" s="7"/>
    </row>
    <row r="629">
      <c r="B629" s="6"/>
      <c r="C629" s="7"/>
      <c r="D629" s="7"/>
      <c r="E629" s="7"/>
    </row>
    <row r="630">
      <c r="B630" s="6"/>
      <c r="C630" s="7"/>
      <c r="D630" s="7"/>
      <c r="E630" s="7"/>
    </row>
    <row r="631">
      <c r="B631" s="6"/>
      <c r="C631" s="7"/>
      <c r="D631" s="7"/>
      <c r="E631" s="7"/>
    </row>
    <row r="632">
      <c r="B632" s="6"/>
      <c r="C632" s="7"/>
      <c r="D632" s="7"/>
      <c r="E632" s="7"/>
    </row>
    <row r="633">
      <c r="B633" s="6"/>
      <c r="C633" s="7"/>
      <c r="D633" s="7"/>
      <c r="E633" s="7"/>
    </row>
    <row r="634">
      <c r="B634" s="6"/>
      <c r="C634" s="7"/>
      <c r="D634" s="7"/>
      <c r="E634" s="7"/>
    </row>
    <row r="635">
      <c r="B635" s="6"/>
      <c r="C635" s="7"/>
      <c r="D635" s="7"/>
      <c r="E635" s="7"/>
    </row>
    <row r="636">
      <c r="B636" s="6"/>
      <c r="C636" s="7"/>
      <c r="D636" s="7"/>
      <c r="E636" s="7"/>
    </row>
    <row r="637">
      <c r="B637" s="6"/>
      <c r="C637" s="7"/>
      <c r="D637" s="7"/>
      <c r="E637" s="7"/>
    </row>
    <row r="638">
      <c r="B638" s="6"/>
      <c r="C638" s="7"/>
      <c r="D638" s="7"/>
      <c r="E638" s="7"/>
    </row>
    <row r="639">
      <c r="B639" s="6"/>
      <c r="C639" s="7"/>
      <c r="D639" s="7"/>
      <c r="E639" s="7"/>
    </row>
    <row r="640">
      <c r="B640" s="6"/>
      <c r="C640" s="7"/>
      <c r="D640" s="7"/>
      <c r="E640" s="7"/>
    </row>
    <row r="641">
      <c r="B641" s="6"/>
      <c r="C641" s="7"/>
      <c r="D641" s="7"/>
      <c r="E641" s="7"/>
    </row>
    <row r="642">
      <c r="B642" s="6"/>
      <c r="C642" s="7"/>
      <c r="D642" s="7"/>
      <c r="E642" s="7"/>
    </row>
    <row r="643">
      <c r="B643" s="6"/>
      <c r="C643" s="7"/>
      <c r="D643" s="7"/>
      <c r="E643" s="7"/>
    </row>
    <row r="644">
      <c r="B644" s="6"/>
      <c r="C644" s="7"/>
      <c r="D644" s="7"/>
      <c r="E644" s="7"/>
    </row>
    <row r="645">
      <c r="B645" s="6"/>
      <c r="C645" s="7"/>
      <c r="D645" s="7"/>
      <c r="E645" s="7"/>
    </row>
    <row r="646">
      <c r="B646" s="6"/>
      <c r="C646" s="7"/>
      <c r="D646" s="7"/>
      <c r="E646" s="7"/>
    </row>
    <row r="647">
      <c r="B647" s="6"/>
      <c r="C647" s="7"/>
      <c r="D647" s="7"/>
      <c r="E647" s="7"/>
    </row>
    <row r="648">
      <c r="B648" s="6"/>
      <c r="C648" s="7"/>
      <c r="D648" s="7"/>
      <c r="E648" s="7"/>
    </row>
    <row r="649">
      <c r="B649" s="6"/>
      <c r="C649" s="7"/>
      <c r="D649" s="7"/>
      <c r="E649" s="7"/>
    </row>
    <row r="650">
      <c r="B650" s="6"/>
      <c r="C650" s="7"/>
      <c r="D650" s="7"/>
      <c r="E650" s="7"/>
    </row>
    <row r="651">
      <c r="B651" s="6"/>
      <c r="C651" s="7"/>
      <c r="D651" s="7"/>
      <c r="E651" s="7"/>
    </row>
    <row r="652">
      <c r="B652" s="6"/>
      <c r="C652" s="7"/>
      <c r="D652" s="7"/>
      <c r="E652" s="7"/>
    </row>
    <row r="653">
      <c r="B653" s="6"/>
      <c r="C653" s="7"/>
      <c r="D653" s="7"/>
      <c r="E653" s="7"/>
    </row>
    <row r="654">
      <c r="B654" s="6"/>
      <c r="C654" s="7"/>
      <c r="D654" s="7"/>
      <c r="E654" s="7"/>
    </row>
    <row r="655">
      <c r="B655" s="6"/>
      <c r="C655" s="7"/>
      <c r="D655" s="7"/>
      <c r="E655" s="7"/>
    </row>
    <row r="656">
      <c r="B656" s="6"/>
      <c r="C656" s="7"/>
      <c r="D656" s="7"/>
      <c r="E656" s="7"/>
    </row>
    <row r="657">
      <c r="B657" s="6"/>
      <c r="C657" s="7"/>
      <c r="D657" s="7"/>
      <c r="E657" s="7"/>
    </row>
    <row r="658">
      <c r="B658" s="6"/>
      <c r="C658" s="7"/>
      <c r="D658" s="7"/>
      <c r="E658" s="7"/>
    </row>
    <row r="659">
      <c r="B659" s="6"/>
      <c r="C659" s="7"/>
      <c r="D659" s="7"/>
      <c r="E659" s="7"/>
    </row>
    <row r="660">
      <c r="B660" s="6"/>
      <c r="C660" s="7"/>
      <c r="D660" s="7"/>
      <c r="E660" s="7"/>
    </row>
    <row r="661">
      <c r="B661" s="6"/>
      <c r="C661" s="7"/>
      <c r="D661" s="7"/>
      <c r="E661" s="7"/>
    </row>
    <row r="662">
      <c r="B662" s="6"/>
      <c r="C662" s="7"/>
      <c r="D662" s="7"/>
      <c r="E662" s="7"/>
    </row>
    <row r="663">
      <c r="B663" s="6"/>
      <c r="C663" s="7"/>
      <c r="D663" s="7"/>
      <c r="E663" s="7"/>
    </row>
    <row r="664">
      <c r="B664" s="6"/>
      <c r="C664" s="7"/>
      <c r="D664" s="7"/>
      <c r="E664" s="7"/>
    </row>
    <row r="665">
      <c r="B665" s="6"/>
      <c r="C665" s="7"/>
      <c r="D665" s="7"/>
      <c r="E665" s="7"/>
    </row>
    <row r="666">
      <c r="B666" s="6"/>
      <c r="C666" s="7"/>
      <c r="D666" s="7"/>
      <c r="E666" s="7"/>
    </row>
    <row r="667">
      <c r="B667" s="6"/>
      <c r="C667" s="7"/>
      <c r="D667" s="7"/>
      <c r="E667" s="7"/>
    </row>
    <row r="668">
      <c r="B668" s="6"/>
      <c r="C668" s="7"/>
      <c r="D668" s="7"/>
      <c r="E668" s="7"/>
    </row>
    <row r="669">
      <c r="B669" s="6"/>
      <c r="C669" s="7"/>
      <c r="D669" s="7"/>
      <c r="E669" s="7"/>
    </row>
    <row r="670">
      <c r="B670" s="6"/>
      <c r="C670" s="7"/>
      <c r="D670" s="7"/>
      <c r="E670" s="7"/>
    </row>
    <row r="671">
      <c r="B671" s="6"/>
      <c r="C671" s="7"/>
      <c r="D671" s="7"/>
      <c r="E671" s="7"/>
    </row>
    <row r="672">
      <c r="B672" s="6"/>
      <c r="C672" s="7"/>
      <c r="D672" s="7"/>
      <c r="E672" s="7"/>
    </row>
    <row r="673">
      <c r="B673" s="6"/>
      <c r="C673" s="7"/>
      <c r="D673" s="7"/>
      <c r="E673" s="7"/>
    </row>
    <row r="674">
      <c r="B674" s="6"/>
      <c r="C674" s="7"/>
      <c r="D674" s="7"/>
      <c r="E674" s="7"/>
    </row>
    <row r="675">
      <c r="B675" s="6"/>
      <c r="C675" s="7"/>
      <c r="D675" s="7"/>
      <c r="E675" s="7"/>
    </row>
    <row r="676">
      <c r="B676" s="6"/>
      <c r="C676" s="7"/>
      <c r="D676" s="7"/>
      <c r="E676" s="7"/>
    </row>
    <row r="677">
      <c r="B677" s="6"/>
      <c r="C677" s="7"/>
      <c r="D677" s="7"/>
      <c r="E677" s="7"/>
    </row>
    <row r="678">
      <c r="B678" s="6"/>
      <c r="C678" s="7"/>
      <c r="D678" s="7"/>
      <c r="E678" s="7"/>
    </row>
    <row r="679">
      <c r="B679" s="6"/>
      <c r="C679" s="7"/>
      <c r="D679" s="7"/>
      <c r="E679" s="7"/>
    </row>
    <row r="680">
      <c r="B680" s="6"/>
      <c r="C680" s="7"/>
      <c r="D680" s="7"/>
      <c r="E680" s="7"/>
    </row>
    <row r="681">
      <c r="B681" s="6"/>
      <c r="C681" s="7"/>
      <c r="D681" s="7"/>
      <c r="E681" s="7"/>
    </row>
    <row r="682">
      <c r="B682" s="6"/>
      <c r="C682" s="7"/>
      <c r="D682" s="7"/>
      <c r="E682" s="7"/>
    </row>
    <row r="683">
      <c r="B683" s="6"/>
      <c r="C683" s="7"/>
      <c r="D683" s="7"/>
      <c r="E683" s="7"/>
    </row>
    <row r="684">
      <c r="B684" s="6"/>
      <c r="C684" s="7"/>
      <c r="D684" s="7"/>
      <c r="E684" s="7"/>
    </row>
    <row r="685">
      <c r="B685" s="6"/>
      <c r="C685" s="7"/>
      <c r="D685" s="7"/>
      <c r="E685" s="7"/>
    </row>
    <row r="686">
      <c r="B686" s="6"/>
      <c r="C686" s="7"/>
      <c r="D686" s="7"/>
      <c r="E686" s="7"/>
    </row>
    <row r="687">
      <c r="B687" s="6"/>
      <c r="C687" s="7"/>
      <c r="D687" s="7"/>
      <c r="E687" s="7"/>
    </row>
    <row r="688">
      <c r="B688" s="6"/>
      <c r="C688" s="7"/>
      <c r="D688" s="7"/>
      <c r="E688" s="7"/>
    </row>
    <row r="689">
      <c r="B689" s="6"/>
      <c r="C689" s="7"/>
      <c r="D689" s="7"/>
      <c r="E689" s="7"/>
    </row>
    <row r="690">
      <c r="B690" s="6"/>
      <c r="C690" s="7"/>
      <c r="D690" s="7"/>
      <c r="E690" s="7"/>
    </row>
    <row r="691">
      <c r="B691" s="6"/>
      <c r="C691" s="7"/>
      <c r="D691" s="7"/>
      <c r="E691" s="7"/>
    </row>
    <row r="692">
      <c r="B692" s="6"/>
      <c r="C692" s="7"/>
      <c r="D692" s="7"/>
      <c r="E692" s="7"/>
    </row>
    <row r="693">
      <c r="B693" s="6"/>
      <c r="C693" s="7"/>
      <c r="D693" s="7"/>
      <c r="E693" s="7"/>
    </row>
    <row r="694">
      <c r="B694" s="6"/>
      <c r="C694" s="7"/>
      <c r="D694" s="7"/>
      <c r="E694" s="7"/>
    </row>
    <row r="695">
      <c r="B695" s="6"/>
      <c r="C695" s="7"/>
      <c r="D695" s="7"/>
      <c r="E695" s="7"/>
    </row>
    <row r="696">
      <c r="B696" s="6"/>
      <c r="C696" s="7"/>
      <c r="D696" s="7"/>
      <c r="E696" s="7"/>
    </row>
    <row r="697">
      <c r="B697" s="6"/>
      <c r="C697" s="7"/>
      <c r="D697" s="7"/>
      <c r="E697" s="7"/>
    </row>
    <row r="698">
      <c r="B698" s="6"/>
      <c r="C698" s="7"/>
      <c r="D698" s="7"/>
      <c r="E698" s="7"/>
    </row>
    <row r="699">
      <c r="B699" s="6"/>
      <c r="C699" s="7"/>
      <c r="D699" s="7"/>
      <c r="E699" s="7"/>
    </row>
    <row r="700">
      <c r="B700" s="6"/>
      <c r="C700" s="7"/>
      <c r="D700" s="7"/>
      <c r="E700" s="7"/>
    </row>
    <row r="701">
      <c r="B701" s="6"/>
      <c r="C701" s="7"/>
      <c r="D701" s="7"/>
      <c r="E701" s="7"/>
    </row>
    <row r="702">
      <c r="B702" s="6"/>
      <c r="C702" s="7"/>
      <c r="D702" s="7"/>
      <c r="E702" s="7"/>
    </row>
    <row r="703">
      <c r="B703" s="6"/>
      <c r="C703" s="7"/>
      <c r="D703" s="7"/>
      <c r="E703" s="7"/>
    </row>
    <row r="704">
      <c r="B704" s="6"/>
      <c r="C704" s="7"/>
      <c r="D704" s="7"/>
      <c r="E704" s="7"/>
    </row>
    <row r="705">
      <c r="B705" s="6"/>
      <c r="C705" s="7"/>
      <c r="D705" s="7"/>
      <c r="E705" s="7"/>
    </row>
    <row r="706">
      <c r="B706" s="6"/>
      <c r="C706" s="7"/>
      <c r="D706" s="7"/>
      <c r="E706" s="7"/>
    </row>
    <row r="707">
      <c r="B707" s="6"/>
      <c r="C707" s="7"/>
      <c r="D707" s="7"/>
      <c r="E707" s="7"/>
    </row>
    <row r="708">
      <c r="B708" s="6"/>
      <c r="C708" s="7"/>
      <c r="D708" s="7"/>
      <c r="E708" s="7"/>
    </row>
    <row r="709">
      <c r="B709" s="6"/>
      <c r="C709" s="7"/>
      <c r="D709" s="7"/>
      <c r="E709" s="7"/>
    </row>
    <row r="710">
      <c r="B710" s="6"/>
      <c r="C710" s="7"/>
      <c r="D710" s="7"/>
      <c r="E710" s="7"/>
    </row>
    <row r="711">
      <c r="B711" s="6"/>
      <c r="C711" s="7"/>
      <c r="D711" s="7"/>
      <c r="E711" s="7"/>
    </row>
    <row r="712">
      <c r="B712" s="6"/>
      <c r="C712" s="7"/>
      <c r="D712" s="7"/>
      <c r="E712" s="7"/>
    </row>
    <row r="713">
      <c r="B713" s="6"/>
      <c r="C713" s="7"/>
      <c r="D713" s="7"/>
      <c r="E713" s="7"/>
    </row>
    <row r="714">
      <c r="B714" s="6"/>
      <c r="C714" s="7"/>
      <c r="D714" s="7"/>
      <c r="E714" s="7"/>
    </row>
    <row r="715">
      <c r="B715" s="6"/>
      <c r="C715" s="7"/>
      <c r="D715" s="7"/>
      <c r="E715" s="7"/>
    </row>
    <row r="716">
      <c r="B716" s="6"/>
      <c r="C716" s="7"/>
      <c r="D716" s="7"/>
      <c r="E716" s="7"/>
    </row>
    <row r="717">
      <c r="B717" s="6"/>
      <c r="C717" s="7"/>
      <c r="D717" s="7"/>
      <c r="E717" s="7"/>
    </row>
    <row r="718">
      <c r="B718" s="6"/>
      <c r="C718" s="7"/>
      <c r="D718" s="7"/>
      <c r="E718" s="7"/>
    </row>
    <row r="719">
      <c r="B719" s="6"/>
      <c r="C719" s="7"/>
      <c r="D719" s="7"/>
      <c r="E719" s="7"/>
    </row>
    <row r="720">
      <c r="B720" s="6"/>
      <c r="C720" s="7"/>
      <c r="D720" s="7"/>
      <c r="E720" s="7"/>
    </row>
    <row r="721">
      <c r="B721" s="6"/>
      <c r="C721" s="7"/>
      <c r="D721" s="7"/>
      <c r="E721" s="7"/>
    </row>
    <row r="722">
      <c r="B722" s="6"/>
      <c r="C722" s="7"/>
      <c r="D722" s="7"/>
      <c r="E722" s="7"/>
    </row>
    <row r="723">
      <c r="B723" s="6"/>
      <c r="C723" s="7"/>
      <c r="D723" s="7"/>
      <c r="E723" s="7"/>
    </row>
    <row r="724">
      <c r="B724" s="6"/>
      <c r="C724" s="7"/>
      <c r="D724" s="7"/>
      <c r="E724" s="7"/>
    </row>
    <row r="725">
      <c r="B725" s="6"/>
      <c r="C725" s="7"/>
      <c r="D725" s="7"/>
      <c r="E725" s="7"/>
    </row>
    <row r="726">
      <c r="B726" s="6"/>
      <c r="C726" s="7"/>
      <c r="D726" s="7"/>
      <c r="E726" s="7"/>
    </row>
    <row r="727">
      <c r="B727" s="6"/>
      <c r="C727" s="7"/>
      <c r="D727" s="7"/>
      <c r="E727" s="7"/>
    </row>
    <row r="728">
      <c r="B728" s="6"/>
      <c r="C728" s="7"/>
      <c r="D728" s="7"/>
      <c r="E728" s="7"/>
    </row>
    <row r="729">
      <c r="B729" s="6"/>
      <c r="C729" s="7"/>
      <c r="D729" s="7"/>
      <c r="E729" s="7"/>
    </row>
    <row r="730">
      <c r="B730" s="6"/>
      <c r="C730" s="7"/>
      <c r="D730" s="7"/>
      <c r="E730" s="7"/>
    </row>
    <row r="731">
      <c r="B731" s="6"/>
      <c r="C731" s="7"/>
      <c r="D731" s="7"/>
      <c r="E731" s="7"/>
    </row>
    <row r="732">
      <c r="B732" s="6"/>
      <c r="C732" s="7"/>
      <c r="D732" s="7"/>
      <c r="E732" s="7"/>
    </row>
    <row r="733">
      <c r="B733" s="6"/>
      <c r="C733" s="7"/>
      <c r="D733" s="7"/>
      <c r="E733" s="7"/>
    </row>
    <row r="734">
      <c r="B734" s="6"/>
      <c r="C734" s="7"/>
      <c r="D734" s="7"/>
      <c r="E734" s="7"/>
    </row>
    <row r="735">
      <c r="B735" s="6"/>
      <c r="C735" s="7"/>
      <c r="D735" s="7"/>
      <c r="E735" s="7"/>
    </row>
    <row r="736">
      <c r="B736" s="6"/>
      <c r="C736" s="7"/>
      <c r="D736" s="7"/>
      <c r="E736" s="7"/>
    </row>
    <row r="737">
      <c r="B737" s="6"/>
      <c r="C737" s="7"/>
      <c r="D737" s="7"/>
      <c r="E737" s="7"/>
    </row>
    <row r="738">
      <c r="B738" s="6"/>
      <c r="C738" s="7"/>
      <c r="D738" s="7"/>
      <c r="E738" s="7"/>
    </row>
    <row r="739">
      <c r="B739" s="6"/>
      <c r="C739" s="7"/>
      <c r="D739" s="7"/>
      <c r="E739" s="7"/>
    </row>
    <row r="740">
      <c r="B740" s="6"/>
      <c r="C740" s="7"/>
      <c r="D740" s="7"/>
      <c r="E740" s="7"/>
    </row>
    <row r="741">
      <c r="B741" s="6"/>
      <c r="C741" s="7"/>
      <c r="D741" s="7"/>
      <c r="E741" s="7"/>
    </row>
    <row r="742">
      <c r="B742" s="6"/>
      <c r="C742" s="7"/>
      <c r="D742" s="7"/>
      <c r="E742" s="7"/>
    </row>
    <row r="743">
      <c r="B743" s="6"/>
      <c r="C743" s="7"/>
      <c r="D743" s="7"/>
      <c r="E743" s="7"/>
    </row>
    <row r="744">
      <c r="B744" s="6"/>
      <c r="C744" s="7"/>
      <c r="D744" s="7"/>
      <c r="E744" s="7"/>
    </row>
    <row r="745">
      <c r="B745" s="6"/>
      <c r="C745" s="7"/>
      <c r="D745" s="7"/>
      <c r="E745" s="7"/>
    </row>
    <row r="746">
      <c r="B746" s="6"/>
      <c r="C746" s="7"/>
      <c r="D746" s="7"/>
      <c r="E746" s="7"/>
    </row>
    <row r="747">
      <c r="B747" s="6"/>
      <c r="C747" s="7"/>
      <c r="D747" s="7"/>
      <c r="E747" s="7"/>
    </row>
    <row r="748">
      <c r="B748" s="6"/>
      <c r="C748" s="7"/>
      <c r="D748" s="7"/>
      <c r="E748" s="7"/>
    </row>
    <row r="749">
      <c r="B749" s="6"/>
      <c r="C749" s="7"/>
      <c r="D749" s="7"/>
      <c r="E749" s="7"/>
    </row>
    <row r="750">
      <c r="B750" s="6"/>
      <c r="C750" s="7"/>
      <c r="D750" s="7"/>
      <c r="E750" s="7"/>
    </row>
    <row r="751">
      <c r="B751" s="6"/>
      <c r="C751" s="7"/>
      <c r="D751" s="7"/>
      <c r="E751" s="7"/>
    </row>
    <row r="752">
      <c r="B752" s="6"/>
      <c r="C752" s="7"/>
      <c r="D752" s="7"/>
      <c r="E752" s="7"/>
    </row>
    <row r="753">
      <c r="B753" s="6"/>
      <c r="C753" s="7"/>
      <c r="D753" s="7"/>
      <c r="E753" s="7"/>
    </row>
    <row r="754">
      <c r="B754" s="6"/>
      <c r="C754" s="7"/>
      <c r="D754" s="7"/>
      <c r="E754" s="7"/>
    </row>
    <row r="755">
      <c r="B755" s="6"/>
      <c r="C755" s="7"/>
      <c r="D755" s="7"/>
      <c r="E755" s="7"/>
    </row>
    <row r="756">
      <c r="B756" s="6"/>
      <c r="C756" s="7"/>
      <c r="D756" s="7"/>
      <c r="E756" s="7"/>
    </row>
    <row r="757">
      <c r="B757" s="6"/>
      <c r="C757" s="7"/>
      <c r="D757" s="7"/>
      <c r="E757" s="7"/>
    </row>
    <row r="758">
      <c r="B758" s="6"/>
      <c r="C758" s="7"/>
      <c r="D758" s="7"/>
      <c r="E758" s="7"/>
    </row>
    <row r="759">
      <c r="B759" s="6"/>
      <c r="C759" s="7"/>
      <c r="D759" s="7"/>
      <c r="E759" s="7"/>
    </row>
    <row r="760">
      <c r="B760" s="6"/>
      <c r="C760" s="7"/>
      <c r="D760" s="7"/>
      <c r="E760" s="7"/>
    </row>
    <row r="761">
      <c r="B761" s="6"/>
      <c r="C761" s="7"/>
      <c r="D761" s="7"/>
      <c r="E761" s="7"/>
    </row>
    <row r="762">
      <c r="B762" s="6"/>
      <c r="C762" s="7"/>
      <c r="D762" s="7"/>
      <c r="E762" s="7"/>
    </row>
    <row r="763">
      <c r="B763" s="6"/>
      <c r="C763" s="7"/>
      <c r="D763" s="7"/>
      <c r="E763" s="7"/>
    </row>
    <row r="764">
      <c r="B764" s="6"/>
      <c r="C764" s="7"/>
      <c r="D764" s="7"/>
      <c r="E764" s="7"/>
    </row>
    <row r="765">
      <c r="B765" s="6"/>
      <c r="C765" s="7"/>
      <c r="D765" s="7"/>
      <c r="E765" s="7"/>
    </row>
    <row r="766">
      <c r="B766" s="6"/>
      <c r="C766" s="7"/>
      <c r="D766" s="7"/>
      <c r="E766" s="7"/>
    </row>
    <row r="767">
      <c r="B767" s="6"/>
      <c r="C767" s="7"/>
      <c r="D767" s="7"/>
      <c r="E767" s="7"/>
    </row>
    <row r="768">
      <c r="B768" s="6"/>
      <c r="C768" s="7"/>
      <c r="D768" s="7"/>
      <c r="E768" s="7"/>
    </row>
    <row r="769">
      <c r="B769" s="6"/>
      <c r="C769" s="7"/>
      <c r="D769" s="7"/>
      <c r="E769" s="7"/>
    </row>
    <row r="770">
      <c r="B770" s="6"/>
      <c r="C770" s="7"/>
      <c r="D770" s="7"/>
      <c r="E770" s="7"/>
    </row>
    <row r="771">
      <c r="B771" s="6"/>
      <c r="C771" s="7"/>
      <c r="D771" s="7"/>
      <c r="E771" s="7"/>
    </row>
    <row r="772">
      <c r="B772" s="6"/>
      <c r="C772" s="7"/>
      <c r="D772" s="7"/>
      <c r="E772" s="7"/>
    </row>
    <row r="773">
      <c r="B773" s="6"/>
      <c r="C773" s="7"/>
      <c r="D773" s="7"/>
      <c r="E773" s="7"/>
    </row>
    <row r="774">
      <c r="B774" s="6"/>
      <c r="C774" s="7"/>
      <c r="D774" s="7"/>
      <c r="E774" s="7"/>
    </row>
    <row r="775">
      <c r="B775" s="6"/>
      <c r="C775" s="7"/>
      <c r="D775" s="7"/>
      <c r="E775" s="7"/>
    </row>
    <row r="776">
      <c r="B776" s="6"/>
      <c r="C776" s="7"/>
      <c r="D776" s="7"/>
      <c r="E776" s="7"/>
    </row>
    <row r="777">
      <c r="B777" s="6"/>
      <c r="C777" s="7"/>
      <c r="D777" s="7"/>
      <c r="E777" s="7"/>
    </row>
    <row r="778">
      <c r="B778" s="6"/>
      <c r="C778" s="7"/>
      <c r="D778" s="7"/>
      <c r="E778" s="7"/>
    </row>
    <row r="779">
      <c r="B779" s="6"/>
      <c r="C779" s="7"/>
      <c r="D779" s="7"/>
      <c r="E779" s="7"/>
    </row>
    <row r="780">
      <c r="B780" s="6"/>
      <c r="C780" s="7"/>
      <c r="D780" s="7"/>
      <c r="E780" s="7"/>
    </row>
    <row r="781">
      <c r="B781" s="6"/>
      <c r="C781" s="7"/>
      <c r="D781" s="7"/>
      <c r="E781" s="7"/>
    </row>
    <row r="782">
      <c r="B782" s="6"/>
      <c r="C782" s="7"/>
      <c r="D782" s="7"/>
      <c r="E782" s="7"/>
    </row>
    <row r="783">
      <c r="B783" s="6"/>
      <c r="C783" s="7"/>
      <c r="D783" s="7"/>
      <c r="E783" s="7"/>
    </row>
    <row r="784">
      <c r="B784" s="6"/>
      <c r="C784" s="7"/>
      <c r="D784" s="7"/>
      <c r="E784" s="7"/>
    </row>
    <row r="785">
      <c r="B785" s="6"/>
      <c r="C785" s="7"/>
      <c r="D785" s="7"/>
      <c r="E785" s="7"/>
    </row>
    <row r="786">
      <c r="B786" s="6"/>
      <c r="C786" s="7"/>
      <c r="D786" s="7"/>
      <c r="E786" s="7"/>
    </row>
    <row r="787">
      <c r="B787" s="6"/>
      <c r="C787" s="7"/>
      <c r="D787" s="7"/>
      <c r="E787" s="7"/>
    </row>
    <row r="788">
      <c r="B788" s="6"/>
      <c r="C788" s="7"/>
      <c r="D788" s="7"/>
      <c r="E788" s="7"/>
    </row>
    <row r="789">
      <c r="B789" s="6"/>
      <c r="C789" s="7"/>
      <c r="D789" s="7"/>
      <c r="E789" s="7"/>
    </row>
    <row r="790">
      <c r="B790" s="6"/>
      <c r="C790" s="7"/>
      <c r="D790" s="7"/>
      <c r="E790" s="7"/>
    </row>
    <row r="791">
      <c r="B791" s="6"/>
      <c r="C791" s="7"/>
      <c r="D791" s="7"/>
      <c r="E791" s="7"/>
    </row>
    <row r="792">
      <c r="B792" s="6"/>
      <c r="C792" s="7"/>
      <c r="D792" s="7"/>
      <c r="E792" s="7"/>
    </row>
    <row r="793">
      <c r="B793" s="6"/>
      <c r="C793" s="7"/>
      <c r="D793" s="7"/>
      <c r="E793" s="7"/>
    </row>
    <row r="794">
      <c r="B794" s="6"/>
      <c r="C794" s="7"/>
      <c r="D794" s="7"/>
      <c r="E794" s="7"/>
    </row>
    <row r="795">
      <c r="B795" s="6"/>
      <c r="C795" s="7"/>
      <c r="D795" s="7"/>
      <c r="E795" s="7"/>
    </row>
    <row r="796">
      <c r="B796" s="6"/>
      <c r="C796" s="7"/>
      <c r="D796" s="7"/>
      <c r="E796" s="7"/>
    </row>
    <row r="797">
      <c r="B797" s="6"/>
      <c r="C797" s="7"/>
      <c r="D797" s="7"/>
      <c r="E797" s="7"/>
    </row>
    <row r="798">
      <c r="B798" s="6"/>
      <c r="C798" s="7"/>
      <c r="D798" s="7"/>
      <c r="E798" s="7"/>
    </row>
    <row r="799">
      <c r="B799" s="6"/>
      <c r="C799" s="7"/>
      <c r="D799" s="7"/>
      <c r="E799" s="7"/>
    </row>
    <row r="800">
      <c r="B800" s="6"/>
      <c r="C800" s="7"/>
      <c r="D800" s="7"/>
      <c r="E800" s="7"/>
    </row>
    <row r="801">
      <c r="B801" s="6"/>
      <c r="C801" s="7"/>
      <c r="D801" s="7"/>
      <c r="E801" s="7"/>
    </row>
    <row r="802">
      <c r="B802" s="6"/>
      <c r="C802" s="7"/>
      <c r="D802" s="7"/>
      <c r="E802" s="7"/>
    </row>
    <row r="803">
      <c r="B803" s="6"/>
      <c r="C803" s="7"/>
      <c r="D803" s="7"/>
      <c r="E803" s="7"/>
    </row>
    <row r="804">
      <c r="B804" s="6"/>
      <c r="C804" s="7"/>
      <c r="D804" s="7"/>
      <c r="E804" s="7"/>
    </row>
    <row r="805">
      <c r="B805" s="6"/>
      <c r="C805" s="7"/>
      <c r="D805" s="7"/>
      <c r="E805" s="7"/>
    </row>
    <row r="806">
      <c r="B806" s="6"/>
      <c r="C806" s="7"/>
      <c r="D806" s="7"/>
      <c r="E806" s="7"/>
    </row>
    <row r="807">
      <c r="B807" s="6"/>
      <c r="C807" s="7"/>
      <c r="D807" s="7"/>
      <c r="E807" s="7"/>
    </row>
    <row r="808">
      <c r="B808" s="6"/>
      <c r="C808" s="7"/>
      <c r="D808" s="7"/>
      <c r="E808" s="7"/>
    </row>
    <row r="809">
      <c r="B809" s="6"/>
      <c r="C809" s="7"/>
      <c r="D809" s="7"/>
      <c r="E809" s="7"/>
    </row>
    <row r="810">
      <c r="B810" s="6"/>
      <c r="C810" s="7"/>
      <c r="D810" s="7"/>
      <c r="E810" s="7"/>
    </row>
    <row r="811">
      <c r="B811" s="6"/>
      <c r="C811" s="7"/>
      <c r="D811" s="7"/>
      <c r="E811" s="7"/>
    </row>
    <row r="812">
      <c r="B812" s="6"/>
      <c r="C812" s="7"/>
      <c r="D812" s="7"/>
      <c r="E812" s="7"/>
    </row>
    <row r="813">
      <c r="B813" s="6"/>
      <c r="C813" s="7"/>
      <c r="D813" s="7"/>
      <c r="E813" s="7"/>
    </row>
    <row r="814">
      <c r="B814" s="6"/>
      <c r="C814" s="7"/>
      <c r="D814" s="7"/>
      <c r="E814" s="7"/>
    </row>
    <row r="815">
      <c r="B815" s="6"/>
      <c r="C815" s="7"/>
      <c r="D815" s="7"/>
      <c r="E815" s="7"/>
    </row>
    <row r="816">
      <c r="B816" s="6"/>
      <c r="C816" s="7"/>
      <c r="D816" s="7"/>
      <c r="E816" s="7"/>
    </row>
    <row r="817">
      <c r="B817" s="6"/>
      <c r="C817" s="7"/>
      <c r="D817" s="7"/>
      <c r="E817" s="7"/>
    </row>
    <row r="818">
      <c r="B818" s="6"/>
      <c r="C818" s="7"/>
      <c r="D818" s="7"/>
      <c r="E818" s="7"/>
    </row>
    <row r="819">
      <c r="B819" s="6"/>
      <c r="C819" s="7"/>
      <c r="D819" s="7"/>
      <c r="E819" s="7"/>
    </row>
    <row r="820">
      <c r="B820" s="6"/>
      <c r="C820" s="7"/>
      <c r="D820" s="7"/>
      <c r="E820" s="7"/>
    </row>
    <row r="821">
      <c r="B821" s="6"/>
      <c r="C821" s="7"/>
      <c r="D821" s="7"/>
      <c r="E821" s="7"/>
    </row>
    <row r="822">
      <c r="B822" s="6"/>
      <c r="C822" s="7"/>
      <c r="D822" s="7"/>
      <c r="E822" s="7"/>
    </row>
    <row r="823">
      <c r="B823" s="6"/>
      <c r="C823" s="7"/>
      <c r="D823" s="7"/>
      <c r="E823" s="7"/>
    </row>
    <row r="824">
      <c r="B824" s="6"/>
      <c r="C824" s="7"/>
      <c r="D824" s="7"/>
      <c r="E824" s="7"/>
    </row>
    <row r="825">
      <c r="B825" s="6"/>
      <c r="C825" s="7"/>
      <c r="D825" s="7"/>
      <c r="E825" s="7"/>
    </row>
    <row r="826">
      <c r="B826" s="6"/>
      <c r="C826" s="7"/>
      <c r="D826" s="7"/>
      <c r="E826" s="7"/>
    </row>
    <row r="827">
      <c r="B827" s="6"/>
      <c r="C827" s="7"/>
      <c r="D827" s="7"/>
      <c r="E827" s="7"/>
    </row>
    <row r="828">
      <c r="B828" s="6"/>
      <c r="C828" s="7"/>
      <c r="D828" s="7"/>
      <c r="E828" s="7"/>
    </row>
    <row r="829">
      <c r="B829" s="6"/>
      <c r="C829" s="7"/>
      <c r="D829" s="7"/>
      <c r="E829" s="7"/>
    </row>
    <row r="830">
      <c r="B830" s="6"/>
      <c r="C830" s="7"/>
      <c r="D830" s="7"/>
      <c r="E830" s="7"/>
    </row>
    <row r="831">
      <c r="B831" s="6"/>
      <c r="C831" s="7"/>
      <c r="D831" s="7"/>
      <c r="E831" s="7"/>
    </row>
    <row r="832">
      <c r="B832" s="6"/>
      <c r="C832" s="7"/>
      <c r="D832" s="7"/>
      <c r="E832" s="7"/>
    </row>
    <row r="833">
      <c r="B833" s="6"/>
      <c r="C833" s="7"/>
      <c r="D833" s="7"/>
      <c r="E833" s="7"/>
    </row>
    <row r="834">
      <c r="B834" s="6"/>
      <c r="C834" s="7"/>
      <c r="D834" s="7"/>
      <c r="E834" s="7"/>
    </row>
    <row r="835">
      <c r="B835" s="6"/>
      <c r="C835" s="7"/>
      <c r="D835" s="7"/>
      <c r="E835" s="7"/>
    </row>
    <row r="836">
      <c r="B836" s="6"/>
      <c r="C836" s="7"/>
      <c r="D836" s="7"/>
      <c r="E836" s="7"/>
    </row>
    <row r="837">
      <c r="B837" s="6"/>
      <c r="C837" s="7"/>
      <c r="D837" s="7"/>
      <c r="E837" s="7"/>
    </row>
    <row r="838">
      <c r="B838" s="6"/>
      <c r="C838" s="7"/>
      <c r="D838" s="7"/>
      <c r="E838" s="7"/>
    </row>
    <row r="839">
      <c r="B839" s="6"/>
      <c r="C839" s="7"/>
      <c r="D839" s="7"/>
      <c r="E839" s="7"/>
    </row>
    <row r="840">
      <c r="B840" s="6"/>
      <c r="C840" s="7"/>
      <c r="D840" s="7"/>
      <c r="E840" s="7"/>
    </row>
    <row r="841">
      <c r="B841" s="6"/>
      <c r="C841" s="7"/>
      <c r="D841" s="7"/>
      <c r="E841" s="7"/>
    </row>
    <row r="842">
      <c r="B842" s="6"/>
      <c r="C842" s="7"/>
      <c r="D842" s="7"/>
      <c r="E842" s="7"/>
    </row>
    <row r="843">
      <c r="B843" s="6"/>
      <c r="C843" s="7"/>
      <c r="D843" s="7"/>
      <c r="E843" s="7"/>
    </row>
    <row r="844">
      <c r="B844" s="6"/>
      <c r="C844" s="7"/>
      <c r="D844" s="7"/>
      <c r="E844" s="7"/>
    </row>
    <row r="845">
      <c r="B845" s="6"/>
      <c r="C845" s="7"/>
      <c r="D845" s="7"/>
      <c r="E845" s="7"/>
    </row>
    <row r="846">
      <c r="B846" s="6"/>
      <c r="C846" s="7"/>
      <c r="D846" s="7"/>
      <c r="E846" s="7"/>
    </row>
    <row r="847">
      <c r="B847" s="6"/>
      <c r="C847" s="7"/>
      <c r="D847" s="7"/>
      <c r="E847" s="7"/>
    </row>
    <row r="848">
      <c r="B848" s="6"/>
      <c r="C848" s="7"/>
      <c r="D848" s="7"/>
      <c r="E848" s="7"/>
    </row>
    <row r="849">
      <c r="B849" s="6"/>
      <c r="C849" s="7"/>
      <c r="D849" s="7"/>
      <c r="E849" s="7"/>
    </row>
    <row r="850">
      <c r="B850" s="6"/>
      <c r="C850" s="7"/>
      <c r="D850" s="7"/>
      <c r="E850" s="7"/>
    </row>
    <row r="851">
      <c r="B851" s="6"/>
      <c r="C851" s="7"/>
      <c r="D851" s="7"/>
      <c r="E851" s="7"/>
    </row>
    <row r="852">
      <c r="B852" s="6"/>
      <c r="C852" s="7"/>
      <c r="D852" s="7"/>
      <c r="E852" s="7"/>
    </row>
    <row r="853">
      <c r="B853" s="6"/>
      <c r="C853" s="7"/>
      <c r="D853" s="7"/>
      <c r="E853" s="7"/>
    </row>
    <row r="854">
      <c r="B854" s="6"/>
      <c r="C854" s="7"/>
      <c r="D854" s="7"/>
      <c r="E854" s="7"/>
    </row>
    <row r="855">
      <c r="B855" s="6"/>
      <c r="C855" s="7"/>
      <c r="D855" s="7"/>
      <c r="E855" s="7"/>
    </row>
    <row r="856">
      <c r="B856" s="6"/>
      <c r="C856" s="7"/>
      <c r="D856" s="7"/>
      <c r="E856" s="7"/>
    </row>
    <row r="857">
      <c r="B857" s="6"/>
      <c r="C857" s="7"/>
      <c r="D857" s="7"/>
      <c r="E857" s="7"/>
    </row>
    <row r="858">
      <c r="B858" s="6"/>
      <c r="C858" s="7"/>
      <c r="D858" s="7"/>
      <c r="E858" s="7"/>
    </row>
    <row r="859">
      <c r="B859" s="6"/>
      <c r="C859" s="7"/>
      <c r="D859" s="7"/>
      <c r="E859" s="7"/>
    </row>
    <row r="860">
      <c r="B860" s="6"/>
      <c r="C860" s="7"/>
      <c r="D860" s="7"/>
      <c r="E860" s="7"/>
    </row>
    <row r="861">
      <c r="B861" s="6"/>
      <c r="C861" s="7"/>
      <c r="D861" s="7"/>
      <c r="E861" s="7"/>
    </row>
    <row r="862">
      <c r="B862" s="6"/>
      <c r="C862" s="7"/>
      <c r="D862" s="7"/>
      <c r="E862" s="7"/>
    </row>
    <row r="863">
      <c r="B863" s="6"/>
      <c r="C863" s="7"/>
      <c r="D863" s="7"/>
      <c r="E863" s="7"/>
    </row>
    <row r="864">
      <c r="B864" s="6"/>
      <c r="C864" s="7"/>
      <c r="D864" s="7"/>
      <c r="E864" s="7"/>
    </row>
    <row r="865">
      <c r="B865" s="6"/>
      <c r="C865" s="7"/>
      <c r="D865" s="7"/>
      <c r="E865" s="7"/>
    </row>
    <row r="866">
      <c r="B866" s="6"/>
      <c r="C866" s="7"/>
      <c r="D866" s="7"/>
      <c r="E866" s="7"/>
    </row>
    <row r="867">
      <c r="B867" s="6"/>
      <c r="C867" s="7"/>
      <c r="D867" s="7"/>
      <c r="E867" s="7"/>
    </row>
    <row r="868">
      <c r="B868" s="6"/>
      <c r="C868" s="7"/>
      <c r="D868" s="7"/>
      <c r="E868" s="7"/>
    </row>
    <row r="869">
      <c r="B869" s="6"/>
      <c r="C869" s="7"/>
      <c r="D869" s="7"/>
      <c r="E869" s="7"/>
    </row>
    <row r="870">
      <c r="B870" s="6"/>
      <c r="C870" s="7"/>
      <c r="D870" s="7"/>
      <c r="E870" s="7"/>
    </row>
    <row r="871">
      <c r="B871" s="6"/>
      <c r="C871" s="7"/>
      <c r="D871" s="7"/>
      <c r="E871" s="7"/>
    </row>
    <row r="872">
      <c r="B872" s="6"/>
      <c r="C872" s="7"/>
      <c r="D872" s="7"/>
      <c r="E872" s="7"/>
    </row>
    <row r="873">
      <c r="B873" s="6"/>
      <c r="C873" s="7"/>
      <c r="D873" s="7"/>
      <c r="E873" s="7"/>
    </row>
    <row r="874">
      <c r="B874" s="6"/>
      <c r="C874" s="7"/>
      <c r="D874" s="7"/>
      <c r="E874" s="7"/>
    </row>
    <row r="875">
      <c r="B875" s="6"/>
      <c r="C875" s="7"/>
      <c r="D875" s="7"/>
      <c r="E875" s="7"/>
    </row>
    <row r="876">
      <c r="B876" s="6"/>
      <c r="C876" s="7"/>
      <c r="D876" s="7"/>
      <c r="E876" s="7"/>
    </row>
    <row r="877">
      <c r="B877" s="6"/>
      <c r="C877" s="7"/>
      <c r="D877" s="7"/>
      <c r="E877" s="7"/>
    </row>
    <row r="878">
      <c r="B878" s="6"/>
      <c r="C878" s="7"/>
      <c r="D878" s="7"/>
      <c r="E878" s="7"/>
    </row>
    <row r="879">
      <c r="B879" s="6"/>
      <c r="C879" s="7"/>
      <c r="D879" s="7"/>
      <c r="E879" s="7"/>
    </row>
    <row r="880">
      <c r="B880" s="6"/>
      <c r="C880" s="7"/>
      <c r="D880" s="7"/>
      <c r="E880" s="7"/>
    </row>
    <row r="881">
      <c r="B881" s="6"/>
      <c r="C881" s="7"/>
      <c r="D881" s="7"/>
      <c r="E881" s="7"/>
    </row>
    <row r="882">
      <c r="B882" s="6"/>
      <c r="C882" s="7"/>
      <c r="D882" s="7"/>
      <c r="E882" s="7"/>
    </row>
    <row r="883">
      <c r="B883" s="6"/>
      <c r="C883" s="7"/>
      <c r="D883" s="7"/>
      <c r="E883" s="7"/>
    </row>
    <row r="884">
      <c r="B884" s="6"/>
      <c r="C884" s="7"/>
      <c r="D884" s="7"/>
      <c r="E884" s="7"/>
    </row>
    <row r="885">
      <c r="B885" s="6"/>
      <c r="C885" s="7"/>
      <c r="D885" s="7"/>
      <c r="E885" s="7"/>
    </row>
    <row r="886">
      <c r="B886" s="6"/>
      <c r="C886" s="7"/>
      <c r="D886" s="7"/>
      <c r="E886" s="7"/>
    </row>
    <row r="887">
      <c r="B887" s="6"/>
      <c r="C887" s="7"/>
      <c r="D887" s="7"/>
      <c r="E887" s="7"/>
    </row>
    <row r="888">
      <c r="B888" s="6"/>
      <c r="C888" s="7"/>
      <c r="D888" s="7"/>
      <c r="E888" s="7"/>
    </row>
    <row r="889">
      <c r="B889" s="6"/>
      <c r="C889" s="7"/>
      <c r="D889" s="7"/>
      <c r="E889" s="7"/>
    </row>
    <row r="890">
      <c r="B890" s="6"/>
      <c r="C890" s="7"/>
      <c r="D890" s="7"/>
      <c r="E890" s="7"/>
    </row>
    <row r="891">
      <c r="B891" s="6"/>
      <c r="C891" s="7"/>
      <c r="D891" s="7"/>
      <c r="E891" s="7"/>
    </row>
    <row r="892">
      <c r="B892" s="6"/>
      <c r="C892" s="7"/>
      <c r="D892" s="7"/>
      <c r="E892" s="7"/>
    </row>
    <row r="893">
      <c r="B893" s="6"/>
      <c r="C893" s="7"/>
      <c r="D893" s="7"/>
      <c r="E893" s="7"/>
    </row>
    <row r="894">
      <c r="B894" s="6"/>
      <c r="C894" s="7"/>
      <c r="D894" s="7"/>
      <c r="E894" s="7"/>
    </row>
    <row r="895">
      <c r="B895" s="6"/>
      <c r="C895" s="7"/>
      <c r="D895" s="7"/>
      <c r="E895" s="7"/>
    </row>
    <row r="896">
      <c r="B896" s="6"/>
      <c r="C896" s="7"/>
      <c r="D896" s="7"/>
      <c r="E896" s="7"/>
    </row>
    <row r="897">
      <c r="B897" s="6"/>
      <c r="C897" s="7"/>
      <c r="D897" s="7"/>
      <c r="E897" s="7"/>
    </row>
    <row r="898">
      <c r="B898" s="6"/>
      <c r="C898" s="7"/>
      <c r="D898" s="7"/>
      <c r="E898" s="7"/>
    </row>
    <row r="899">
      <c r="B899" s="6"/>
      <c r="C899" s="7"/>
      <c r="D899" s="7"/>
      <c r="E899" s="7"/>
    </row>
    <row r="900">
      <c r="B900" s="6"/>
      <c r="C900" s="7"/>
      <c r="D900" s="7"/>
      <c r="E900" s="7"/>
    </row>
    <row r="901">
      <c r="B901" s="6"/>
      <c r="C901" s="7"/>
      <c r="D901" s="7"/>
      <c r="E901" s="7"/>
    </row>
    <row r="902">
      <c r="B902" s="6"/>
      <c r="C902" s="7"/>
      <c r="D902" s="7"/>
      <c r="E902" s="7"/>
    </row>
    <row r="903">
      <c r="B903" s="6"/>
      <c r="C903" s="7"/>
      <c r="D903" s="7"/>
      <c r="E903" s="7"/>
    </row>
    <row r="904">
      <c r="B904" s="6"/>
      <c r="C904" s="7"/>
      <c r="D904" s="7"/>
      <c r="E904" s="7"/>
    </row>
    <row r="905">
      <c r="B905" s="6"/>
      <c r="C905" s="7"/>
      <c r="D905" s="7"/>
      <c r="E905" s="7"/>
    </row>
    <row r="906">
      <c r="B906" s="6"/>
      <c r="C906" s="7"/>
      <c r="D906" s="7"/>
      <c r="E906" s="7"/>
    </row>
    <row r="907">
      <c r="B907" s="6"/>
      <c r="C907" s="7"/>
      <c r="D907" s="7"/>
      <c r="E907" s="7"/>
    </row>
    <row r="908">
      <c r="B908" s="6"/>
      <c r="C908" s="7"/>
      <c r="D908" s="7"/>
      <c r="E908" s="7"/>
    </row>
    <row r="909">
      <c r="B909" s="6"/>
      <c r="C909" s="7"/>
      <c r="D909" s="7"/>
      <c r="E909" s="7"/>
    </row>
    <row r="910">
      <c r="B910" s="6"/>
      <c r="C910" s="7"/>
      <c r="D910" s="7"/>
      <c r="E910" s="7"/>
    </row>
    <row r="911">
      <c r="B911" s="6"/>
      <c r="C911" s="7"/>
      <c r="D911" s="7"/>
      <c r="E911" s="7"/>
    </row>
    <row r="912">
      <c r="B912" s="6"/>
      <c r="C912" s="7"/>
      <c r="D912" s="7"/>
      <c r="E912" s="7"/>
    </row>
    <row r="913">
      <c r="B913" s="6"/>
      <c r="C913" s="7"/>
      <c r="D913" s="7"/>
      <c r="E913" s="7"/>
    </row>
    <row r="914">
      <c r="B914" s="6"/>
      <c r="C914" s="7"/>
      <c r="D914" s="7"/>
      <c r="E914" s="7"/>
    </row>
    <row r="915">
      <c r="B915" s="6"/>
      <c r="C915" s="7"/>
      <c r="D915" s="7"/>
      <c r="E915" s="7"/>
    </row>
    <row r="916">
      <c r="B916" s="6"/>
      <c r="C916" s="7"/>
      <c r="D916" s="7"/>
      <c r="E916" s="7"/>
    </row>
    <row r="917">
      <c r="B917" s="6"/>
      <c r="C917" s="7"/>
      <c r="D917" s="7"/>
      <c r="E917" s="7"/>
    </row>
    <row r="918">
      <c r="B918" s="6"/>
      <c r="C918" s="7"/>
      <c r="D918" s="7"/>
      <c r="E918" s="7"/>
    </row>
    <row r="919">
      <c r="B919" s="6"/>
      <c r="C919" s="7"/>
      <c r="D919" s="7"/>
      <c r="E919" s="7"/>
    </row>
    <row r="920">
      <c r="B920" s="6"/>
      <c r="C920" s="7"/>
      <c r="D920" s="7"/>
      <c r="E920" s="7"/>
    </row>
    <row r="921">
      <c r="B921" s="6"/>
      <c r="C921" s="7"/>
      <c r="D921" s="7"/>
      <c r="E921" s="7"/>
    </row>
    <row r="922">
      <c r="B922" s="6"/>
      <c r="C922" s="7"/>
      <c r="D922" s="7"/>
      <c r="E922" s="7"/>
    </row>
    <row r="923">
      <c r="B923" s="6"/>
      <c r="C923" s="7"/>
      <c r="D923" s="7"/>
      <c r="E923" s="7"/>
    </row>
    <row r="924">
      <c r="B924" s="6"/>
      <c r="C924" s="7"/>
      <c r="D924" s="7"/>
      <c r="E924" s="7"/>
    </row>
    <row r="925">
      <c r="B925" s="6"/>
      <c r="C925" s="7"/>
      <c r="D925" s="7"/>
      <c r="E925" s="7"/>
    </row>
    <row r="926">
      <c r="B926" s="6"/>
      <c r="C926" s="7"/>
      <c r="D926" s="7"/>
      <c r="E926" s="7"/>
    </row>
    <row r="927">
      <c r="B927" s="6"/>
      <c r="C927" s="7"/>
      <c r="D927" s="7"/>
      <c r="E927" s="7"/>
    </row>
    <row r="928">
      <c r="B928" s="6"/>
      <c r="C928" s="7"/>
      <c r="D928" s="7"/>
      <c r="E928" s="7"/>
    </row>
    <row r="929">
      <c r="B929" s="6"/>
      <c r="C929" s="7"/>
      <c r="D929" s="7"/>
      <c r="E929" s="7"/>
    </row>
    <row r="930">
      <c r="B930" s="6"/>
      <c r="C930" s="7"/>
      <c r="D930" s="7"/>
      <c r="E930" s="7"/>
    </row>
    <row r="931">
      <c r="B931" s="6"/>
      <c r="C931" s="7"/>
      <c r="D931" s="7"/>
      <c r="E931" s="7"/>
    </row>
    <row r="932">
      <c r="B932" s="6"/>
      <c r="C932" s="7"/>
      <c r="D932" s="7"/>
      <c r="E932" s="7"/>
    </row>
    <row r="933">
      <c r="B933" s="6"/>
      <c r="C933" s="7"/>
      <c r="D933" s="7"/>
      <c r="E933" s="7"/>
    </row>
    <row r="934">
      <c r="B934" s="6"/>
      <c r="C934" s="7"/>
      <c r="D934" s="7"/>
      <c r="E934" s="7"/>
    </row>
    <row r="935">
      <c r="B935" s="6"/>
      <c r="C935" s="7"/>
      <c r="D935" s="7"/>
      <c r="E935" s="7"/>
    </row>
    <row r="936">
      <c r="B936" s="6"/>
      <c r="C936" s="7"/>
      <c r="D936" s="7"/>
      <c r="E936" s="7"/>
    </row>
    <row r="937">
      <c r="B937" s="6"/>
      <c r="C937" s="7"/>
      <c r="D937" s="7"/>
      <c r="E937" s="7"/>
    </row>
    <row r="938">
      <c r="B938" s="6"/>
      <c r="C938" s="7"/>
      <c r="D938" s="7"/>
      <c r="E938" s="7"/>
    </row>
    <row r="939">
      <c r="B939" s="6"/>
      <c r="C939" s="7"/>
      <c r="D939" s="7"/>
      <c r="E939" s="7"/>
    </row>
    <row r="940">
      <c r="B940" s="6"/>
      <c r="C940" s="7"/>
      <c r="D940" s="7"/>
      <c r="E940" s="7"/>
    </row>
    <row r="941">
      <c r="B941" s="6"/>
      <c r="C941" s="7"/>
      <c r="D941" s="7"/>
      <c r="E941" s="7"/>
    </row>
    <row r="942">
      <c r="B942" s="6"/>
      <c r="C942" s="7"/>
      <c r="D942" s="7"/>
      <c r="E942" s="7"/>
    </row>
    <row r="943">
      <c r="B943" s="6"/>
      <c r="C943" s="7"/>
      <c r="D943" s="7"/>
      <c r="E943" s="7"/>
    </row>
    <row r="944">
      <c r="B944" s="6"/>
      <c r="C944" s="7"/>
      <c r="D944" s="7"/>
      <c r="E944" s="7"/>
    </row>
    <row r="945">
      <c r="B945" s="6"/>
      <c r="C945" s="7"/>
      <c r="D945" s="7"/>
      <c r="E945" s="7"/>
    </row>
    <row r="946">
      <c r="B946" s="6"/>
      <c r="C946" s="7"/>
      <c r="D946" s="7"/>
      <c r="E946" s="7"/>
    </row>
    <row r="947">
      <c r="B947" s="6"/>
      <c r="C947" s="7"/>
      <c r="D947" s="7"/>
      <c r="E947" s="7"/>
    </row>
    <row r="948">
      <c r="B948" s="6"/>
      <c r="C948" s="7"/>
      <c r="D948" s="7"/>
      <c r="E948" s="7"/>
    </row>
    <row r="949">
      <c r="B949" s="6"/>
      <c r="C949" s="7"/>
      <c r="D949" s="7"/>
      <c r="E949" s="7"/>
    </row>
    <row r="950">
      <c r="B950" s="6"/>
      <c r="C950" s="7"/>
      <c r="D950" s="7"/>
      <c r="E950" s="7"/>
    </row>
    <row r="951">
      <c r="B951" s="6"/>
      <c r="C951" s="7"/>
      <c r="D951" s="7"/>
      <c r="E951" s="7"/>
    </row>
    <row r="952">
      <c r="B952" s="6"/>
      <c r="C952" s="7"/>
      <c r="D952" s="7"/>
      <c r="E952" s="7"/>
    </row>
    <row r="953">
      <c r="B953" s="6"/>
      <c r="C953" s="7"/>
      <c r="D953" s="7"/>
      <c r="E953" s="7"/>
    </row>
    <row r="954">
      <c r="B954" s="6"/>
      <c r="C954" s="7"/>
      <c r="D954" s="7"/>
      <c r="E954" s="7"/>
    </row>
    <row r="955">
      <c r="B955" s="6"/>
      <c r="C955" s="7"/>
      <c r="D955" s="7"/>
      <c r="E955" s="7"/>
    </row>
    <row r="956">
      <c r="B956" s="6"/>
      <c r="C956" s="7"/>
      <c r="D956" s="7"/>
      <c r="E956" s="7"/>
    </row>
    <row r="957">
      <c r="B957" s="6"/>
      <c r="C957" s="7"/>
      <c r="D957" s="7"/>
      <c r="E957" s="7"/>
    </row>
    <row r="958">
      <c r="B958" s="6"/>
      <c r="C958" s="7"/>
      <c r="D958" s="7"/>
      <c r="E958" s="7"/>
    </row>
    <row r="959">
      <c r="B959" s="6"/>
      <c r="C959" s="7"/>
      <c r="D959" s="7"/>
      <c r="E959" s="7"/>
    </row>
    <row r="960">
      <c r="B960" s="6"/>
      <c r="C960" s="7"/>
      <c r="D960" s="7"/>
      <c r="E960" s="7"/>
    </row>
    <row r="961">
      <c r="B961" s="6"/>
      <c r="C961" s="7"/>
      <c r="D961" s="7"/>
      <c r="E961" s="7"/>
    </row>
    <row r="962">
      <c r="B962" s="6"/>
      <c r="C962" s="7"/>
      <c r="D962" s="7"/>
      <c r="E962" s="7"/>
    </row>
    <row r="963">
      <c r="B963" s="6"/>
      <c r="C963" s="7"/>
      <c r="D963" s="7"/>
      <c r="E963" s="7"/>
    </row>
    <row r="964">
      <c r="B964" s="6"/>
      <c r="C964" s="7"/>
      <c r="D964" s="7"/>
      <c r="E964" s="7"/>
    </row>
    <row r="965">
      <c r="B965" s="6"/>
      <c r="C965" s="7"/>
      <c r="D965" s="7"/>
      <c r="E965" s="7"/>
    </row>
    <row r="966">
      <c r="B966" s="6"/>
      <c r="C966" s="7"/>
      <c r="D966" s="7"/>
      <c r="E966" s="7"/>
    </row>
    <row r="967">
      <c r="B967" s="6"/>
      <c r="C967" s="7"/>
      <c r="D967" s="7"/>
      <c r="E967" s="7"/>
    </row>
    <row r="968">
      <c r="B968" s="6"/>
      <c r="C968" s="7"/>
      <c r="D968" s="7"/>
      <c r="E968" s="7"/>
    </row>
    <row r="969">
      <c r="B969" s="6"/>
      <c r="C969" s="7"/>
      <c r="D969" s="7"/>
      <c r="E969" s="7"/>
    </row>
    <row r="970">
      <c r="B970" s="6"/>
      <c r="C970" s="7"/>
      <c r="D970" s="7"/>
      <c r="E970" s="7"/>
    </row>
    <row r="971">
      <c r="B971" s="6"/>
      <c r="C971" s="7"/>
      <c r="D971" s="7"/>
      <c r="E971" s="7"/>
    </row>
    <row r="972">
      <c r="B972" s="6"/>
      <c r="C972" s="7"/>
      <c r="D972" s="7"/>
      <c r="E972" s="7"/>
    </row>
    <row r="973">
      <c r="B973" s="6"/>
      <c r="C973" s="7"/>
      <c r="D973" s="7"/>
      <c r="E973" s="7"/>
    </row>
    <row r="974">
      <c r="B974" s="6"/>
      <c r="C974" s="7"/>
      <c r="D974" s="7"/>
      <c r="E974" s="7"/>
    </row>
    <row r="975">
      <c r="B975" s="6"/>
      <c r="C975" s="7"/>
      <c r="D975" s="7"/>
      <c r="E975" s="7"/>
    </row>
    <row r="976">
      <c r="B976" s="6"/>
      <c r="C976" s="7"/>
      <c r="D976" s="7"/>
      <c r="E976" s="7"/>
    </row>
    <row r="977">
      <c r="B977" s="6"/>
      <c r="C977" s="7"/>
      <c r="D977" s="7"/>
      <c r="E977" s="7"/>
    </row>
    <row r="978">
      <c r="B978" s="6"/>
      <c r="C978" s="7"/>
      <c r="D978" s="7"/>
      <c r="E978" s="7"/>
    </row>
    <row r="979">
      <c r="B979" s="6"/>
      <c r="C979" s="7"/>
      <c r="D979" s="7"/>
      <c r="E979" s="7"/>
    </row>
    <row r="980">
      <c r="B980" s="6"/>
      <c r="C980" s="7"/>
      <c r="D980" s="7"/>
      <c r="E980" s="7"/>
    </row>
    <row r="981">
      <c r="B981" s="6"/>
      <c r="C981" s="7"/>
      <c r="D981" s="7"/>
      <c r="E981" s="7"/>
    </row>
    <row r="982">
      <c r="B982" s="6"/>
      <c r="C982" s="7"/>
      <c r="D982" s="7"/>
      <c r="E982" s="7"/>
    </row>
    <row r="983">
      <c r="B983" s="6"/>
      <c r="C983" s="7"/>
      <c r="D983" s="7"/>
      <c r="E983" s="7"/>
    </row>
    <row r="984">
      <c r="B984" s="6"/>
      <c r="C984" s="7"/>
      <c r="D984" s="7"/>
      <c r="E984" s="7"/>
    </row>
    <row r="985">
      <c r="B985" s="6"/>
      <c r="C985" s="7"/>
      <c r="D985" s="7"/>
      <c r="E985" s="7"/>
    </row>
    <row r="986">
      <c r="B986" s="6"/>
      <c r="C986" s="7"/>
      <c r="D986" s="7"/>
      <c r="E986" s="7"/>
    </row>
    <row r="987">
      <c r="B987" s="6"/>
      <c r="C987" s="7"/>
      <c r="D987" s="7"/>
      <c r="E987" s="7"/>
    </row>
    <row r="988">
      <c r="B988" s="6"/>
      <c r="C988" s="7"/>
      <c r="D988" s="7"/>
      <c r="E988" s="7"/>
    </row>
    <row r="989">
      <c r="B989" s="6"/>
      <c r="C989" s="7"/>
      <c r="D989" s="7"/>
      <c r="E989" s="7"/>
    </row>
    <row r="990">
      <c r="B990" s="6"/>
      <c r="C990" s="7"/>
      <c r="D990" s="7"/>
      <c r="E990" s="7"/>
    </row>
    <row r="991">
      <c r="B991" s="6"/>
      <c r="C991" s="7"/>
      <c r="D991" s="7"/>
      <c r="E991" s="7"/>
    </row>
    <row r="992">
      <c r="B992" s="6"/>
      <c r="C992" s="7"/>
      <c r="D992" s="7"/>
      <c r="E992" s="7"/>
    </row>
    <row r="993">
      <c r="B993" s="6"/>
      <c r="C993" s="7"/>
      <c r="D993" s="7"/>
      <c r="E993" s="7"/>
    </row>
    <row r="994">
      <c r="B994" s="6"/>
      <c r="C994" s="7"/>
      <c r="D994" s="7"/>
      <c r="E994" s="7"/>
    </row>
    <row r="995">
      <c r="B995" s="6"/>
      <c r="C995" s="7"/>
      <c r="D995" s="7"/>
      <c r="E995" s="7"/>
    </row>
    <row r="996">
      <c r="B996" s="6"/>
      <c r="C996" s="7"/>
      <c r="D996" s="7"/>
      <c r="E996" s="7"/>
    </row>
    <row r="997">
      <c r="B997" s="6"/>
      <c r="C997" s="7"/>
      <c r="D997" s="7"/>
      <c r="E997" s="7"/>
    </row>
    <row r="998">
      <c r="B998" s="6"/>
      <c r="C998" s="7"/>
      <c r="D998" s="7"/>
      <c r="E998" s="7"/>
    </row>
    <row r="999">
      <c r="B999" s="6"/>
      <c r="C999" s="7"/>
      <c r="D999" s="7"/>
      <c r="E999" s="7"/>
    </row>
    <row r="1000">
      <c r="B1000" s="6"/>
      <c r="C1000" s="7"/>
      <c r="E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35"/>
    <hyperlink r:id="rId12" ref="C36"/>
    <hyperlink r:id="rId13" ref="C38"/>
    <hyperlink r:id="rId14" ref="C40"/>
    <hyperlink r:id="rId15" ref="C42"/>
    <hyperlink r:id="rId16" ref="C51"/>
  </hyperlinks>
  <drawing r:id="rId17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